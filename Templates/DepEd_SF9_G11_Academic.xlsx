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7D48096D-AFC3-4175-8EB2-55175C84EC20}" xr6:coauthVersionLast="47" xr6:coauthVersionMax="47" xr10:uidLastSave="{00000000-0000-0000-0000-000000000000}"/>
  <bookViews>
    <workbookView xWindow="-110" yWindow="-110" windowWidth="19420" windowHeight="10300" firstSheet="2" activeTab="5" xr2:uid="{00000000-000D-0000-FFFF-FFFF00000000}"/>
  </bookViews>
  <sheets>
    <sheet name="Home" sheetId="1" r:id="rId1"/>
    <sheet name="INPUT DATA" sheetId="2" r:id="rId2"/>
    <sheet name="TERM 1 SUMMARY" sheetId="3" r:id="rId3"/>
    <sheet name="TERM 2 SUMMARY" sheetId="4" r:id="rId4"/>
    <sheet name="TERM 3 SUMMARY" sheetId="5" r:id="rId5"/>
    <sheet name="SF9 - GRADE 11 ACADEMIC" sheetId="6" r:id="rId6"/>
    <sheet name="ATTENDANCE RECORD SUMMARY" sheetId="7" r:id="rId7"/>
    <sheet name="HELPER"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2" roundtripDataChecksum="do+ODcu9orkzgpElxl+k5zY/5bQb6UQWvUY/dSlos+E="/>
    </ext>
  </extLst>
</workbook>
</file>

<file path=xl/calcChain.xml><?xml version="1.0" encoding="utf-8"?>
<calcChain xmlns="http://schemas.openxmlformats.org/spreadsheetml/2006/main">
  <c r="E117" i="7" l="1"/>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G11" i="7"/>
  <c r="L10" i="7"/>
  <c r="G10" i="7"/>
  <c r="N7" i="7"/>
  <c r="I7" i="7"/>
  <c r="E7" i="7"/>
  <c r="I5" i="7"/>
  <c r="E5" i="7"/>
  <c r="Q50" i="6"/>
  <c r="I44" i="6"/>
  <c r="J43" i="6"/>
  <c r="L43" i="6" s="1"/>
  <c r="H43" i="6"/>
  <c r="G42" i="6"/>
  <c r="J42" i="6" s="1"/>
  <c r="Q41" i="6"/>
  <c r="F41" i="6"/>
  <c r="J41" i="6" s="1"/>
  <c r="X39" i="6"/>
  <c r="H39" i="6"/>
  <c r="G39" i="6"/>
  <c r="F39" i="6"/>
  <c r="J39" i="6" s="1"/>
  <c r="H38" i="6"/>
  <c r="G38" i="6"/>
  <c r="F38" i="6"/>
  <c r="J38" i="6" s="1"/>
  <c r="H37" i="6"/>
  <c r="G37" i="6"/>
  <c r="J37" i="6" s="1"/>
  <c r="F37" i="6"/>
  <c r="J36" i="6"/>
  <c r="L36" i="6" s="1"/>
  <c r="H36" i="6"/>
  <c r="G36" i="6"/>
  <c r="F36" i="6"/>
  <c r="AE35" i="6"/>
  <c r="H35" i="6"/>
  <c r="G35" i="6"/>
  <c r="F35" i="6"/>
  <c r="H34" i="6"/>
  <c r="G34" i="6"/>
  <c r="F34" i="6"/>
  <c r="H33" i="6"/>
  <c r="G33" i="6"/>
  <c r="F33" i="6"/>
  <c r="J33" i="6" s="1"/>
  <c r="H27" i="6"/>
  <c r="B27" i="6"/>
  <c r="E19" i="6"/>
  <c r="K18" i="6"/>
  <c r="I18" i="6"/>
  <c r="C18" i="6"/>
  <c r="K17" i="6"/>
  <c r="I17" i="6"/>
  <c r="H116" i="5"/>
  <c r="I116" i="5" s="1"/>
  <c r="F116" i="5"/>
  <c r="C116" i="5"/>
  <c r="I115" i="5"/>
  <c r="H115" i="5"/>
  <c r="F115" i="5"/>
  <c r="C115" i="5"/>
  <c r="I114" i="5"/>
  <c r="H114" i="5"/>
  <c r="F114" i="5"/>
  <c r="C114" i="5"/>
  <c r="H113" i="5"/>
  <c r="I113" i="5" s="1"/>
  <c r="F113" i="5"/>
  <c r="C113" i="5"/>
  <c r="H112" i="5"/>
  <c r="I112" i="5" s="1"/>
  <c r="F112" i="5"/>
  <c r="C112" i="5"/>
  <c r="I111" i="5"/>
  <c r="H111" i="5"/>
  <c r="F111" i="5"/>
  <c r="C111" i="5"/>
  <c r="I110" i="5"/>
  <c r="H110" i="5"/>
  <c r="F110" i="5"/>
  <c r="C110" i="5"/>
  <c r="H109" i="5"/>
  <c r="I109" i="5" s="1"/>
  <c r="F109" i="5"/>
  <c r="C109" i="5"/>
  <c r="H108" i="5"/>
  <c r="I108" i="5" s="1"/>
  <c r="F108" i="5"/>
  <c r="C108" i="5"/>
  <c r="I107" i="5"/>
  <c r="H107" i="5"/>
  <c r="F107" i="5"/>
  <c r="C107" i="5"/>
  <c r="I106" i="5"/>
  <c r="H106" i="5"/>
  <c r="F106" i="5"/>
  <c r="C106" i="5"/>
  <c r="H105" i="5"/>
  <c r="I105" i="5" s="1"/>
  <c r="F105" i="5"/>
  <c r="C105" i="5"/>
  <c r="H104" i="5"/>
  <c r="I104" i="5" s="1"/>
  <c r="F104" i="5"/>
  <c r="C104" i="5"/>
  <c r="I103" i="5"/>
  <c r="H103" i="5"/>
  <c r="F103" i="5"/>
  <c r="C103" i="5"/>
  <c r="I102" i="5"/>
  <c r="H102" i="5"/>
  <c r="F102" i="5"/>
  <c r="C102" i="5"/>
  <c r="H101" i="5"/>
  <c r="I101" i="5" s="1"/>
  <c r="F101" i="5"/>
  <c r="C101" i="5"/>
  <c r="H100" i="5"/>
  <c r="I100" i="5" s="1"/>
  <c r="F100" i="5"/>
  <c r="C100" i="5"/>
  <c r="I99" i="5"/>
  <c r="H99" i="5"/>
  <c r="F99" i="5"/>
  <c r="C99" i="5"/>
  <c r="I98" i="5"/>
  <c r="H98" i="5"/>
  <c r="F98" i="5"/>
  <c r="C98" i="5"/>
  <c r="H97" i="5"/>
  <c r="I97" i="5" s="1"/>
  <c r="F97" i="5"/>
  <c r="C97" i="5"/>
  <c r="H96" i="5"/>
  <c r="I96" i="5" s="1"/>
  <c r="F96" i="5"/>
  <c r="C96" i="5"/>
  <c r="I95" i="5"/>
  <c r="H95" i="5"/>
  <c r="F95" i="5"/>
  <c r="C95" i="5"/>
  <c r="I94" i="5"/>
  <c r="H94" i="5"/>
  <c r="F94" i="5"/>
  <c r="C94" i="5"/>
  <c r="H93" i="5"/>
  <c r="I93" i="5" s="1"/>
  <c r="F93" i="5"/>
  <c r="C93" i="5"/>
  <c r="H92" i="5"/>
  <c r="I92" i="5" s="1"/>
  <c r="F92" i="5"/>
  <c r="C92" i="5"/>
  <c r="I91" i="5"/>
  <c r="H91" i="5"/>
  <c r="F91" i="5"/>
  <c r="C91" i="5"/>
  <c r="I90" i="5"/>
  <c r="H90" i="5"/>
  <c r="F90" i="5"/>
  <c r="C90" i="5"/>
  <c r="H89" i="5"/>
  <c r="I89" i="5" s="1"/>
  <c r="F89" i="5"/>
  <c r="C89" i="5"/>
  <c r="H88" i="5"/>
  <c r="I88" i="5" s="1"/>
  <c r="F88" i="5"/>
  <c r="C88" i="5"/>
  <c r="I87" i="5"/>
  <c r="H87" i="5"/>
  <c r="F87" i="5"/>
  <c r="C87" i="5"/>
  <c r="I86" i="5"/>
  <c r="H86" i="5"/>
  <c r="F86" i="5"/>
  <c r="C86" i="5"/>
  <c r="H85" i="5"/>
  <c r="I85" i="5" s="1"/>
  <c r="F85" i="5"/>
  <c r="C85" i="5"/>
  <c r="H84" i="5"/>
  <c r="I84" i="5" s="1"/>
  <c r="F84" i="5"/>
  <c r="C84" i="5"/>
  <c r="I83" i="5"/>
  <c r="H83" i="5"/>
  <c r="F83" i="5"/>
  <c r="C83" i="5"/>
  <c r="I82" i="5"/>
  <c r="H82" i="5"/>
  <c r="F82" i="5"/>
  <c r="C82" i="5"/>
  <c r="H81" i="5"/>
  <c r="I81" i="5" s="1"/>
  <c r="F81" i="5"/>
  <c r="C81" i="5"/>
  <c r="H80" i="5"/>
  <c r="I80" i="5" s="1"/>
  <c r="F80" i="5"/>
  <c r="C80" i="5"/>
  <c r="I79" i="5"/>
  <c r="H79" i="5"/>
  <c r="F79" i="5"/>
  <c r="C79" i="5"/>
  <c r="I78" i="5"/>
  <c r="H78" i="5"/>
  <c r="F78" i="5"/>
  <c r="C78" i="5"/>
  <c r="H77" i="5"/>
  <c r="I77" i="5" s="1"/>
  <c r="F77" i="5"/>
  <c r="C77" i="5"/>
  <c r="H76" i="5"/>
  <c r="I76" i="5" s="1"/>
  <c r="F76" i="5"/>
  <c r="C76" i="5"/>
  <c r="I75" i="5"/>
  <c r="H75" i="5"/>
  <c r="F75" i="5"/>
  <c r="C75" i="5"/>
  <c r="I74" i="5"/>
  <c r="H74" i="5"/>
  <c r="F74" i="5"/>
  <c r="C74" i="5"/>
  <c r="H73" i="5"/>
  <c r="I73" i="5" s="1"/>
  <c r="F73" i="5"/>
  <c r="C73" i="5"/>
  <c r="H72" i="5"/>
  <c r="I72" i="5" s="1"/>
  <c r="F72" i="5"/>
  <c r="C72" i="5"/>
  <c r="I71" i="5"/>
  <c r="H71" i="5"/>
  <c r="F71" i="5"/>
  <c r="C71" i="5"/>
  <c r="I70" i="5"/>
  <c r="H70" i="5"/>
  <c r="F70" i="5"/>
  <c r="C70" i="5"/>
  <c r="H69" i="5"/>
  <c r="I69" i="5" s="1"/>
  <c r="F69" i="5"/>
  <c r="C69" i="5"/>
  <c r="H68" i="5"/>
  <c r="I68" i="5" s="1"/>
  <c r="F68" i="5"/>
  <c r="C68" i="5"/>
  <c r="I67" i="5"/>
  <c r="H67" i="5"/>
  <c r="F67" i="5"/>
  <c r="C67" i="5"/>
  <c r="I65" i="5"/>
  <c r="H65" i="5"/>
  <c r="F65" i="5"/>
  <c r="C65" i="5"/>
  <c r="H64" i="5"/>
  <c r="I64" i="5" s="1"/>
  <c r="F64" i="5"/>
  <c r="C64" i="5"/>
  <c r="H63" i="5"/>
  <c r="I63" i="5" s="1"/>
  <c r="F63" i="5"/>
  <c r="C63" i="5"/>
  <c r="I62" i="5"/>
  <c r="H62" i="5"/>
  <c r="F62" i="5"/>
  <c r="C62" i="5"/>
  <c r="I61" i="5"/>
  <c r="H61" i="5"/>
  <c r="F61" i="5"/>
  <c r="C61" i="5"/>
  <c r="H60" i="5"/>
  <c r="I60" i="5" s="1"/>
  <c r="F60" i="5"/>
  <c r="C60" i="5"/>
  <c r="H59" i="5"/>
  <c r="I59" i="5" s="1"/>
  <c r="F59" i="5"/>
  <c r="C59" i="5"/>
  <c r="I58" i="5"/>
  <c r="H58" i="5"/>
  <c r="F58" i="5"/>
  <c r="C58" i="5"/>
  <c r="I57" i="5"/>
  <c r="H57" i="5"/>
  <c r="F57" i="5"/>
  <c r="C57" i="5"/>
  <c r="H56" i="5"/>
  <c r="I56" i="5" s="1"/>
  <c r="F56" i="5"/>
  <c r="C56" i="5"/>
  <c r="H55" i="5"/>
  <c r="I55" i="5" s="1"/>
  <c r="F55" i="5"/>
  <c r="C55" i="5"/>
  <c r="I54" i="5"/>
  <c r="H54" i="5"/>
  <c r="F54" i="5"/>
  <c r="C54" i="5"/>
  <c r="I53" i="5"/>
  <c r="H53" i="5"/>
  <c r="F53" i="5"/>
  <c r="C53" i="5"/>
  <c r="H52" i="5"/>
  <c r="I52" i="5" s="1"/>
  <c r="F52" i="5"/>
  <c r="C52" i="5"/>
  <c r="H51" i="5"/>
  <c r="I51" i="5" s="1"/>
  <c r="F51" i="5"/>
  <c r="C51" i="5"/>
  <c r="I50" i="5"/>
  <c r="H50" i="5"/>
  <c r="F50" i="5"/>
  <c r="C50" i="5"/>
  <c r="I49" i="5"/>
  <c r="H49" i="5"/>
  <c r="F49" i="5"/>
  <c r="C49" i="5"/>
  <c r="H48" i="5"/>
  <c r="I48" i="5" s="1"/>
  <c r="F48" i="5"/>
  <c r="C48" i="5"/>
  <c r="H47" i="5"/>
  <c r="I47" i="5" s="1"/>
  <c r="F47" i="5"/>
  <c r="C47" i="5"/>
  <c r="I46" i="5"/>
  <c r="H46" i="5"/>
  <c r="F46" i="5"/>
  <c r="C46" i="5"/>
  <c r="I45" i="5"/>
  <c r="H45" i="5"/>
  <c r="F45" i="5"/>
  <c r="C45" i="5"/>
  <c r="H44" i="5"/>
  <c r="I44" i="5" s="1"/>
  <c r="F44" i="5"/>
  <c r="C44" i="5"/>
  <c r="H43" i="5"/>
  <c r="I43" i="5" s="1"/>
  <c r="F43" i="5"/>
  <c r="C43" i="5"/>
  <c r="I42" i="5"/>
  <c r="H42" i="5"/>
  <c r="F42" i="5"/>
  <c r="C42" i="5"/>
  <c r="I41" i="5"/>
  <c r="H41" i="5"/>
  <c r="F41" i="5"/>
  <c r="C41" i="5"/>
  <c r="H40" i="5"/>
  <c r="I40" i="5" s="1"/>
  <c r="F40" i="5"/>
  <c r="C40" i="5"/>
  <c r="H39" i="5"/>
  <c r="I39" i="5" s="1"/>
  <c r="F39" i="5"/>
  <c r="C39" i="5"/>
  <c r="I38" i="5"/>
  <c r="H38" i="5"/>
  <c r="F38" i="5"/>
  <c r="C38" i="5"/>
  <c r="I37" i="5"/>
  <c r="H37" i="5"/>
  <c r="F37" i="5"/>
  <c r="C37" i="5"/>
  <c r="H36" i="5"/>
  <c r="I36" i="5" s="1"/>
  <c r="F36" i="5"/>
  <c r="C36" i="5"/>
  <c r="H35" i="5"/>
  <c r="I35" i="5" s="1"/>
  <c r="F35" i="5"/>
  <c r="C35" i="5"/>
  <c r="I34" i="5"/>
  <c r="H34" i="5"/>
  <c r="F34" i="5"/>
  <c r="C34" i="5"/>
  <c r="I33" i="5"/>
  <c r="H33" i="5"/>
  <c r="F33" i="5"/>
  <c r="C33" i="5"/>
  <c r="H32" i="5"/>
  <c r="I32" i="5" s="1"/>
  <c r="F32" i="5"/>
  <c r="C32" i="5"/>
  <c r="H31" i="5"/>
  <c r="I31" i="5" s="1"/>
  <c r="F31" i="5"/>
  <c r="C31" i="5"/>
  <c r="I30" i="5"/>
  <c r="H30" i="5"/>
  <c r="F30" i="5"/>
  <c r="C30" i="5"/>
  <c r="I29" i="5"/>
  <c r="H29" i="5"/>
  <c r="F29" i="5"/>
  <c r="C29" i="5"/>
  <c r="H28" i="5"/>
  <c r="I28" i="5" s="1"/>
  <c r="F28" i="5"/>
  <c r="C28" i="5"/>
  <c r="H27" i="5"/>
  <c r="I27" i="5" s="1"/>
  <c r="F27" i="5"/>
  <c r="C27" i="5"/>
  <c r="I26" i="5"/>
  <c r="H26" i="5"/>
  <c r="F26" i="5"/>
  <c r="C26" i="5"/>
  <c r="I25" i="5"/>
  <c r="H25" i="5"/>
  <c r="F25" i="5"/>
  <c r="C25" i="5"/>
  <c r="H24" i="5"/>
  <c r="I24" i="5" s="1"/>
  <c r="F24" i="5"/>
  <c r="C24" i="5"/>
  <c r="H23" i="5"/>
  <c r="I23" i="5" s="1"/>
  <c r="F23" i="5"/>
  <c r="C23" i="5"/>
  <c r="I22" i="5"/>
  <c r="H22" i="5"/>
  <c r="F22" i="5"/>
  <c r="C22" i="5"/>
  <c r="I21" i="5"/>
  <c r="H21" i="5"/>
  <c r="F21" i="5"/>
  <c r="C21" i="5"/>
  <c r="H20" i="5"/>
  <c r="I20" i="5" s="1"/>
  <c r="F20" i="5"/>
  <c r="C20" i="5"/>
  <c r="H19" i="5"/>
  <c r="I19" i="5" s="1"/>
  <c r="F19" i="5"/>
  <c r="C19" i="5"/>
  <c r="I18" i="5"/>
  <c r="H18" i="5"/>
  <c r="F18" i="5"/>
  <c r="C18" i="5"/>
  <c r="I17" i="5"/>
  <c r="H17" i="5"/>
  <c r="F17" i="5"/>
  <c r="C17" i="5"/>
  <c r="H16" i="5"/>
  <c r="I16" i="5" s="1"/>
  <c r="F16" i="5"/>
  <c r="C16" i="5"/>
  <c r="O10" i="5"/>
  <c r="G10" i="5"/>
  <c r="O9" i="5"/>
  <c r="G9" i="5"/>
  <c r="R6" i="5"/>
  <c r="O6" i="5"/>
  <c r="J6" i="5"/>
  <c r="E6" i="5"/>
  <c r="J5" i="5"/>
  <c r="E5" i="5"/>
  <c r="H116" i="4"/>
  <c r="I116" i="4" s="1"/>
  <c r="F116" i="4"/>
  <c r="C116" i="4"/>
  <c r="H115" i="4"/>
  <c r="I115" i="4" s="1"/>
  <c r="F115" i="4"/>
  <c r="C115" i="4"/>
  <c r="H114" i="4"/>
  <c r="I114" i="4" s="1"/>
  <c r="F114" i="4"/>
  <c r="C114" i="4"/>
  <c r="H113" i="4"/>
  <c r="I113" i="4" s="1"/>
  <c r="F113" i="4"/>
  <c r="C113" i="4"/>
  <c r="H112" i="4"/>
  <c r="I112" i="4" s="1"/>
  <c r="F112" i="4"/>
  <c r="C112" i="4"/>
  <c r="H111" i="4"/>
  <c r="I111" i="4" s="1"/>
  <c r="F111" i="4"/>
  <c r="C111" i="4"/>
  <c r="H110" i="4"/>
  <c r="I110" i="4" s="1"/>
  <c r="F110" i="4"/>
  <c r="C110" i="4"/>
  <c r="H109" i="4"/>
  <c r="I109" i="4" s="1"/>
  <c r="F109" i="4"/>
  <c r="C109" i="4"/>
  <c r="H108" i="4"/>
  <c r="I108" i="4" s="1"/>
  <c r="F108" i="4"/>
  <c r="C108" i="4"/>
  <c r="H107" i="4"/>
  <c r="I107" i="4" s="1"/>
  <c r="F107" i="4"/>
  <c r="C107" i="4"/>
  <c r="H106" i="4"/>
  <c r="I106" i="4" s="1"/>
  <c r="F106" i="4"/>
  <c r="C106" i="4"/>
  <c r="H105" i="4"/>
  <c r="I105" i="4" s="1"/>
  <c r="F105" i="4"/>
  <c r="C105" i="4"/>
  <c r="H104" i="4"/>
  <c r="I104" i="4" s="1"/>
  <c r="F104" i="4"/>
  <c r="C104" i="4"/>
  <c r="H103" i="4"/>
  <c r="I103" i="4" s="1"/>
  <c r="F103" i="4"/>
  <c r="C103" i="4"/>
  <c r="H102" i="4"/>
  <c r="I102" i="4" s="1"/>
  <c r="F102" i="4"/>
  <c r="C102" i="4"/>
  <c r="H101" i="4"/>
  <c r="I101" i="4" s="1"/>
  <c r="F101" i="4"/>
  <c r="C101" i="4"/>
  <c r="H100" i="4"/>
  <c r="I100" i="4" s="1"/>
  <c r="F100" i="4"/>
  <c r="C100" i="4"/>
  <c r="H99" i="4"/>
  <c r="I99" i="4" s="1"/>
  <c r="F99" i="4"/>
  <c r="C99" i="4"/>
  <c r="H98" i="4"/>
  <c r="I98" i="4" s="1"/>
  <c r="F98" i="4"/>
  <c r="C98" i="4"/>
  <c r="H97" i="4"/>
  <c r="I97" i="4" s="1"/>
  <c r="F97" i="4"/>
  <c r="C97" i="4"/>
  <c r="H96" i="4"/>
  <c r="I96" i="4" s="1"/>
  <c r="F96" i="4"/>
  <c r="C96" i="4"/>
  <c r="H95" i="4"/>
  <c r="I95" i="4" s="1"/>
  <c r="F95" i="4"/>
  <c r="C95" i="4"/>
  <c r="H94" i="4"/>
  <c r="I94" i="4" s="1"/>
  <c r="F94" i="4"/>
  <c r="C94" i="4"/>
  <c r="H93" i="4"/>
  <c r="I93" i="4" s="1"/>
  <c r="F93" i="4"/>
  <c r="C93" i="4"/>
  <c r="H92" i="4"/>
  <c r="I92" i="4" s="1"/>
  <c r="F92" i="4"/>
  <c r="C92" i="4"/>
  <c r="H91" i="4"/>
  <c r="I91" i="4" s="1"/>
  <c r="F91" i="4"/>
  <c r="C91" i="4"/>
  <c r="H90" i="4"/>
  <c r="I90" i="4" s="1"/>
  <c r="F90" i="4"/>
  <c r="C90" i="4"/>
  <c r="H89" i="4"/>
  <c r="I89" i="4" s="1"/>
  <c r="F89" i="4"/>
  <c r="C89" i="4"/>
  <c r="H88" i="4"/>
  <c r="I88" i="4" s="1"/>
  <c r="F88" i="4"/>
  <c r="C88" i="4"/>
  <c r="H87" i="4"/>
  <c r="I87" i="4" s="1"/>
  <c r="F87" i="4"/>
  <c r="C87" i="4"/>
  <c r="H86" i="4"/>
  <c r="I86" i="4" s="1"/>
  <c r="F86" i="4"/>
  <c r="C86" i="4"/>
  <c r="H85" i="4"/>
  <c r="I85" i="4" s="1"/>
  <c r="F85" i="4"/>
  <c r="C85" i="4"/>
  <c r="H84" i="4"/>
  <c r="I84" i="4" s="1"/>
  <c r="F84" i="4"/>
  <c r="C84" i="4"/>
  <c r="H83" i="4"/>
  <c r="I83" i="4" s="1"/>
  <c r="F83" i="4"/>
  <c r="C83" i="4"/>
  <c r="H82" i="4"/>
  <c r="I82" i="4" s="1"/>
  <c r="F82" i="4"/>
  <c r="C82" i="4"/>
  <c r="H81" i="4"/>
  <c r="I81" i="4" s="1"/>
  <c r="F81" i="4"/>
  <c r="C81" i="4"/>
  <c r="H80" i="4"/>
  <c r="I80" i="4" s="1"/>
  <c r="F80" i="4"/>
  <c r="C80" i="4"/>
  <c r="H79" i="4"/>
  <c r="I79" i="4" s="1"/>
  <c r="F79" i="4"/>
  <c r="C79" i="4"/>
  <c r="H78" i="4"/>
  <c r="I78" i="4" s="1"/>
  <c r="F78" i="4"/>
  <c r="C78" i="4"/>
  <c r="H77" i="4"/>
  <c r="I77" i="4" s="1"/>
  <c r="F77" i="4"/>
  <c r="C77" i="4"/>
  <c r="H76" i="4"/>
  <c r="I76" i="4" s="1"/>
  <c r="F76" i="4"/>
  <c r="C76" i="4"/>
  <c r="H75" i="4"/>
  <c r="I75" i="4" s="1"/>
  <c r="F75" i="4"/>
  <c r="C75" i="4"/>
  <c r="H74" i="4"/>
  <c r="I74" i="4" s="1"/>
  <c r="F74" i="4"/>
  <c r="C74" i="4"/>
  <c r="H73" i="4"/>
  <c r="I73" i="4" s="1"/>
  <c r="F73" i="4"/>
  <c r="C73" i="4"/>
  <c r="H72" i="4"/>
  <c r="I72" i="4" s="1"/>
  <c r="F72" i="4"/>
  <c r="C72" i="4"/>
  <c r="H71" i="4"/>
  <c r="I71" i="4" s="1"/>
  <c r="F71" i="4"/>
  <c r="C71" i="4"/>
  <c r="H70" i="4"/>
  <c r="I70" i="4" s="1"/>
  <c r="F70" i="4"/>
  <c r="C70" i="4"/>
  <c r="H69" i="4"/>
  <c r="I69" i="4" s="1"/>
  <c r="F69" i="4"/>
  <c r="C69" i="4"/>
  <c r="H68" i="4"/>
  <c r="I68" i="4" s="1"/>
  <c r="F68" i="4"/>
  <c r="C68" i="4"/>
  <c r="H67" i="4"/>
  <c r="I67" i="4" s="1"/>
  <c r="F67" i="4"/>
  <c r="C67" i="4"/>
  <c r="H65" i="4"/>
  <c r="I65" i="4" s="1"/>
  <c r="F65" i="4"/>
  <c r="C65" i="4"/>
  <c r="H64" i="4"/>
  <c r="I64" i="4" s="1"/>
  <c r="F64" i="4"/>
  <c r="C64" i="4"/>
  <c r="H63" i="4"/>
  <c r="I63" i="4" s="1"/>
  <c r="F63" i="4"/>
  <c r="C63" i="4"/>
  <c r="H62" i="4"/>
  <c r="I62" i="4" s="1"/>
  <c r="F62" i="4"/>
  <c r="C62" i="4"/>
  <c r="H61" i="4"/>
  <c r="I61" i="4" s="1"/>
  <c r="F61" i="4"/>
  <c r="C61" i="4"/>
  <c r="H60" i="4"/>
  <c r="I60" i="4" s="1"/>
  <c r="F60" i="4"/>
  <c r="C60" i="4"/>
  <c r="H59" i="4"/>
  <c r="I59" i="4" s="1"/>
  <c r="F59" i="4"/>
  <c r="C59" i="4"/>
  <c r="H58" i="4"/>
  <c r="I58" i="4" s="1"/>
  <c r="F58" i="4"/>
  <c r="C58" i="4"/>
  <c r="H57" i="4"/>
  <c r="I57" i="4" s="1"/>
  <c r="F57" i="4"/>
  <c r="C57" i="4"/>
  <c r="H56" i="4"/>
  <c r="I56" i="4" s="1"/>
  <c r="F56" i="4"/>
  <c r="C56" i="4"/>
  <c r="H55" i="4"/>
  <c r="I55" i="4" s="1"/>
  <c r="F55" i="4"/>
  <c r="C55" i="4"/>
  <c r="H54" i="4"/>
  <c r="I54" i="4" s="1"/>
  <c r="F54" i="4"/>
  <c r="C54" i="4"/>
  <c r="H53" i="4"/>
  <c r="I53" i="4" s="1"/>
  <c r="F53" i="4"/>
  <c r="C53" i="4"/>
  <c r="H52" i="4"/>
  <c r="I52" i="4" s="1"/>
  <c r="F52" i="4"/>
  <c r="C52" i="4"/>
  <c r="H51" i="4"/>
  <c r="I51" i="4" s="1"/>
  <c r="F51" i="4"/>
  <c r="C51" i="4"/>
  <c r="H50" i="4"/>
  <c r="I50" i="4" s="1"/>
  <c r="F50" i="4"/>
  <c r="C50" i="4"/>
  <c r="H49" i="4"/>
  <c r="I49" i="4" s="1"/>
  <c r="F49" i="4"/>
  <c r="C49" i="4"/>
  <c r="H48" i="4"/>
  <c r="I48" i="4" s="1"/>
  <c r="F48" i="4"/>
  <c r="C48" i="4"/>
  <c r="H47" i="4"/>
  <c r="I47" i="4" s="1"/>
  <c r="F47" i="4"/>
  <c r="C47" i="4"/>
  <c r="H46" i="4"/>
  <c r="I46" i="4" s="1"/>
  <c r="F46" i="4"/>
  <c r="C46" i="4"/>
  <c r="H45" i="4"/>
  <c r="I45" i="4" s="1"/>
  <c r="F45" i="4"/>
  <c r="C45" i="4"/>
  <c r="H44" i="4"/>
  <c r="I44" i="4" s="1"/>
  <c r="F44" i="4"/>
  <c r="C44" i="4"/>
  <c r="H43" i="4"/>
  <c r="I43" i="4" s="1"/>
  <c r="F43" i="4"/>
  <c r="C43" i="4"/>
  <c r="H42" i="4"/>
  <c r="I42" i="4" s="1"/>
  <c r="F42" i="4"/>
  <c r="C42" i="4"/>
  <c r="H41" i="4"/>
  <c r="I41" i="4" s="1"/>
  <c r="F41" i="4"/>
  <c r="C41" i="4"/>
  <c r="H40" i="4"/>
  <c r="I40" i="4" s="1"/>
  <c r="F40" i="4"/>
  <c r="C40" i="4"/>
  <c r="H39" i="4"/>
  <c r="I39" i="4" s="1"/>
  <c r="F39" i="4"/>
  <c r="C39" i="4"/>
  <c r="H38" i="4"/>
  <c r="I38" i="4" s="1"/>
  <c r="F38" i="4"/>
  <c r="C38" i="4"/>
  <c r="H37" i="4"/>
  <c r="I37" i="4" s="1"/>
  <c r="F37" i="4"/>
  <c r="C37" i="4"/>
  <c r="H36" i="4"/>
  <c r="I36" i="4" s="1"/>
  <c r="F36" i="4"/>
  <c r="C36" i="4"/>
  <c r="H35" i="4"/>
  <c r="I35" i="4" s="1"/>
  <c r="F35" i="4"/>
  <c r="C35" i="4"/>
  <c r="H34" i="4"/>
  <c r="I34" i="4" s="1"/>
  <c r="F34" i="4"/>
  <c r="C34" i="4"/>
  <c r="H33" i="4"/>
  <c r="I33" i="4" s="1"/>
  <c r="F33" i="4"/>
  <c r="C33" i="4"/>
  <c r="H32" i="4"/>
  <c r="I32" i="4" s="1"/>
  <c r="F32" i="4"/>
  <c r="C32" i="4"/>
  <c r="H31" i="4"/>
  <c r="I31" i="4" s="1"/>
  <c r="F31" i="4"/>
  <c r="C31" i="4"/>
  <c r="H30" i="4"/>
  <c r="I30" i="4" s="1"/>
  <c r="F30" i="4"/>
  <c r="C30" i="4"/>
  <c r="H29" i="4"/>
  <c r="I29" i="4" s="1"/>
  <c r="F29" i="4"/>
  <c r="C29" i="4"/>
  <c r="H28" i="4"/>
  <c r="I28" i="4" s="1"/>
  <c r="F28" i="4"/>
  <c r="C28" i="4"/>
  <c r="H27" i="4"/>
  <c r="I27" i="4" s="1"/>
  <c r="F27" i="4"/>
  <c r="C27" i="4"/>
  <c r="H26" i="4"/>
  <c r="I26" i="4" s="1"/>
  <c r="F26" i="4"/>
  <c r="C26" i="4"/>
  <c r="H25" i="4"/>
  <c r="I25" i="4" s="1"/>
  <c r="F25" i="4"/>
  <c r="C25" i="4"/>
  <c r="H24" i="4"/>
  <c r="I24" i="4" s="1"/>
  <c r="F24" i="4"/>
  <c r="C24" i="4"/>
  <c r="H23" i="4"/>
  <c r="I23" i="4" s="1"/>
  <c r="F23" i="4"/>
  <c r="C23" i="4"/>
  <c r="H22" i="4"/>
  <c r="I22" i="4" s="1"/>
  <c r="F22" i="4"/>
  <c r="C22" i="4"/>
  <c r="H21" i="4"/>
  <c r="I21" i="4" s="1"/>
  <c r="F21" i="4"/>
  <c r="C21" i="4"/>
  <c r="H20" i="4"/>
  <c r="I20" i="4" s="1"/>
  <c r="F20" i="4"/>
  <c r="C20" i="4"/>
  <c r="H19" i="4"/>
  <c r="I19" i="4" s="1"/>
  <c r="F19" i="4"/>
  <c r="C19" i="4"/>
  <c r="H18" i="4"/>
  <c r="I18" i="4" s="1"/>
  <c r="F18" i="4"/>
  <c r="C18" i="4"/>
  <c r="H17" i="4"/>
  <c r="I17" i="4" s="1"/>
  <c r="F17" i="4"/>
  <c r="C17" i="4"/>
  <c r="H16" i="4"/>
  <c r="I16" i="4" s="1"/>
  <c r="F16" i="4"/>
  <c r="C16" i="4"/>
  <c r="O10" i="4"/>
  <c r="G10" i="4"/>
  <c r="O9" i="4"/>
  <c r="G9" i="4"/>
  <c r="O6" i="4"/>
  <c r="J6" i="4"/>
  <c r="E6" i="4"/>
  <c r="J5" i="4"/>
  <c r="E5" i="4"/>
  <c r="H116" i="3"/>
  <c r="I116" i="3" s="1"/>
  <c r="F116" i="3"/>
  <c r="C116" i="3"/>
  <c r="H115" i="3"/>
  <c r="I115" i="3" s="1"/>
  <c r="F115" i="3"/>
  <c r="C115" i="3"/>
  <c r="I114" i="3"/>
  <c r="H114" i="3"/>
  <c r="F114" i="3"/>
  <c r="C114" i="3"/>
  <c r="I113" i="3"/>
  <c r="H113" i="3"/>
  <c r="F113" i="3"/>
  <c r="C113" i="3"/>
  <c r="H112" i="3"/>
  <c r="I112" i="3" s="1"/>
  <c r="F112" i="3"/>
  <c r="C112" i="3"/>
  <c r="H111" i="3"/>
  <c r="I111" i="3" s="1"/>
  <c r="F111" i="3"/>
  <c r="C111" i="3"/>
  <c r="I110" i="3"/>
  <c r="H110" i="3"/>
  <c r="F110" i="3"/>
  <c r="C110" i="3"/>
  <c r="I109" i="3"/>
  <c r="H109" i="3"/>
  <c r="F109" i="3"/>
  <c r="C109" i="3"/>
  <c r="H108" i="3"/>
  <c r="I108" i="3" s="1"/>
  <c r="F108" i="3"/>
  <c r="C108" i="3"/>
  <c r="H107" i="3"/>
  <c r="I107" i="3" s="1"/>
  <c r="F107" i="3"/>
  <c r="C107" i="3"/>
  <c r="I106" i="3"/>
  <c r="H106" i="3"/>
  <c r="F106" i="3"/>
  <c r="C106" i="3"/>
  <c r="I105" i="3"/>
  <c r="H105" i="3"/>
  <c r="F105" i="3"/>
  <c r="C105" i="3"/>
  <c r="H104" i="3"/>
  <c r="I104" i="3" s="1"/>
  <c r="F104" i="3"/>
  <c r="C104" i="3"/>
  <c r="H103" i="3"/>
  <c r="I103" i="3" s="1"/>
  <c r="F103" i="3"/>
  <c r="C103" i="3"/>
  <c r="I102" i="3"/>
  <c r="H102" i="3"/>
  <c r="F102" i="3"/>
  <c r="C102" i="3"/>
  <c r="I101" i="3"/>
  <c r="H101" i="3"/>
  <c r="F101" i="3"/>
  <c r="C101" i="3"/>
  <c r="H100" i="3"/>
  <c r="I100" i="3" s="1"/>
  <c r="F100" i="3"/>
  <c r="C100" i="3"/>
  <c r="H99" i="3"/>
  <c r="I99" i="3" s="1"/>
  <c r="F99" i="3"/>
  <c r="C99" i="3"/>
  <c r="I98" i="3"/>
  <c r="H98" i="3"/>
  <c r="F98" i="3"/>
  <c r="C98" i="3"/>
  <c r="I97" i="3"/>
  <c r="H97" i="3"/>
  <c r="F97" i="3"/>
  <c r="C97" i="3"/>
  <c r="H96" i="3"/>
  <c r="I96" i="3" s="1"/>
  <c r="F96" i="3"/>
  <c r="C96" i="3"/>
  <c r="H95" i="3"/>
  <c r="I95" i="3" s="1"/>
  <c r="F95" i="3"/>
  <c r="C95" i="3"/>
  <c r="I94" i="3"/>
  <c r="H94" i="3"/>
  <c r="F94" i="3"/>
  <c r="C94" i="3"/>
  <c r="I93" i="3"/>
  <c r="H93" i="3"/>
  <c r="F93" i="3"/>
  <c r="C93" i="3"/>
  <c r="H92" i="3"/>
  <c r="I92" i="3" s="1"/>
  <c r="F92" i="3"/>
  <c r="C92" i="3"/>
  <c r="H91" i="3"/>
  <c r="I91" i="3" s="1"/>
  <c r="F91" i="3"/>
  <c r="C91" i="3"/>
  <c r="I90" i="3"/>
  <c r="H90" i="3"/>
  <c r="F90" i="3"/>
  <c r="C90" i="3"/>
  <c r="I89" i="3"/>
  <c r="H89" i="3"/>
  <c r="F89" i="3"/>
  <c r="C89" i="3"/>
  <c r="H88" i="3"/>
  <c r="I88" i="3" s="1"/>
  <c r="F88" i="3"/>
  <c r="C88" i="3"/>
  <c r="H87" i="3"/>
  <c r="I87" i="3" s="1"/>
  <c r="F87" i="3"/>
  <c r="C87" i="3"/>
  <c r="I86" i="3"/>
  <c r="H86" i="3"/>
  <c r="F86" i="3"/>
  <c r="C86" i="3"/>
  <c r="I85" i="3"/>
  <c r="H85" i="3"/>
  <c r="F85" i="3"/>
  <c r="C85" i="3"/>
  <c r="H84" i="3"/>
  <c r="I84" i="3" s="1"/>
  <c r="F84" i="3"/>
  <c r="C84" i="3"/>
  <c r="H83" i="3"/>
  <c r="I83" i="3" s="1"/>
  <c r="F83" i="3"/>
  <c r="C83" i="3"/>
  <c r="I82" i="3"/>
  <c r="H82" i="3"/>
  <c r="F82" i="3"/>
  <c r="C82" i="3"/>
  <c r="I81" i="3"/>
  <c r="H81" i="3"/>
  <c r="F81" i="3"/>
  <c r="C81" i="3"/>
  <c r="H80" i="3"/>
  <c r="I80" i="3" s="1"/>
  <c r="F80" i="3"/>
  <c r="C80" i="3"/>
  <c r="H79" i="3"/>
  <c r="I79" i="3" s="1"/>
  <c r="F79" i="3"/>
  <c r="C79" i="3"/>
  <c r="I78" i="3"/>
  <c r="H78" i="3"/>
  <c r="F78" i="3"/>
  <c r="C78" i="3"/>
  <c r="I77" i="3"/>
  <c r="H77" i="3"/>
  <c r="F77" i="3"/>
  <c r="C77" i="3"/>
  <c r="H76" i="3"/>
  <c r="I76" i="3" s="1"/>
  <c r="F76" i="3"/>
  <c r="C76" i="3"/>
  <c r="H75" i="3"/>
  <c r="I75" i="3" s="1"/>
  <c r="F75" i="3"/>
  <c r="C75" i="3"/>
  <c r="I74" i="3"/>
  <c r="H74" i="3"/>
  <c r="F74" i="3"/>
  <c r="C74" i="3"/>
  <c r="I73" i="3"/>
  <c r="H73" i="3"/>
  <c r="F73" i="3"/>
  <c r="C73" i="3"/>
  <c r="H72" i="3"/>
  <c r="I72" i="3" s="1"/>
  <c r="F72" i="3"/>
  <c r="C72" i="3"/>
  <c r="H71" i="3"/>
  <c r="I71" i="3" s="1"/>
  <c r="F71" i="3"/>
  <c r="C71" i="3"/>
  <c r="I70" i="3"/>
  <c r="H70" i="3"/>
  <c r="F70" i="3"/>
  <c r="C70" i="3"/>
  <c r="I69" i="3"/>
  <c r="H69" i="3"/>
  <c r="F69" i="3"/>
  <c r="C69" i="3"/>
  <c r="H68" i="3"/>
  <c r="I68" i="3" s="1"/>
  <c r="F68" i="3"/>
  <c r="C68" i="3"/>
  <c r="H67" i="3"/>
  <c r="I67" i="3" s="1"/>
  <c r="F67" i="3"/>
  <c r="C67" i="3"/>
  <c r="I65" i="3"/>
  <c r="H65" i="3"/>
  <c r="F65" i="3"/>
  <c r="C65" i="3"/>
  <c r="I64" i="3"/>
  <c r="H64" i="3"/>
  <c r="F64" i="3"/>
  <c r="C64" i="3"/>
  <c r="H63" i="3"/>
  <c r="I63" i="3" s="1"/>
  <c r="F63" i="3"/>
  <c r="C63" i="3"/>
  <c r="H62" i="3"/>
  <c r="I62" i="3" s="1"/>
  <c r="F62" i="3"/>
  <c r="C62" i="3"/>
  <c r="I61" i="3"/>
  <c r="H61" i="3"/>
  <c r="F61" i="3"/>
  <c r="C61" i="3"/>
  <c r="I60" i="3"/>
  <c r="H60" i="3"/>
  <c r="F60" i="3"/>
  <c r="C60" i="3"/>
  <c r="H59" i="3"/>
  <c r="I59" i="3" s="1"/>
  <c r="F59" i="3"/>
  <c r="C59" i="3"/>
  <c r="H58" i="3"/>
  <c r="I58" i="3" s="1"/>
  <c r="F58" i="3"/>
  <c r="C58" i="3"/>
  <c r="I57" i="3"/>
  <c r="H57" i="3"/>
  <c r="F57" i="3"/>
  <c r="C57" i="3"/>
  <c r="I56" i="3"/>
  <c r="H56" i="3"/>
  <c r="F56" i="3"/>
  <c r="C56" i="3"/>
  <c r="H55" i="3"/>
  <c r="I55" i="3" s="1"/>
  <c r="F55" i="3"/>
  <c r="C55" i="3"/>
  <c r="H54" i="3"/>
  <c r="I54" i="3" s="1"/>
  <c r="F54" i="3"/>
  <c r="C54" i="3"/>
  <c r="I53" i="3"/>
  <c r="H53" i="3"/>
  <c r="F53" i="3"/>
  <c r="C53" i="3"/>
  <c r="I52" i="3"/>
  <c r="H52" i="3"/>
  <c r="F52" i="3"/>
  <c r="C52" i="3"/>
  <c r="H51" i="3"/>
  <c r="I51" i="3" s="1"/>
  <c r="F51" i="3"/>
  <c r="C51" i="3"/>
  <c r="H50" i="3"/>
  <c r="I50" i="3" s="1"/>
  <c r="F50" i="3"/>
  <c r="C50" i="3"/>
  <c r="I49" i="3"/>
  <c r="H49" i="3"/>
  <c r="F49" i="3"/>
  <c r="C49" i="3"/>
  <c r="I48" i="3"/>
  <c r="H48" i="3"/>
  <c r="F48" i="3"/>
  <c r="C48" i="3"/>
  <c r="H47" i="3"/>
  <c r="I47" i="3" s="1"/>
  <c r="F47" i="3"/>
  <c r="C47" i="3"/>
  <c r="H46" i="3"/>
  <c r="I46" i="3" s="1"/>
  <c r="F46" i="3"/>
  <c r="C46" i="3"/>
  <c r="I45" i="3"/>
  <c r="H45" i="3"/>
  <c r="F45" i="3"/>
  <c r="C45" i="3"/>
  <c r="I44" i="3"/>
  <c r="H44" i="3"/>
  <c r="F44" i="3"/>
  <c r="C44" i="3"/>
  <c r="H43" i="3"/>
  <c r="I43" i="3" s="1"/>
  <c r="F43" i="3"/>
  <c r="C43" i="3"/>
  <c r="H42" i="3"/>
  <c r="I42" i="3" s="1"/>
  <c r="F42" i="3"/>
  <c r="C42" i="3"/>
  <c r="I41" i="3"/>
  <c r="H41" i="3"/>
  <c r="F41" i="3"/>
  <c r="C41" i="3"/>
  <c r="I40" i="3"/>
  <c r="H40" i="3"/>
  <c r="F40" i="3"/>
  <c r="C40" i="3"/>
  <c r="H39" i="3"/>
  <c r="I39" i="3" s="1"/>
  <c r="F39" i="3"/>
  <c r="C39" i="3"/>
  <c r="H38" i="3"/>
  <c r="I38" i="3" s="1"/>
  <c r="F38" i="3"/>
  <c r="C38" i="3"/>
  <c r="I37" i="3"/>
  <c r="H37" i="3"/>
  <c r="F37" i="3"/>
  <c r="C37" i="3"/>
  <c r="I36" i="3"/>
  <c r="H36" i="3"/>
  <c r="F36" i="3"/>
  <c r="C36" i="3"/>
  <c r="H35" i="3"/>
  <c r="I35" i="3" s="1"/>
  <c r="F35" i="3"/>
  <c r="C35" i="3"/>
  <c r="H34" i="3"/>
  <c r="I34" i="3" s="1"/>
  <c r="F34" i="3"/>
  <c r="C34" i="3"/>
  <c r="I33" i="3"/>
  <c r="H33" i="3"/>
  <c r="F33" i="3"/>
  <c r="C33" i="3"/>
  <c r="I32" i="3"/>
  <c r="H32" i="3"/>
  <c r="F32" i="3"/>
  <c r="C32" i="3"/>
  <c r="H31" i="3"/>
  <c r="I31" i="3" s="1"/>
  <c r="F31" i="3"/>
  <c r="C31" i="3"/>
  <c r="H30" i="3"/>
  <c r="I30" i="3" s="1"/>
  <c r="F30" i="3"/>
  <c r="C30" i="3"/>
  <c r="I29" i="3"/>
  <c r="H29" i="3"/>
  <c r="F29" i="3"/>
  <c r="C29" i="3"/>
  <c r="I28" i="3"/>
  <c r="H28" i="3"/>
  <c r="F28" i="3"/>
  <c r="C28" i="3"/>
  <c r="H27" i="3"/>
  <c r="I27" i="3" s="1"/>
  <c r="F27" i="3"/>
  <c r="C27" i="3"/>
  <c r="H26" i="3"/>
  <c r="I26" i="3" s="1"/>
  <c r="F26" i="3"/>
  <c r="C26" i="3"/>
  <c r="I25" i="3"/>
  <c r="H25" i="3"/>
  <c r="F25" i="3"/>
  <c r="C25" i="3"/>
  <c r="I24" i="3"/>
  <c r="H24" i="3"/>
  <c r="F24" i="3"/>
  <c r="C24" i="3"/>
  <c r="H23" i="3"/>
  <c r="I23" i="3" s="1"/>
  <c r="F23" i="3"/>
  <c r="C23" i="3"/>
  <c r="H22" i="3"/>
  <c r="I22" i="3" s="1"/>
  <c r="F22" i="3"/>
  <c r="C22" i="3"/>
  <c r="I21" i="3"/>
  <c r="H21" i="3"/>
  <c r="F21" i="3"/>
  <c r="C21" i="3"/>
  <c r="I20" i="3"/>
  <c r="H20" i="3"/>
  <c r="F20" i="3"/>
  <c r="C20" i="3"/>
  <c r="H19" i="3"/>
  <c r="I19" i="3" s="1"/>
  <c r="F19" i="3"/>
  <c r="C19" i="3"/>
  <c r="H18" i="3"/>
  <c r="I18" i="3" s="1"/>
  <c r="F18" i="3"/>
  <c r="C18" i="3"/>
  <c r="I17" i="3"/>
  <c r="H17" i="3"/>
  <c r="F17" i="3"/>
  <c r="C17" i="3"/>
  <c r="I16" i="3"/>
  <c r="H16" i="3"/>
  <c r="F16" i="3"/>
  <c r="C16" i="3"/>
  <c r="O10" i="3"/>
  <c r="G10" i="3"/>
  <c r="O9" i="3"/>
  <c r="G9" i="3"/>
  <c r="O6" i="3"/>
  <c r="J6" i="3"/>
  <c r="E6" i="3"/>
  <c r="J5" i="3"/>
  <c r="E5" i="3"/>
  <c r="L37" i="6" l="1"/>
  <c r="K37" i="6"/>
  <c r="J44" i="6"/>
  <c r="K44" i="6" s="1"/>
  <c r="K33" i="6"/>
  <c r="L33" i="6"/>
  <c r="L44" i="6" s="1"/>
  <c r="L38" i="6"/>
  <c r="K38" i="6"/>
  <c r="K39" i="6"/>
  <c r="L39" i="6"/>
  <c r="L41" i="6"/>
  <c r="K41" i="6"/>
  <c r="L42" i="6"/>
  <c r="K42" i="6"/>
  <c r="K36" i="6"/>
  <c r="K43" i="6"/>
</calcChain>
</file>

<file path=xl/sharedStrings.xml><?xml version="1.0" encoding="utf-8"?>
<sst xmlns="http://schemas.openxmlformats.org/spreadsheetml/2006/main" count="465" uniqueCount="317">
  <si>
    <t>Input Data Sheet for Electronic-Class Record (ECR) for Class Adviser</t>
  </si>
  <si>
    <t>CLASS SUMMARY</t>
  </si>
  <si>
    <t>SCHOOL INFORMATION</t>
  </si>
  <si>
    <t>LEARNERS' DATA</t>
  </si>
  <si>
    <t>REGION</t>
  </si>
  <si>
    <t>DIVISION</t>
  </si>
  <si>
    <t>:</t>
  </si>
  <si>
    <t>SCHOOL NAME</t>
  </si>
  <si>
    <t>SCHOOL ID</t>
  </si>
  <si>
    <t>MALE</t>
  </si>
  <si>
    <t>SCHOOL YEAR</t>
  </si>
  <si>
    <t>LRN</t>
  </si>
  <si>
    <t>BIRTHDATE</t>
  </si>
  <si>
    <t>FEMALE</t>
  </si>
  <si>
    <t>FIRST TERM</t>
  </si>
  <si>
    <t>GRADE LEVEL</t>
  </si>
  <si>
    <t>SECTION</t>
  </si>
  <si>
    <t>CITY/MUNICIPALITY</t>
  </si>
  <si>
    <t>TRACK</t>
  </si>
  <si>
    <t>ADVISER</t>
  </si>
  <si>
    <t>LEARNERS' NAMES</t>
  </si>
  <si>
    <t>Date of Birth</t>
  </si>
  <si>
    <t>DISTRICT</t>
  </si>
  <si>
    <t>Age</t>
  </si>
  <si>
    <t>Sex</t>
  </si>
  <si>
    <t>Learning Areas</t>
  </si>
  <si>
    <t>Core Subjects</t>
  </si>
  <si>
    <t>Elective Subjects</t>
  </si>
  <si>
    <t>Effective Communication and Mabisang Komunikasyon</t>
  </si>
  <si>
    <t>General Mathematics</t>
  </si>
  <si>
    <t>General Science</t>
  </si>
  <si>
    <t>Life and Career Skills</t>
  </si>
  <si>
    <t>PKLP</t>
  </si>
  <si>
    <t>Academic Elective 1</t>
  </si>
  <si>
    <t>Term Grade</t>
  </si>
  <si>
    <t>Effective Communication</t>
  </si>
  <si>
    <t>Mabisang Komunikasyon</t>
  </si>
  <si>
    <t>Academic Elective 3</t>
  </si>
  <si>
    <t>M</t>
  </si>
  <si>
    <t>Academic Elective 2</t>
  </si>
  <si>
    <t>SCHOOL HEAD</t>
  </si>
  <si>
    <t>TEACHER, GRADE LEVEL, SECTION INFORMATION</t>
  </si>
  <si>
    <t>(Accepts Grade 11 only)</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</si>
  <si>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</si>
  <si>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r>
      <rPr>
        <b/>
        <sz val="12"/>
        <color theme="1"/>
        <rFont val="Arial"/>
        <family val="2"/>
      </rPr>
      <t xml:space="preserve">Sheet Protection Password: </t>
    </r>
    <r>
      <rPr>
        <b/>
        <sz val="12"/>
        <color rgb="FFFF0000"/>
        <rFont val="Arial"/>
        <family val="2"/>
      </rPr>
      <t>password123</t>
    </r>
  </si>
  <si>
    <t>2026_v1.0</t>
  </si>
  <si>
    <t>F</t>
  </si>
  <si>
    <t>Month</t>
  </si>
  <si>
    <t>Jun</t>
  </si>
  <si>
    <t>Jul</t>
  </si>
  <si>
    <t>Aug</t>
  </si>
  <si>
    <t>Sep</t>
  </si>
  <si>
    <t>Oct</t>
  </si>
  <si>
    <t>Nov</t>
  </si>
  <si>
    <t>Dec</t>
  </si>
  <si>
    <t>Jan</t>
  </si>
  <si>
    <t>Feb</t>
  </si>
  <si>
    <t>Mar</t>
  </si>
  <si>
    <t>Apr</t>
  </si>
  <si>
    <t>Total</t>
  </si>
  <si>
    <t>No. of Class Days</t>
  </si>
  <si>
    <t>No. of Days Present</t>
  </si>
  <si>
    <t>District</t>
  </si>
  <si>
    <t>No. of Days Absent</t>
  </si>
  <si>
    <t>Municipality/City, Province</t>
  </si>
  <si>
    <t>ABC NATIONAL HIGH SCHOOL</t>
  </si>
  <si>
    <t>LEARNER'S PERFORMANCE REPORT</t>
  </si>
  <si>
    <t>TEACHER'S COMMENTS / REMARKS</t>
  </si>
  <si>
    <t>School Year 2026-2027</t>
  </si>
  <si>
    <t>Term 1</t>
  </si>
  <si>
    <t>Name:</t>
  </si>
  <si>
    <t/>
  </si>
  <si>
    <t xml:space="preserve">  Age:</t>
  </si>
  <si>
    <t>Sex:</t>
  </si>
  <si>
    <t>LRN:</t>
  </si>
  <si>
    <t xml:space="preserve">  Grade:</t>
  </si>
  <si>
    <t>Section:</t>
  </si>
  <si>
    <t>Track (SHS only):</t>
  </si>
  <si>
    <t>Term 2</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</si>
  <si>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</si>
  <si>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</si>
  <si>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</si>
  <si>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</si>
  <si>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</si>
  <si>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</si>
  <si>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School Head</t>
  </si>
  <si>
    <t>Adviser</t>
  </si>
  <si>
    <t>PARENT/S GUARDIAN'S SIGNATURE</t>
  </si>
  <si>
    <t>LEARNING PROGRESS AND ACHIEVEMENT</t>
  </si>
  <si>
    <t>TERM</t>
  </si>
  <si>
    <t>Units</t>
  </si>
  <si>
    <t>Final Grade</t>
  </si>
  <si>
    <t>Remarks</t>
  </si>
  <si>
    <t>T1</t>
  </si>
  <si>
    <t>T2</t>
  </si>
  <si>
    <t>T3</t>
  </si>
  <si>
    <t>Effective Communication /Mabisang Komunikasyon</t>
  </si>
  <si>
    <t>CERTIFICATE OF TRANSFER</t>
  </si>
  <si>
    <t xml:space="preserve">       Effective Communication</t>
  </si>
  <si>
    <t>This is to certify that the above-named learner has satisfactorily completed the requirements</t>
  </si>
  <si>
    <t xml:space="preserve">      Mabisang Komunikasyon</t>
  </si>
  <si>
    <t>for the grade level indicated.</t>
  </si>
  <si>
    <t>Admitted to Grade:</t>
  </si>
  <si>
    <t>Eligible for Admission to Grade:</t>
  </si>
  <si>
    <t>Pag-Aaral ng Kasaysayan at Lipunang Pilipino</t>
  </si>
  <si>
    <t>Approved:</t>
  </si>
  <si>
    <t>School  Head</t>
  </si>
  <si>
    <t>General Average</t>
  </si>
  <si>
    <t>CANCELLATION OF ELIGIBILITY TO TRANSFER</t>
  </si>
  <si>
    <t>PERFORMANCE DESCRIPTORS</t>
  </si>
  <si>
    <t>Grading Scale</t>
  </si>
  <si>
    <t>Descriptors</t>
  </si>
  <si>
    <t>Admitted in:</t>
  </si>
  <si>
    <t>Date:</t>
  </si>
  <si>
    <t>90-100</t>
  </si>
  <si>
    <t>Advancing</t>
  </si>
  <si>
    <t>Passed</t>
  </si>
  <si>
    <t>80-89</t>
  </si>
  <si>
    <t>Benchmarking</t>
  </si>
  <si>
    <t>75-79</t>
  </si>
  <si>
    <t>Connecting</t>
  </si>
  <si>
    <t>65-74</t>
  </si>
  <si>
    <t>Developing</t>
  </si>
  <si>
    <t>Failed</t>
  </si>
  <si>
    <t>0-64</t>
  </si>
  <si>
    <t>Emerging</t>
  </si>
  <si>
    <t>ATTENDANCE RECORD</t>
  </si>
  <si>
    <t>HELPER</t>
  </si>
  <si>
    <t>IMPORTANT / DO NOT DELETE</t>
  </si>
  <si>
    <t>CLUSTERS OF ELECTIVES</t>
  </si>
  <si>
    <t>ACADEMIC ELECTIVES</t>
  </si>
  <si>
    <t>TECHPRO ELECTIVES</t>
  </si>
  <si>
    <t>Academic</t>
  </si>
  <si>
    <t>Cluster of Electives</t>
  </si>
  <si>
    <t>Subjects</t>
  </si>
  <si>
    <t>Units per Term</t>
  </si>
  <si>
    <t>Arts, Social Sciences, and Humanities</t>
  </si>
  <si>
    <t>ARTS, SOCIAL SCIENCES, AND HUMANITIES</t>
  </si>
  <si>
    <t xml:space="preserve">Art Criticism and Creative Markets </t>
  </si>
  <si>
    <t>AESTHETIC, WELLNESS, AND HUMAN CARE</t>
  </si>
  <si>
    <r>
      <rPr>
        <sz val="7"/>
        <color rgb="FF000000"/>
        <rFont val="Arial"/>
        <family val="2"/>
      </rPr>
      <t xml:space="preserve"> </t>
    </r>
    <r>
      <rPr>
        <sz val="10"/>
        <color rgb="FF000000"/>
        <rFont val="Arial"/>
        <family val="2"/>
      </rPr>
      <t>Aesthetic Services (Beauty Care)</t>
    </r>
  </si>
  <si>
    <t>Business and Entrepreneurship</t>
  </si>
  <si>
    <t>Creative Industries - Visual Arts</t>
  </si>
  <si>
    <t>Caregiving (Adult Care)</t>
  </si>
  <si>
    <t>Science, Technology, Engineering, and Mathematics</t>
  </si>
  <si>
    <t>Creative Industries - Literary Arts</t>
  </si>
  <si>
    <t>Caregiving (Child Care)</t>
  </si>
  <si>
    <t>Sports, Health, and Wellness</t>
  </si>
  <si>
    <t>Creative Industries - Media Arts</t>
  </si>
  <si>
    <t>Hairdressing Services</t>
  </si>
  <si>
    <t>Field Experience</t>
  </si>
  <si>
    <t>Creative Industries - Applied and Traditional Arts</t>
  </si>
  <si>
    <t xml:space="preserve">AGRI-FISHERY BUSINESS AND FOOD INNOVATION  </t>
  </si>
  <si>
    <t>Agricultural Crops Production</t>
  </si>
  <si>
    <t>TechPro</t>
  </si>
  <si>
    <t>Creative Industries - Music</t>
  </si>
  <si>
    <t xml:space="preserve">Agro-entrepreneurship </t>
  </si>
  <si>
    <t>Aesthetic, Wellness, and Human Care</t>
  </si>
  <si>
    <t>Creative Industries - Dance</t>
  </si>
  <si>
    <t xml:space="preserve">Aquaculture </t>
  </si>
  <si>
    <t>Afri-Fishery Business and Food Innovation</t>
  </si>
  <si>
    <t>Creative Industries - Theater Arts</t>
  </si>
  <si>
    <t>Fish Capture Operation</t>
  </si>
  <si>
    <t>JUN</t>
  </si>
  <si>
    <t>Artisanry and Creative Enterprise</t>
  </si>
  <si>
    <t>JUL</t>
  </si>
  <si>
    <t>Citizenship and Civic Engagement</t>
  </si>
  <si>
    <t>AUG</t>
  </si>
  <si>
    <t>SEP</t>
  </si>
  <si>
    <t>OCT</t>
  </si>
  <si>
    <t xml:space="preserve">Food Processing </t>
  </si>
  <si>
    <t>NOV</t>
  </si>
  <si>
    <t>DEC</t>
  </si>
  <si>
    <t>Automotive and Small Engine Technologies</t>
  </si>
  <si>
    <t>Contemporary Literature 1</t>
  </si>
  <si>
    <t>JAN</t>
  </si>
  <si>
    <t>FEB</t>
  </si>
  <si>
    <t>MAR</t>
  </si>
  <si>
    <t xml:space="preserve">Organic Agriculture Production </t>
  </si>
  <si>
    <t>APRIL</t>
  </si>
  <si>
    <t>Constructiton and Building Technologies</t>
  </si>
  <si>
    <t>Contemporary Literature 2</t>
  </si>
  <si>
    <t>Poultry Production (Chicken)</t>
  </si>
  <si>
    <t>Creative Arts and Design Technologies</t>
  </si>
  <si>
    <t>Creative Composition 1</t>
  </si>
  <si>
    <t xml:space="preserve">Ruminants Production </t>
  </si>
  <si>
    <t>Hospital and Tourism</t>
  </si>
  <si>
    <t>Creative Composition 2</t>
  </si>
  <si>
    <t xml:space="preserve">Swine Production </t>
  </si>
  <si>
    <t>ICT Support and Computer Programming Technologies</t>
  </si>
  <si>
    <t>Creative Production and Presentation</t>
  </si>
  <si>
    <t>ARTISANRY AND CREATIVE ENTERPRISE</t>
  </si>
  <si>
    <t>Garments Artisanry</t>
  </si>
  <si>
    <t>Industrial Technologies</t>
  </si>
  <si>
    <t>Filipino 1 (Wika at Komunikasyon sa Akademikong Filipino)</t>
  </si>
  <si>
    <t>Handicrafts: Weaving</t>
  </si>
  <si>
    <t>Maritime</t>
  </si>
  <si>
    <t>Filipino 2 (Filipino sa Isports)</t>
  </si>
  <si>
    <t>AUTOMOTIVE AND SMALL ENGINE TECHNOLOGIES</t>
  </si>
  <si>
    <t xml:space="preserve">Automotive Servicing (Electrical Repair) </t>
  </si>
  <si>
    <t>Filipino 2 (Filipino sa Sining at Disenyo)</t>
  </si>
  <si>
    <t xml:space="preserve">Automotive Servicing (Engine and Chassis Repairs) </t>
  </si>
  <si>
    <t>Filipino 2 (Filipino sa Larang Teknikal-Propesyonal)</t>
  </si>
  <si>
    <t xml:space="preserve">Driving and Automotive Servicing </t>
  </si>
  <si>
    <t>CORE SUBJECTS</t>
  </si>
  <si>
    <t>UNITS</t>
  </si>
  <si>
    <t>Filipino Identity Through the Arts</t>
  </si>
  <si>
    <t xml:space="preserve">Motorcycle and Small Engine Servicing </t>
  </si>
  <si>
    <t>Effective Communication/ Mabisang Komunikasyon</t>
  </si>
  <si>
    <t>Introduction to the Philosophy of the Human Person</t>
  </si>
  <si>
    <t>CONSTRUCTION AND BUILDING TECHNOLOGIES</t>
  </si>
  <si>
    <t xml:space="preserve">Carpentry </t>
  </si>
  <si>
    <t>Leadership and Management in the Arts</t>
  </si>
  <si>
    <t xml:space="preserve">Construction Operation </t>
  </si>
  <si>
    <t>Malikhaing Pagsulat</t>
  </si>
  <si>
    <t xml:space="preserve">Manual Metal Arc Welding </t>
  </si>
  <si>
    <t>Performance Criticism and Creative Markets</t>
  </si>
  <si>
    <t xml:space="preserve">Technical Drafting </t>
  </si>
  <si>
    <t>Pag-aaral ng Kasaysayan at Lipunang Pilipino</t>
  </si>
  <si>
    <t>Philippine Governance (Philippine Politics and Governance)</t>
  </si>
  <si>
    <t>CREATIVE ARTS AND DESIGN TECHNOLOGIES</t>
  </si>
  <si>
    <t xml:space="preserve">Animation </t>
  </si>
  <si>
    <t>Social Sciences (Theory and Practice)</t>
  </si>
  <si>
    <t xml:space="preserve">Illustration </t>
  </si>
  <si>
    <t>BUSINESS AND ENTREPRENEURSHIP</t>
  </si>
  <si>
    <t>Business 1 (Basic Accounting)</t>
  </si>
  <si>
    <t>Visual Graphic Design</t>
  </si>
  <si>
    <t>Business 2 (Business Finance and Income Taxation)</t>
  </si>
  <si>
    <t>HOSPITALITY AND TOURISM</t>
  </si>
  <si>
    <t>Bakery Operations</t>
  </si>
  <si>
    <t>Business 3 (Business Economics)</t>
  </si>
  <si>
    <t>Events Management Services</t>
  </si>
  <si>
    <t>Contemporary Marketing</t>
  </si>
  <si>
    <t>Food and Beverage Operation</t>
  </si>
  <si>
    <t>Entrepreneurship</t>
  </si>
  <si>
    <t>Hotel Operations (Front Office Services)</t>
  </si>
  <si>
    <t>Introduction to Organization and Management</t>
  </si>
  <si>
    <t>Hotel Operations (Housekeeping Services)</t>
  </si>
  <si>
    <t>SCIENCE, TECHNOLOGY, ENGINEERING, AND MATHEMATICS</t>
  </si>
  <si>
    <r>
      <rPr>
        <sz val="7"/>
        <color rgb="FF000000"/>
        <rFont val="Arial"/>
        <family val="2"/>
      </rPr>
      <t xml:space="preserve"> </t>
    </r>
    <r>
      <rPr>
        <sz val="10"/>
        <color rgb="FF000000"/>
        <rFont val="Arial"/>
        <family val="2"/>
      </rPr>
      <t>Advanced Mathematics</t>
    </r>
  </si>
  <si>
    <t>Kitchen Operations</t>
  </si>
  <si>
    <t>Basic Calculus</t>
  </si>
  <si>
    <t>Tourism Services</t>
  </si>
  <si>
    <r>
      <rPr>
        <sz val="7"/>
        <color rgb="FF000000"/>
        <rFont val="Arial"/>
        <family val="2"/>
      </rPr>
      <t xml:space="preserve"> </t>
    </r>
    <r>
      <rPr>
        <sz val="10"/>
        <color rgb="FF000000"/>
        <rFont val="Arial"/>
        <family val="2"/>
      </rPr>
      <t>Biology 1</t>
    </r>
  </si>
  <si>
    <t>INDUSTRIAL TECHNOLOGIES</t>
  </si>
  <si>
    <t xml:space="preserve">Commercial Air-Conditioning Installation and Servicing </t>
  </si>
  <si>
    <t>Biology 2</t>
  </si>
  <si>
    <t xml:space="preserve">Domestic Refrigeration and Air-Conditioning Servicing </t>
  </si>
  <si>
    <t>Biology 3</t>
  </si>
  <si>
    <t xml:space="preserve">Electrical Installation and Maintenance </t>
  </si>
  <si>
    <t>Biology 4</t>
  </si>
  <si>
    <t xml:space="preserve">Electronic Products Assembly and Servicing </t>
  </si>
  <si>
    <t>Chemistry 1</t>
  </si>
  <si>
    <t xml:space="preserve">Mechatronics </t>
  </si>
  <si>
    <t>Chemistry 2</t>
  </si>
  <si>
    <t xml:space="preserve">Photovoltaic Systems Installation </t>
  </si>
  <si>
    <t>Chemistry 3</t>
  </si>
  <si>
    <t>ICT SUPPORT AND COMPUTER PROGRAMMING TECHNOLOGIES</t>
  </si>
  <si>
    <t xml:space="preserve">Broadband Installation </t>
  </si>
  <si>
    <t>Chemistry 4</t>
  </si>
  <si>
    <t xml:space="preserve">Computer Programming (Java) </t>
  </si>
  <si>
    <t>Conceptual Physics and Chemistry in Daily Life</t>
  </si>
  <si>
    <t xml:space="preserve">Computer Programming (.Net Technology) </t>
  </si>
  <si>
    <t>Conceptual Biology and Earth and Space Science</t>
  </si>
  <si>
    <t xml:space="preserve">Computer Programming (Oracle Database) </t>
  </si>
  <si>
    <t>Database Management</t>
  </si>
  <si>
    <t>Computer Systems Servicing</t>
  </si>
  <si>
    <t>Earth and Space Science 1</t>
  </si>
  <si>
    <t>Contact Center Services</t>
  </si>
  <si>
    <t>Earth and Space Science 2</t>
  </si>
  <si>
    <t>MARITIME</t>
  </si>
  <si>
    <t>Marine Engineering at the Support Level</t>
  </si>
  <si>
    <t>Earth and Space Science 3</t>
  </si>
  <si>
    <t>Marine Transportation at the Support Level</t>
  </si>
  <si>
    <t>Earth and Space Science 4</t>
  </si>
  <si>
    <t xml:space="preserve">Ships Catering Services </t>
  </si>
  <si>
    <t>Empowerment Technologies</t>
  </si>
  <si>
    <t>WORK IMMERSION</t>
  </si>
  <si>
    <t>Work Immersion for Tech-Pro Track</t>
  </si>
  <si>
    <t>Finite Mathematics 1</t>
  </si>
  <si>
    <t>Finite Mathematics 2</t>
  </si>
  <si>
    <t>Fundamentals of Data Analytics</t>
  </si>
  <si>
    <t>Physics 1</t>
  </si>
  <si>
    <r>
      <rPr>
        <sz val="7"/>
        <color rgb="FF000000"/>
        <rFont val="Arial"/>
        <family val="2"/>
      </rPr>
      <t xml:space="preserve"> </t>
    </r>
    <r>
      <rPr>
        <sz val="10"/>
        <color rgb="FF000000"/>
        <rFont val="Arial"/>
        <family val="2"/>
      </rPr>
      <t>Physics 2</t>
    </r>
  </si>
  <si>
    <t>Physics 3</t>
  </si>
  <si>
    <t>Physics 4</t>
  </si>
  <si>
    <t>Pre-Calculus</t>
  </si>
  <si>
    <t>SPORTS, HEALTH, AND WELLNESS</t>
  </si>
  <si>
    <t>Exercise and Sports Programming</t>
  </si>
  <si>
    <t>First Aid</t>
  </si>
  <si>
    <t>Fundamentals of Basic Life Support</t>
  </si>
  <si>
    <t>Human Movement 1 (Basic Anatomy in Sports and Exercise)</t>
  </si>
  <si>
    <t>Human Movement 2 (Motor Skills Development)</t>
  </si>
  <si>
    <t>Physical Education 1 (Fitness and Recreation)</t>
  </si>
  <si>
    <t>Physical Education 2 (Sports and Dance)</t>
  </si>
  <si>
    <t>Sports Activity Management</t>
  </si>
  <si>
    <t>Sports Coaching</t>
  </si>
  <si>
    <t>Sports Officiating</t>
  </si>
  <si>
    <t>FIELD EXPERIENCE</t>
  </si>
  <si>
    <t>Arts Apprenticeship – Dance</t>
  </si>
  <si>
    <t>Arts Apprenticeship - Literary Arts</t>
  </si>
  <si>
    <t>Arts Apprenticeship - Media Arts</t>
  </si>
  <si>
    <t xml:space="preserve">Arts Apprenticeship – Music </t>
  </si>
  <si>
    <t xml:space="preserve">Arts Apprenticeship – Theater Arts </t>
  </si>
  <si>
    <t xml:space="preserve">Arts Apprenticeship – Traditional Cultural Expressions </t>
  </si>
  <si>
    <t>Arts Apprenticeship – Visual Arts</t>
  </si>
  <si>
    <t>Design and Innovation</t>
  </si>
  <si>
    <t>Research 1</t>
  </si>
  <si>
    <t>Research 2</t>
  </si>
  <si>
    <t>In-Campus Field Exposure for Sports</t>
  </si>
  <si>
    <t>Field Exposure (Off Campus)</t>
  </si>
  <si>
    <t>Work Immersion for Academic Track</t>
  </si>
  <si>
    <t>TOTAL NUMBER OF SCHOOL DAYS</t>
  </si>
  <si>
    <t>TOTAL</t>
  </si>
  <si>
    <t>APR</t>
  </si>
  <si>
    <t>Republic of the Philippines                                                                                               Department of Education</t>
  </si>
  <si>
    <t>SCHOOLS DIVISION OF 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</si>
</sst>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8" x14ac:knownFonts="1">
    <font>
      <sz val="10"/>
      <color rgb="FF000000"/>
      <name val="Arial"/>
      <scheme val="minor"/>
    </font>
    <font>
      <b/>
      <sz val="22"/>
      <color rgb="FF002060"/>
      <name val="Arial"/>
      <family val="2"/>
    </font>
    <font>
      <sz val="10"/>
      <name val="Arial"/>
      <family val="2"/>
    </font>
    <font>
      <sz val="11"/>
      <color theme="1"/>
      <name val="Arial"/>
      <family val="2"/>
    </font>
    <font>
      <b/>
      <sz val="23"/>
      <color theme="1"/>
      <name val="Arial"/>
      <family val="2"/>
    </font>
    <font>
      <sz val="10"/>
      <color theme="1"/>
      <name val="Arial"/>
      <family val="2"/>
    </font>
    <font>
      <b/>
      <sz val="11"/>
      <color rgb="FFFFFFFF"/>
      <name val="Arial"/>
      <family val="2"/>
    </font>
    <font>
      <sz val="12"/>
      <color theme="1"/>
      <name val="Arial"/>
      <family val="2"/>
    </font>
    <font>
      <b/>
      <sz val="12"/>
      <color theme="1"/>
      <name val="Arial"/>
      <family val="2"/>
    </font>
    <font>
      <b/>
      <sz val="11"/>
      <color rgb="FF002060"/>
      <name val="Arial"/>
      <family val="2"/>
    </font>
    <font>
      <sz val="10"/>
      <color rgb="FF000000"/>
      <name val="Arial"/>
      <family val="2"/>
    </font>
    <font>
      <b/>
      <sz val="10"/>
      <color theme="1"/>
      <name val="Arial"/>
      <family val="2"/>
    </font>
    <font>
      <b/>
      <sz val="20"/>
      <color theme="1"/>
      <name val="Arial"/>
      <family val="2"/>
    </font>
    <font>
      <b/>
      <sz val="11"/>
      <color theme="1"/>
      <name val="Arial"/>
      <family val="2"/>
    </font>
    <font>
      <b/>
      <sz val="11"/>
      <color rgb="FF000000"/>
      <name val="Arial"/>
      <family val="2"/>
    </font>
    <font>
      <b/>
      <sz val="15"/>
      <color theme="1"/>
      <name val="Arial"/>
      <family val="2"/>
    </font>
    <font>
      <b/>
      <i/>
      <sz val="9"/>
      <color theme="1"/>
      <name val="Arial"/>
      <family val="2"/>
    </font>
    <font>
      <b/>
      <sz val="9"/>
      <color theme="1"/>
      <name val="Arial"/>
      <family val="2"/>
    </font>
    <font>
      <b/>
      <sz val="10"/>
      <color rgb="FF000000"/>
      <name val="Arial"/>
      <family val="2"/>
    </font>
    <font>
      <i/>
      <sz val="11"/>
      <color rgb="FF002060"/>
      <name val="Arial"/>
      <family val="2"/>
    </font>
    <font>
      <i/>
      <sz val="9"/>
      <color rgb="FF002060"/>
      <name val="Arial"/>
      <family val="2"/>
    </font>
    <font>
      <i/>
      <sz val="8"/>
      <color theme="1"/>
      <name val="Arial"/>
      <family val="2"/>
    </font>
    <font>
      <sz val="12"/>
      <color theme="1"/>
      <name val="Bookman Old Style"/>
      <family val="1"/>
    </font>
    <font>
      <b/>
      <sz val="12"/>
      <color theme="1"/>
      <name val="Bookman Old Style"/>
      <family val="1"/>
    </font>
    <font>
      <b/>
      <sz val="12"/>
      <color rgb="FF000000"/>
      <name val="Bookman Old Style"/>
      <family val="1"/>
    </font>
    <font>
      <sz val="12"/>
      <color rgb="FF000000"/>
      <name val="Bookman Old Style"/>
      <family val="1"/>
    </font>
    <font>
      <b/>
      <i/>
      <sz val="12"/>
      <color theme="1"/>
      <name val="Bookman Old Style"/>
      <family val="1"/>
    </font>
    <font>
      <sz val="12"/>
      <color theme="0"/>
      <name val="Bookman Old Style"/>
      <family val="1"/>
    </font>
    <font>
      <i/>
      <sz val="12"/>
      <color rgb="FF000000"/>
      <name val="Bookman Old Style"/>
      <family val="1"/>
    </font>
    <font>
      <b/>
      <i/>
      <sz val="12"/>
      <color rgb="FF000000"/>
      <name val="Bookman Old Style"/>
      <family val="1"/>
    </font>
    <font>
      <sz val="12"/>
      <color theme="0"/>
      <name val="Arial"/>
      <family val="2"/>
    </font>
    <font>
      <b/>
      <i/>
      <sz val="14"/>
      <color rgb="FF000000"/>
      <name val="Bookman Old Style"/>
      <family val="1"/>
    </font>
    <font>
      <b/>
      <sz val="14"/>
      <color rgb="FF000000"/>
      <name val="Bookman Old Style"/>
      <family val="1"/>
    </font>
    <font>
      <b/>
      <sz val="14"/>
      <color theme="1"/>
      <name val="Bookman Old Style"/>
      <family val="1"/>
    </font>
    <font>
      <b/>
      <sz val="21"/>
      <color theme="1"/>
      <name val="Arial"/>
      <family val="2"/>
    </font>
    <font>
      <b/>
      <sz val="30"/>
      <color theme="1"/>
      <name val="Arial"/>
      <family val="2"/>
    </font>
    <font>
      <b/>
      <sz val="22"/>
      <color rgb="FFFF0000"/>
      <name val="Arial"/>
      <family val="2"/>
    </font>
    <font>
      <b/>
      <sz val="14"/>
      <color theme="0"/>
      <name val="Arial"/>
      <family val="2"/>
    </font>
    <font>
      <b/>
      <sz val="12"/>
      <color rgb="FF000000"/>
      <name val="Arial"/>
      <family val="2"/>
    </font>
    <font>
      <b/>
      <sz val="10"/>
      <color theme="0"/>
      <name val="Arial"/>
      <family val="2"/>
    </font>
    <font>
      <b/>
      <sz val="16"/>
      <color theme="1"/>
      <name val="Arial"/>
      <family val="2"/>
    </font>
    <font>
      <b/>
      <sz val="14"/>
      <color rgb="FF000000"/>
      <name val="Arial"/>
      <family val="2"/>
    </font>
    <font>
      <b/>
      <sz val="13"/>
      <color theme="1"/>
      <name val="Arial"/>
      <family val="2"/>
    </font>
    <font>
      <b/>
      <i/>
      <sz val="9"/>
      <color rgb="FF002060"/>
      <name val="Arial"/>
      <family val="2"/>
    </font>
    <font>
      <b/>
      <sz val="12"/>
      <color rgb="FFFF0000"/>
      <name val="Arial"/>
      <family val="2"/>
    </font>
    <font>
      <sz val="7"/>
      <color rgb="FF000000"/>
      <name val="Arial"/>
      <family val="2"/>
    </font>
    <font>
      <sz val="11"/>
      <color theme="1"/>
      <name val="Bookman Old Style"/>
      <family val="1"/>
    </font>
    <font>
      <b/>
      <sz val="10"/>
      <color theme="1"/>
      <name val="Bookman Old Style"/>
      <family val="1"/>
    </font>
  </fonts>
  <fills count="21">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D8D8D8"/>
        <bgColor rgb="FFD8D8D8"/>
      </patternFill>
    </fill>
    <fill>
      <patternFill patternType="solid">
        <fgColor rgb="FFA5A5A5"/>
        <bgColor rgb="FFA5A5A5"/>
      </patternFill>
    </fill>
    <fill>
      <patternFill patternType="solid">
        <fgColor rgb="FFFF0000"/>
        <bgColor rgb="FFFF0000"/>
      </patternFill>
    </fill>
    <fill>
      <patternFill patternType="solid">
        <fgColor rgb="FF083C92"/>
        <bgColor rgb="FF083C92"/>
      </patternFill>
    </fill>
    <fill>
      <patternFill patternType="solid">
        <fgColor rgb="FF1F6166"/>
        <bgColor rgb="FF1F6166"/>
      </patternFill>
    </fill>
    <fill>
      <patternFill patternType="solid">
        <fgColor rgb="FF00B0F0"/>
        <bgColor rgb="FF00B0F0"/>
      </patternFill>
    </fill>
    <fill>
      <patternFill patternType="solid">
        <fgColor rgb="FF0C5ADB"/>
        <bgColor rgb="FF0C5ADB"/>
      </patternFill>
    </fill>
    <fill>
      <patternFill patternType="solid">
        <fgColor rgb="FF2F9299"/>
        <bgColor rgb="FF2F9299"/>
      </patternFill>
    </fill>
    <fill>
      <patternFill patternType="solid">
        <fgColor rgb="FF8DB5F8"/>
        <bgColor rgb="FF8DB5F8"/>
      </patternFill>
    </fill>
    <fill>
      <patternFill patternType="solid">
        <fgColor rgb="FFD9F1F3"/>
        <bgColor rgb="FFD9F1F3"/>
      </patternFill>
    </fill>
    <fill>
      <patternFill patternType="solid">
        <fgColor theme="6"/>
        <bgColor theme="6"/>
      </patternFill>
    </fill>
    <fill>
      <patternFill patternType="solid">
        <fgColor rgb="FFB4E4E8"/>
        <bgColor rgb="FFB4E4E8"/>
      </patternFill>
    </fill>
    <fill>
      <patternFill patternType="solid">
        <fgColor rgb="FFB3CEFA"/>
        <bgColor rgb="FFB3CEFA"/>
      </patternFill>
    </fill>
    <fill>
      <patternFill patternType="solid">
        <fgColor rgb="FFD9E6FC"/>
        <bgColor rgb="FFD9E6FC"/>
      </patternFill>
    </fill>
  </fills>
  <borders count="1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thin">
        <color rgb="FF000000"/>
      </bottom>
      <diagonal/>
    </border>
    <border>
      <left/>
      <right/>
      <top style="thin">
        <color rgb="FF000000"/>
      </top>
      <bottom/>
      <diagonal/>
    </border>
    <border>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diagonal/>
    </border>
    <border>
      <left/>
      <right style="medium">
        <color rgb="FF000000"/>
      </right>
      <top style="medium">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bottom style="thin">
        <color rgb="FF000000"/>
      </bottom>
      <diagonal/>
    </border>
    <border>
      <left/>
      <right style="medium">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346">
    <xf numFmtId="0" fontId="0" fillId="0" borderId="0" xfId="0" applyFont="1" applyAlignment="1"/>
    <xf numFmtId="0" fontId="3" fillId="0" borderId="0" xfId="0"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left" vertical="center"/>
    </xf>
    <xf numFmtId="0" fontId="8" fillId="0" borderId="0" xfId="0" applyFont="1" applyAlignment="1">
      <alignment horizontal="right" vertical="center"/>
    </xf>
    <xf numFmtId="0" fontId="3" fillId="4" borderId="14" xfId="0" applyFont="1" applyFill="1" applyBorder="1" applyAlignment="1">
      <alignment vertical="center"/>
    </xf>
    <xf numFmtId="0" fontId="3" fillId="4" borderId="16" xfId="0" applyFont="1" applyFill="1" applyBorder="1" applyAlignment="1">
      <alignment vertical="center"/>
    </xf>
    <xf numFmtId="0" fontId="7" fillId="0" borderId="0" xfId="0" applyFont="1"/>
    <xf numFmtId="0" fontId="3" fillId="4" borderId="19" xfId="0" applyFont="1" applyFill="1" applyBorder="1" applyAlignment="1">
      <alignment vertical="center"/>
    </xf>
    <xf numFmtId="0" fontId="3" fillId="0" borderId="0" xfId="0" applyFont="1" applyAlignment="1">
      <alignment horizontal="center" vertical="center"/>
    </xf>
    <xf numFmtId="0" fontId="9" fillId="5" borderId="22" xfId="0" applyFont="1" applyFill="1" applyBorder="1" applyAlignment="1">
      <alignment horizontal="center" vertical="center"/>
    </xf>
    <xf numFmtId="0" fontId="7" fillId="0" borderId="0" xfId="0" applyFont="1" applyAlignment="1">
      <alignment horizontal="left" vertical="center" wrapText="1"/>
    </xf>
    <xf numFmtId="0" fontId="6" fillId="3" borderId="25" xfId="0" applyFont="1" applyFill="1" applyBorder="1" applyAlignment="1">
      <alignment vertical="center"/>
    </xf>
    <xf numFmtId="0" fontId="3" fillId="3" borderId="26" xfId="0" applyFont="1" applyFill="1" applyBorder="1" applyAlignment="1">
      <alignment vertical="center"/>
    </xf>
    <xf numFmtId="0" fontId="6" fillId="3" borderId="16" xfId="0" applyFont="1" applyFill="1" applyBorder="1" applyAlignment="1">
      <alignment horizontal="center"/>
    </xf>
    <xf numFmtId="0" fontId="3" fillId="3" borderId="27" xfId="0" applyFont="1" applyFill="1" applyBorder="1" applyAlignment="1">
      <alignment vertical="center"/>
    </xf>
    <xf numFmtId="0" fontId="10" fillId="0" borderId="0" xfId="0" applyFont="1"/>
    <xf numFmtId="0" fontId="11" fillId="0" borderId="0" xfId="0" applyFont="1" applyAlignment="1">
      <alignment horizontal="center" vertical="center"/>
    </xf>
    <xf numFmtId="0" fontId="5" fillId="0" borderId="0" xfId="0" applyFont="1" applyAlignment="1">
      <alignment horizontal="center" vertical="center" wrapText="1"/>
    </xf>
    <xf numFmtId="0" fontId="11" fillId="0" borderId="0" xfId="0" applyFont="1" applyAlignment="1">
      <alignment horizontal="center" vertical="center" wrapText="1"/>
    </xf>
    <xf numFmtId="0" fontId="3" fillId="5" borderId="22" xfId="0" applyFont="1" applyFill="1" applyBorder="1" applyAlignment="1">
      <alignment vertical="center"/>
    </xf>
    <xf numFmtId="0" fontId="8" fillId="0" borderId="0" xfId="0" applyFont="1" applyAlignment="1">
      <alignment vertical="center" wrapText="1"/>
    </xf>
    <xf numFmtId="0" fontId="3" fillId="5" borderId="26" xfId="0" applyFont="1" applyFill="1" applyBorder="1" applyAlignment="1">
      <alignment vertical="center"/>
    </xf>
    <xf numFmtId="0" fontId="3" fillId="0" borderId="0" xfId="0" applyFont="1" applyAlignment="1">
      <alignment horizontal="center"/>
    </xf>
    <xf numFmtId="0" fontId="9" fillId="5" borderId="27" xfId="0" applyFont="1" applyFill="1" applyBorder="1" applyAlignment="1">
      <alignment horizontal="center" vertical="center"/>
    </xf>
    <xf numFmtId="0" fontId="3" fillId="5" borderId="27" xfId="0" applyFont="1" applyFill="1" applyBorder="1" applyAlignment="1">
      <alignment vertical="center"/>
    </xf>
    <xf numFmtId="1" fontId="3" fillId="5" borderId="27" xfId="0" applyNumberFormat="1" applyFont="1" applyFill="1" applyBorder="1" applyAlignment="1">
      <alignment horizontal="center" vertical="center"/>
    </xf>
    <xf numFmtId="164" fontId="3" fillId="5" borderId="27" xfId="0" applyNumberFormat="1" applyFont="1" applyFill="1" applyBorder="1" applyAlignment="1">
      <alignment horizontal="center" vertical="center"/>
    </xf>
    <xf numFmtId="0" fontId="13" fillId="0" borderId="30" xfId="0" applyFont="1" applyBorder="1" applyAlignment="1">
      <alignment horizontal="left" vertical="center"/>
    </xf>
    <xf numFmtId="0" fontId="3" fillId="0" borderId="0" xfId="0" applyFont="1"/>
    <xf numFmtId="0" fontId="13" fillId="0" borderId="33" xfId="0" applyFont="1" applyBorder="1" applyAlignment="1">
      <alignment horizontal="left" vertical="center"/>
    </xf>
    <xf numFmtId="0" fontId="16" fillId="0" borderId="35" xfId="0" applyFont="1" applyBorder="1" applyAlignment="1">
      <alignment horizontal="center" vertical="center" wrapText="1"/>
    </xf>
    <xf numFmtId="0" fontId="17" fillId="0" borderId="17" xfId="0" applyFont="1" applyBorder="1" applyAlignment="1">
      <alignment horizontal="center" vertical="center" wrapText="1"/>
    </xf>
    <xf numFmtId="164" fontId="5" fillId="5" borderId="27" xfId="0" applyNumberFormat="1" applyFont="1" applyFill="1" applyBorder="1" applyAlignment="1">
      <alignment horizontal="center" vertical="center"/>
    </xf>
    <xf numFmtId="0" fontId="17" fillId="0" borderId="35" xfId="0" applyFont="1" applyBorder="1" applyAlignment="1">
      <alignment horizontal="center" vertical="center" wrapText="1"/>
    </xf>
    <xf numFmtId="1" fontId="3" fillId="5" borderId="27" xfId="0" applyNumberFormat="1" applyFont="1" applyFill="1" applyBorder="1" applyAlignment="1">
      <alignment vertical="center"/>
    </xf>
    <xf numFmtId="164" fontId="3" fillId="5" borderId="27" xfId="0" applyNumberFormat="1" applyFont="1" applyFill="1" applyBorder="1" applyAlignment="1">
      <alignment vertical="center"/>
    </xf>
    <xf numFmtId="0" fontId="18" fillId="5" borderId="37" xfId="0" applyFont="1" applyFill="1" applyBorder="1" applyAlignment="1">
      <alignment horizontal="center" vertical="center"/>
    </xf>
    <xf numFmtId="0" fontId="3" fillId="5" borderId="38" xfId="0" applyFont="1" applyFill="1" applyBorder="1" applyAlignment="1">
      <alignment horizontal="left" vertical="center"/>
    </xf>
    <xf numFmtId="0" fontId="5" fillId="0" borderId="24" xfId="0" applyFont="1" applyBorder="1" applyAlignment="1">
      <alignment horizontal="left"/>
    </xf>
    <xf numFmtId="164" fontId="3" fillId="4" borderId="42" xfId="0" applyNumberFormat="1" applyFont="1" applyFill="1" applyBorder="1" applyAlignment="1">
      <alignment horizontal="center" vertical="center"/>
    </xf>
    <xf numFmtId="0" fontId="3" fillId="4" borderId="43" xfId="0" applyFont="1" applyFill="1" applyBorder="1" applyAlignment="1">
      <alignment horizontal="center" vertical="center"/>
    </xf>
    <xf numFmtId="0" fontId="3" fillId="4" borderId="44" xfId="0" applyFont="1" applyFill="1" applyBorder="1" applyAlignment="1">
      <alignment horizontal="center" vertical="center"/>
    </xf>
    <xf numFmtId="0" fontId="3" fillId="0" borderId="46" xfId="0" applyFont="1" applyBorder="1" applyAlignment="1">
      <alignment horizontal="center" vertical="center"/>
    </xf>
    <xf numFmtId="0" fontId="3" fillId="0" borderId="43" xfId="0" applyFont="1" applyBorder="1" applyAlignment="1">
      <alignment horizontal="center" vertical="center"/>
    </xf>
    <xf numFmtId="0" fontId="18" fillId="5" borderId="51" xfId="0" applyFont="1" applyFill="1" applyBorder="1" applyAlignment="1">
      <alignment horizontal="center" vertical="center"/>
    </xf>
    <xf numFmtId="0" fontId="3" fillId="4" borderId="52" xfId="0" applyFont="1" applyFill="1" applyBorder="1" applyAlignment="1">
      <alignment horizontal="center" vertical="center"/>
    </xf>
    <xf numFmtId="164" fontId="3" fillId="4" borderId="25" xfId="0" applyNumberFormat="1" applyFont="1" applyFill="1" applyBorder="1" applyAlignment="1">
      <alignment horizontal="center" vertical="center"/>
    </xf>
    <xf numFmtId="0" fontId="3" fillId="4" borderId="53" xfId="0" applyFont="1" applyFill="1" applyBorder="1" applyAlignment="1">
      <alignment horizontal="center" vertical="center"/>
    </xf>
    <xf numFmtId="0" fontId="3" fillId="4" borderId="54" xfId="0" applyFont="1" applyFill="1" applyBorder="1" applyAlignment="1">
      <alignment horizontal="center" vertical="center"/>
    </xf>
    <xf numFmtId="0" fontId="3" fillId="0" borderId="56" xfId="0" applyFont="1" applyBorder="1" applyAlignment="1">
      <alignment horizontal="center" vertical="center"/>
    </xf>
    <xf numFmtId="0" fontId="3" fillId="0" borderId="53" xfId="0" applyFont="1" applyBorder="1" applyAlignment="1">
      <alignment horizontal="center" vertical="center"/>
    </xf>
    <xf numFmtId="0" fontId="3" fillId="4" borderId="61" xfId="0" applyFont="1" applyFill="1" applyBorder="1" applyAlignment="1">
      <alignment horizontal="center" vertical="center"/>
    </xf>
    <xf numFmtId="0" fontId="3" fillId="4" borderId="62" xfId="0" applyFont="1" applyFill="1" applyBorder="1" applyAlignment="1">
      <alignment vertical="center"/>
    </xf>
    <xf numFmtId="0" fontId="3" fillId="4" borderId="63" xfId="0" applyFont="1" applyFill="1" applyBorder="1" applyAlignment="1">
      <alignment vertical="center"/>
    </xf>
    <xf numFmtId="0" fontId="3" fillId="4" borderId="64" xfId="0" applyFont="1" applyFill="1" applyBorder="1" applyAlignment="1">
      <alignment vertical="center"/>
    </xf>
    <xf numFmtId="0" fontId="5" fillId="0" borderId="0" xfId="0" applyFont="1"/>
    <xf numFmtId="0" fontId="9" fillId="5" borderId="65" xfId="0" applyFont="1" applyFill="1" applyBorder="1" applyAlignment="1">
      <alignment vertical="center"/>
    </xf>
    <xf numFmtId="0" fontId="3" fillId="5" borderId="38" xfId="0" applyFont="1" applyFill="1" applyBorder="1" applyAlignment="1">
      <alignment vertical="center"/>
    </xf>
    <xf numFmtId="0" fontId="9" fillId="5" borderId="38" xfId="0" applyFont="1" applyFill="1" applyBorder="1" applyAlignment="1">
      <alignment horizontal="center" vertical="center"/>
    </xf>
    <xf numFmtId="0" fontId="3" fillId="5" borderId="22" xfId="0" applyFont="1" applyFill="1" applyBorder="1" applyAlignment="1">
      <alignment horizontal="left" vertical="center"/>
    </xf>
    <xf numFmtId="0" fontId="19" fillId="5" borderId="26" xfId="0" applyFont="1" applyFill="1" applyBorder="1" applyAlignment="1">
      <alignment vertical="center"/>
    </xf>
    <xf numFmtId="0" fontId="9" fillId="5" borderId="66" xfId="0" applyFont="1" applyFill="1" applyBorder="1" applyAlignment="1">
      <alignment vertical="center"/>
    </xf>
    <xf numFmtId="0" fontId="3" fillId="5" borderId="67" xfId="0" applyFont="1" applyFill="1" applyBorder="1" applyAlignment="1">
      <alignment vertical="center"/>
    </xf>
    <xf numFmtId="0" fontId="9" fillId="5" borderId="67" xfId="0" applyFont="1" applyFill="1" applyBorder="1" applyAlignment="1">
      <alignment horizontal="center" vertical="center"/>
    </xf>
    <xf numFmtId="0" fontId="20" fillId="4" borderId="16" xfId="0" applyFont="1" applyFill="1" applyBorder="1" applyAlignment="1">
      <alignment wrapText="1"/>
    </xf>
    <xf numFmtId="0" fontId="5" fillId="4" borderId="16" xfId="0" applyFont="1" applyFill="1" applyBorder="1"/>
    <xf numFmtId="0" fontId="18" fillId="5" borderId="68" xfId="0" applyFont="1" applyFill="1" applyBorder="1" applyAlignment="1">
      <alignment horizontal="center" vertical="center"/>
    </xf>
    <xf numFmtId="0" fontId="3" fillId="0" borderId="69" xfId="0" applyFont="1" applyBorder="1" applyAlignment="1">
      <alignment horizontal="center" vertical="center"/>
    </xf>
    <xf numFmtId="0" fontId="3" fillId="0" borderId="70" xfId="0" applyFont="1" applyBorder="1" applyAlignment="1">
      <alignment horizontal="center" vertical="center"/>
    </xf>
    <xf numFmtId="0" fontId="5" fillId="4" borderId="63" xfId="0" applyFont="1" applyFill="1" applyBorder="1"/>
    <xf numFmtId="0" fontId="21" fillId="0" borderId="0" xfId="0" applyFont="1" applyAlignment="1">
      <alignment horizontal="right" vertical="center"/>
    </xf>
    <xf numFmtId="0" fontId="18" fillId="5" borderId="71" xfId="0" applyFont="1" applyFill="1" applyBorder="1" applyAlignment="1">
      <alignment horizontal="center" vertical="center"/>
    </xf>
    <xf numFmtId="164" fontId="3" fillId="4" borderId="76" xfId="0" applyNumberFormat="1" applyFont="1" applyFill="1" applyBorder="1" applyAlignment="1">
      <alignment horizontal="center" vertical="center"/>
    </xf>
    <xf numFmtId="0" fontId="3" fillId="4" borderId="77" xfId="0" applyFont="1" applyFill="1" applyBorder="1" applyAlignment="1">
      <alignment horizontal="center" vertical="center"/>
    </xf>
    <xf numFmtId="0" fontId="3" fillId="4" borderId="78" xfId="0" applyFont="1" applyFill="1" applyBorder="1" applyAlignment="1">
      <alignment horizontal="center" vertical="center"/>
    </xf>
    <xf numFmtId="0" fontId="3" fillId="0" borderId="74" xfId="0" applyFont="1" applyBorder="1" applyAlignment="1">
      <alignment horizontal="center" vertical="center"/>
    </xf>
    <xf numFmtId="0" fontId="3" fillId="0" borderId="77" xfId="0" applyFont="1" applyBorder="1" applyAlignment="1">
      <alignment horizontal="center" vertical="center"/>
    </xf>
    <xf numFmtId="0" fontId="8" fillId="6" borderId="62" xfId="0" applyFont="1" applyFill="1" applyBorder="1" applyAlignment="1">
      <alignment horizontal="left" vertical="center"/>
    </xf>
    <xf numFmtId="0" fontId="8" fillId="6" borderId="63" xfId="0" applyFont="1" applyFill="1" applyBorder="1" applyAlignment="1">
      <alignment horizontal="left" vertical="center"/>
    </xf>
    <xf numFmtId="0" fontId="8" fillId="6" borderId="16" xfId="0" applyFont="1" applyFill="1" applyBorder="1" applyAlignment="1">
      <alignment horizontal="left" vertical="center"/>
    </xf>
    <xf numFmtId="0" fontId="8" fillId="6" borderId="79" xfId="0" applyFont="1" applyFill="1" applyBorder="1" applyAlignment="1">
      <alignment horizontal="left" vertical="center"/>
    </xf>
    <xf numFmtId="0" fontId="8" fillId="6" borderId="80" xfId="0" applyFont="1" applyFill="1" applyBorder="1" applyAlignment="1">
      <alignment horizontal="left" vertical="center"/>
    </xf>
    <xf numFmtId="164" fontId="3" fillId="4" borderId="84" xfId="0" applyNumberFormat="1" applyFont="1" applyFill="1" applyBorder="1" applyAlignment="1">
      <alignment horizontal="center" vertical="center"/>
    </xf>
    <xf numFmtId="164" fontId="3" fillId="4" borderId="86" xfId="0" applyNumberFormat="1" applyFont="1" applyFill="1" applyBorder="1" applyAlignment="1">
      <alignment horizontal="center" vertical="center"/>
    </xf>
    <xf numFmtId="0" fontId="3" fillId="0" borderId="83" xfId="0" applyFont="1" applyBorder="1" applyAlignment="1">
      <alignment horizontal="center" vertical="center"/>
    </xf>
    <xf numFmtId="0" fontId="3" fillId="0" borderId="87" xfId="0" applyFont="1" applyBorder="1" applyAlignment="1">
      <alignment horizontal="center" vertical="center"/>
    </xf>
    <xf numFmtId="164" fontId="3" fillId="4" borderId="88" xfId="0" applyNumberFormat="1" applyFont="1" applyFill="1" applyBorder="1" applyAlignment="1">
      <alignment horizontal="center" vertical="center"/>
    </xf>
    <xf numFmtId="0" fontId="3" fillId="0" borderId="89" xfId="0" applyFont="1" applyBorder="1" applyAlignment="1">
      <alignment horizontal="center" vertical="center"/>
    </xf>
    <xf numFmtId="0" fontId="3" fillId="4" borderId="90" xfId="0" applyFont="1" applyFill="1" applyBorder="1" applyAlignment="1">
      <alignment horizontal="center" vertical="center"/>
    </xf>
    <xf numFmtId="0" fontId="7" fillId="0" borderId="9" xfId="0" applyFont="1" applyBorder="1"/>
    <xf numFmtId="0" fontId="7" fillId="0" borderId="10" xfId="0" applyFont="1" applyBorder="1"/>
    <xf numFmtId="0" fontId="7" fillId="0" borderId="11" xfId="0" applyFont="1" applyBorder="1"/>
    <xf numFmtId="0" fontId="22" fillId="0" borderId="28" xfId="0" applyFont="1" applyBorder="1"/>
    <xf numFmtId="0" fontId="22" fillId="0" borderId="0" xfId="0" applyFont="1"/>
    <xf numFmtId="0" fontId="22" fillId="0" borderId="29" xfId="0" applyFont="1" applyBorder="1"/>
    <xf numFmtId="0" fontId="7" fillId="0" borderId="29" xfId="0" applyFont="1" applyBorder="1"/>
    <xf numFmtId="0" fontId="22" fillId="0" borderId="28" xfId="0" applyFont="1" applyBorder="1" applyAlignment="1">
      <alignment horizontal="center"/>
    </xf>
    <xf numFmtId="0" fontId="22" fillId="0" borderId="0" xfId="0" applyFont="1" applyAlignment="1">
      <alignment horizontal="center"/>
    </xf>
    <xf numFmtId="0" fontId="22" fillId="0" borderId="29" xfId="0" applyFont="1" applyBorder="1" applyAlignment="1">
      <alignment horizontal="center"/>
    </xf>
    <xf numFmtId="0" fontId="23" fillId="0" borderId="27" xfId="0" applyFont="1" applyBorder="1" applyAlignment="1">
      <alignment horizontal="center" vertical="center"/>
    </xf>
    <xf numFmtId="0" fontId="7" fillId="0" borderId="28" xfId="0" applyFont="1" applyBorder="1"/>
    <xf numFmtId="0" fontId="23" fillId="0" borderId="28" xfId="0" applyFont="1" applyBorder="1" applyAlignment="1">
      <alignment horizontal="center"/>
    </xf>
    <xf numFmtId="0" fontId="23" fillId="0" borderId="0" xfId="0" applyFont="1" applyAlignment="1">
      <alignment horizontal="center"/>
    </xf>
    <xf numFmtId="0" fontId="22" fillId="0" borderId="29" xfId="0" applyFont="1" applyBorder="1" applyAlignment="1">
      <alignment horizontal="left"/>
    </xf>
    <xf numFmtId="0" fontId="22" fillId="0" borderId="0" xfId="0" applyFont="1" applyAlignment="1">
      <alignment horizontal="left"/>
    </xf>
    <xf numFmtId="0" fontId="22" fillId="0" borderId="28" xfId="0" applyFont="1" applyBorder="1" applyAlignment="1">
      <alignment horizontal="left"/>
    </xf>
    <xf numFmtId="0" fontId="23" fillId="0" borderId="29" xfId="0" applyFont="1" applyBorder="1" applyAlignment="1">
      <alignment horizontal="center"/>
    </xf>
    <xf numFmtId="0" fontId="22" fillId="0" borderId="96" xfId="0" applyFont="1" applyBorder="1" applyAlignment="1">
      <alignment horizontal="center"/>
    </xf>
    <xf numFmtId="0" fontId="22" fillId="0" borderId="29" xfId="0" applyFont="1" applyBorder="1" applyAlignment="1">
      <alignment horizontal="right"/>
    </xf>
    <xf numFmtId="0" fontId="22" fillId="0" borderId="0" xfId="0" applyFont="1" applyAlignment="1">
      <alignment horizontal="right"/>
    </xf>
    <xf numFmtId="0" fontId="22" fillId="0" borderId="93" xfId="0" applyFont="1" applyBorder="1"/>
    <xf numFmtId="0" fontId="5" fillId="0" borderId="93" xfId="0" applyFont="1" applyBorder="1"/>
    <xf numFmtId="0" fontId="22" fillId="0" borderId="28" xfId="0" applyFont="1" applyBorder="1" applyAlignment="1">
      <alignment wrapText="1"/>
    </xf>
    <xf numFmtId="0" fontId="22" fillId="0" borderId="0" xfId="0" applyFont="1" applyAlignment="1">
      <alignment wrapText="1"/>
    </xf>
    <xf numFmtId="0" fontId="22" fillId="0" borderId="29" xfId="0" applyFont="1" applyBorder="1" applyAlignment="1">
      <alignment wrapText="1"/>
    </xf>
    <xf numFmtId="0" fontId="23" fillId="0" borderId="0" xfId="0" applyFont="1" applyAlignment="1">
      <alignment horizontal="center" vertical="center"/>
    </xf>
    <xf numFmtId="0" fontId="23" fillId="0" borderId="28" xfId="0" applyFont="1" applyBorder="1" applyAlignment="1">
      <alignment horizontal="center" vertical="center"/>
    </xf>
    <xf numFmtId="0" fontId="23" fillId="0" borderId="29" xfId="0" applyFont="1" applyBorder="1" applyAlignment="1">
      <alignment horizontal="center" vertical="center"/>
    </xf>
    <xf numFmtId="0" fontId="7" fillId="0" borderId="96" xfId="0" applyFont="1" applyBorder="1"/>
    <xf numFmtId="4" fontId="25" fillId="0" borderId="28" xfId="0" applyNumberFormat="1" applyFont="1" applyBorder="1" applyAlignment="1">
      <alignment horizontal="left" wrapText="1"/>
    </xf>
    <xf numFmtId="3" fontId="22" fillId="0" borderId="27" xfId="0" applyNumberFormat="1" applyFont="1" applyBorder="1" applyAlignment="1">
      <alignment horizontal="center" vertical="center"/>
    </xf>
    <xf numFmtId="3" fontId="23" fillId="0" borderId="27" xfId="0" applyNumberFormat="1" applyFont="1" applyBorder="1" applyAlignment="1">
      <alignment horizontal="center" vertical="center"/>
    </xf>
    <xf numFmtId="0" fontId="27" fillId="0" borderId="29" xfId="0" applyFont="1" applyBorder="1"/>
    <xf numFmtId="3" fontId="22" fillId="0" borderId="27" xfId="0" applyNumberFormat="1" applyFont="1" applyBorder="1" applyAlignment="1">
      <alignment vertical="center"/>
    </xf>
    <xf numFmtId="0" fontId="22" fillId="0" borderId="96" xfId="0" applyFont="1" applyBorder="1"/>
    <xf numFmtId="3" fontId="25" fillId="0" borderId="27" xfId="0" applyNumberFormat="1" applyFont="1" applyBorder="1" applyAlignment="1">
      <alignment horizontal="center" vertical="center" wrapText="1"/>
    </xf>
    <xf numFmtId="4" fontId="28" fillId="0" borderId="28" xfId="0" applyNumberFormat="1" applyFont="1" applyBorder="1" applyAlignment="1">
      <alignment horizontal="left" wrapText="1"/>
    </xf>
    <xf numFmtId="0" fontId="30" fillId="0" borderId="29" xfId="0" applyFont="1" applyBorder="1"/>
    <xf numFmtId="4" fontId="29" fillId="0" borderId="28" xfId="0" applyNumberFormat="1" applyFont="1" applyBorder="1" applyAlignment="1">
      <alignment horizontal="center" wrapText="1"/>
    </xf>
    <xf numFmtId="3" fontId="25" fillId="8" borderId="27" xfId="0" applyNumberFormat="1" applyFont="1" applyFill="1" applyBorder="1" applyAlignment="1">
      <alignment horizontal="center" vertical="center" wrapText="1"/>
    </xf>
    <xf numFmtId="3" fontId="31" fillId="8" borderId="27" xfId="0" applyNumberFormat="1" applyFont="1" applyFill="1" applyBorder="1" applyAlignment="1">
      <alignment vertical="center" wrapText="1"/>
    </xf>
    <xf numFmtId="3" fontId="24" fillId="0" borderId="27" xfId="0" applyNumberFormat="1" applyFont="1" applyBorder="1" applyAlignment="1">
      <alignment horizontal="center" vertical="center" wrapText="1"/>
    </xf>
    <xf numFmtId="0" fontId="23" fillId="0" borderId="28" xfId="0" applyFont="1" applyBorder="1"/>
    <xf numFmtId="3" fontId="32" fillId="0" borderId="27" xfId="0" applyNumberFormat="1" applyFont="1" applyBorder="1" applyAlignment="1">
      <alignment horizontal="center" vertical="center" wrapText="1"/>
    </xf>
    <xf numFmtId="3" fontId="33" fillId="0" borderId="27" xfId="0" applyNumberFormat="1" applyFont="1" applyBorder="1" applyAlignment="1">
      <alignment horizontal="center" vertical="center"/>
    </xf>
    <xf numFmtId="0" fontId="5" fillId="0" borderId="29" xfId="0" applyFont="1" applyBorder="1"/>
    <xf numFmtId="0" fontId="7" fillId="0" borderId="30" xfId="0" applyFont="1" applyBorder="1"/>
    <xf numFmtId="0" fontId="7" fillId="0" borderId="31" xfId="0" applyFont="1" applyBorder="1"/>
    <xf numFmtId="0" fontId="7" fillId="0" borderId="32" xfId="0" applyFont="1" applyBorder="1"/>
    <xf numFmtId="0" fontId="11" fillId="0" borderId="0" xfId="0" applyFont="1" applyAlignment="1">
      <alignment horizontal="right" vertical="center"/>
    </xf>
    <xf numFmtId="0" fontId="10" fillId="0" borderId="0" xfId="0" applyFont="1" applyAlignment="1">
      <alignment horizontal="center" vertical="center"/>
    </xf>
    <xf numFmtId="0" fontId="35" fillId="0" borderId="0" xfId="0" applyFont="1"/>
    <xf numFmtId="0" fontId="36" fillId="0" borderId="0" xfId="0" applyFont="1"/>
    <xf numFmtId="0" fontId="37" fillId="9" borderId="35" xfId="0" applyFont="1" applyFill="1" applyBorder="1" applyAlignment="1">
      <alignment horizontal="center"/>
    </xf>
    <xf numFmtId="0" fontId="5" fillId="0" borderId="0" xfId="0" applyFont="1" applyAlignment="1">
      <alignment horizontal="left" vertical="center" wrapText="1"/>
    </xf>
    <xf numFmtId="0" fontId="37" fillId="0" borderId="0" xfId="0" applyFont="1"/>
    <xf numFmtId="0" fontId="38" fillId="12" borderId="35" xfId="0" applyFont="1" applyFill="1" applyBorder="1" applyAlignment="1">
      <alignment horizontal="center"/>
    </xf>
    <xf numFmtId="0" fontId="39" fillId="13" borderId="27" xfId="0" applyFont="1" applyFill="1" applyBorder="1" applyAlignment="1">
      <alignment horizontal="center" vertical="center"/>
    </xf>
    <xf numFmtId="0" fontId="39" fillId="14" borderId="97" xfId="0" applyFont="1" applyFill="1" applyBorder="1" applyAlignment="1">
      <alignment horizontal="center" vertical="center"/>
    </xf>
    <xf numFmtId="0" fontId="39" fillId="14" borderId="27" xfId="0" applyFont="1" applyFill="1" applyBorder="1" applyAlignment="1">
      <alignment horizontal="center" vertical="center"/>
    </xf>
    <xf numFmtId="0" fontId="10" fillId="0" borderId="43" xfId="0" applyFont="1" applyBorder="1" applyAlignment="1">
      <alignment horizontal="left" vertical="center" wrapText="1"/>
    </xf>
    <xf numFmtId="0" fontId="10" fillId="15" borderId="98" xfId="0" applyFont="1" applyFill="1" applyBorder="1" applyAlignment="1">
      <alignment horizontal="left" vertical="center" wrapText="1"/>
    </xf>
    <xf numFmtId="0" fontId="10" fillId="15" borderId="27" xfId="0" applyFont="1" applyFill="1" applyBorder="1" applyAlignment="1">
      <alignment horizontal="center" vertical="center"/>
    </xf>
    <xf numFmtId="0" fontId="5" fillId="0" borderId="0" xfId="0" applyFont="1" applyAlignment="1">
      <alignment horizontal="center"/>
    </xf>
    <xf numFmtId="0" fontId="10" fillId="16" borderId="27" xfId="0" applyFont="1" applyFill="1" applyBorder="1" applyAlignment="1">
      <alignment horizontal="left" vertical="center" wrapText="1"/>
    </xf>
    <xf numFmtId="0" fontId="10" fillId="16" borderId="27" xfId="0" applyFont="1" applyFill="1" applyBorder="1" applyAlignment="1">
      <alignment horizontal="center" vertical="center"/>
    </xf>
    <xf numFmtId="0" fontId="10" fillId="0" borderId="53" xfId="0" applyFont="1" applyBorder="1" applyAlignment="1">
      <alignment horizontal="left" vertical="center" wrapText="1"/>
    </xf>
    <xf numFmtId="0" fontId="10" fillId="15" borderId="27" xfId="0" applyFont="1" applyFill="1" applyBorder="1" applyAlignment="1">
      <alignment horizontal="left" vertical="center" wrapText="1"/>
    </xf>
    <xf numFmtId="0" fontId="11" fillId="0" borderId="36" xfId="0" applyFont="1" applyBorder="1" applyAlignment="1">
      <alignment vertical="center"/>
    </xf>
    <xf numFmtId="0" fontId="10" fillId="0" borderId="77" xfId="0" applyFont="1" applyBorder="1" applyAlignment="1">
      <alignment horizontal="left" vertical="center" wrapText="1"/>
    </xf>
    <xf numFmtId="0" fontId="38" fillId="17" borderId="35" xfId="0" applyFont="1" applyFill="1" applyBorder="1" applyAlignment="1">
      <alignment horizontal="center"/>
    </xf>
    <xf numFmtId="0" fontId="10" fillId="0" borderId="102" xfId="0" applyFont="1" applyBorder="1" applyAlignment="1">
      <alignment vertical="center"/>
    </xf>
    <xf numFmtId="0" fontId="11" fillId="0" borderId="35" xfId="0" applyFont="1" applyBorder="1" applyAlignment="1">
      <alignment vertical="center"/>
    </xf>
    <xf numFmtId="0" fontId="10" fillId="0" borderId="53" xfId="0" applyFont="1" applyBorder="1" applyAlignment="1">
      <alignment vertical="center"/>
    </xf>
    <xf numFmtId="0" fontId="13" fillId="0" borderId="35" xfId="0" applyFont="1" applyBorder="1" applyAlignment="1">
      <alignment horizontal="center" vertical="center"/>
    </xf>
    <xf numFmtId="0" fontId="8" fillId="0" borderId="35" xfId="0" applyFont="1" applyBorder="1" applyAlignment="1">
      <alignment horizontal="center" vertical="center"/>
    </xf>
    <xf numFmtId="0" fontId="10" fillId="0" borderId="53" xfId="0" applyFont="1" applyBorder="1" applyAlignment="1">
      <alignment vertical="center" wrapText="1"/>
    </xf>
    <xf numFmtId="0" fontId="14" fillId="5" borderId="37" xfId="0" applyFont="1" applyFill="1" applyBorder="1" applyAlignment="1">
      <alignment horizontal="center" vertical="center"/>
    </xf>
    <xf numFmtId="0" fontId="41" fillId="0" borderId="0" xfId="0" applyFont="1" applyAlignment="1">
      <alignment vertical="center"/>
    </xf>
    <xf numFmtId="0" fontId="10" fillId="0" borderId="77" xfId="0" applyFont="1" applyBorder="1" applyAlignment="1">
      <alignment vertical="center" wrapText="1"/>
    </xf>
    <xf numFmtId="0" fontId="5" fillId="0" borderId="104" xfId="0" applyFont="1" applyBorder="1" applyAlignment="1">
      <alignment horizontal="center" vertical="center"/>
    </xf>
    <xf numFmtId="0" fontId="10" fillId="16" borderId="27" xfId="0" applyFont="1" applyFill="1" applyBorder="1" applyAlignment="1">
      <alignment vertical="center" wrapText="1"/>
    </xf>
    <xf numFmtId="0" fontId="5" fillId="0" borderId="105" xfId="0" applyFont="1" applyBorder="1" applyAlignment="1">
      <alignment horizontal="center" vertical="center"/>
    </xf>
    <xf numFmtId="0" fontId="37" fillId="14" borderId="27" xfId="0" applyFont="1" applyFill="1" applyBorder="1" applyAlignment="1">
      <alignment vertical="center"/>
    </xf>
    <xf numFmtId="0" fontId="37" fillId="14" borderId="27" xfId="0" applyFont="1" applyFill="1" applyBorder="1" applyAlignment="1">
      <alignment horizontal="center" vertical="center"/>
    </xf>
    <xf numFmtId="0" fontId="10" fillId="18" borderId="27" xfId="0" applyFont="1" applyFill="1" applyBorder="1" applyAlignment="1">
      <alignment horizontal="left" vertical="center"/>
    </xf>
    <xf numFmtId="0" fontId="10" fillId="18" borderId="27" xfId="0" applyFont="1" applyFill="1" applyBorder="1" applyAlignment="1">
      <alignment horizontal="center" vertical="center"/>
    </xf>
    <xf numFmtId="0" fontId="5" fillId="0" borderId="84" xfId="0" applyFont="1" applyBorder="1" applyAlignment="1">
      <alignment horizontal="center" vertical="center"/>
    </xf>
    <xf numFmtId="0" fontId="14" fillId="5" borderId="51" xfId="0" applyFont="1" applyFill="1" applyBorder="1" applyAlignment="1">
      <alignment horizontal="center" vertical="center"/>
    </xf>
    <xf numFmtId="0" fontId="10" fillId="19" borderId="27" xfId="0" applyFont="1" applyFill="1" applyBorder="1" applyAlignment="1">
      <alignment horizontal="left" vertical="center" wrapText="1"/>
    </xf>
    <xf numFmtId="0" fontId="10" fillId="19" borderId="27" xfId="0" applyFont="1" applyFill="1" applyBorder="1" applyAlignment="1">
      <alignment horizontal="center" vertical="center"/>
    </xf>
    <xf numFmtId="0" fontId="5" fillId="0" borderId="51" xfId="0" applyFont="1" applyBorder="1" applyAlignment="1">
      <alignment horizontal="center" vertical="center"/>
    </xf>
    <xf numFmtId="0" fontId="5" fillId="0" borderId="27" xfId="0" applyFont="1" applyBorder="1" applyAlignment="1">
      <alignment horizontal="center" vertical="center"/>
    </xf>
    <xf numFmtId="0" fontId="5" fillId="0" borderId="86" xfId="0" applyFont="1" applyBorder="1" applyAlignment="1">
      <alignment horizontal="center" vertical="center"/>
    </xf>
    <xf numFmtId="0" fontId="10" fillId="20" borderId="27" xfId="0" applyFont="1" applyFill="1" applyBorder="1" applyAlignment="1">
      <alignment vertical="center" wrapText="1"/>
    </xf>
    <xf numFmtId="0" fontId="10" fillId="20" borderId="27" xfId="0" applyFont="1" applyFill="1" applyBorder="1" applyAlignment="1">
      <alignment horizontal="center" vertical="center"/>
    </xf>
    <xf numFmtId="0" fontId="18" fillId="16" borderId="27" xfId="0" applyFont="1" applyFill="1" applyBorder="1" applyAlignment="1">
      <alignment horizontal="center" vertical="top"/>
    </xf>
    <xf numFmtId="0" fontId="10" fillId="18" borderId="27" xfId="0" applyFont="1" applyFill="1" applyBorder="1" applyAlignment="1">
      <alignment horizontal="left" vertical="center" wrapText="1"/>
    </xf>
    <xf numFmtId="0" fontId="14" fillId="5" borderId="68" xfId="0" applyFont="1" applyFill="1" applyBorder="1" applyAlignment="1">
      <alignment horizontal="center" vertical="center"/>
    </xf>
    <xf numFmtId="0" fontId="5" fillId="0" borderId="106" xfId="0" applyFont="1" applyBorder="1" applyAlignment="1">
      <alignment horizontal="center" vertical="center"/>
    </xf>
    <xf numFmtId="0" fontId="5" fillId="0" borderId="91" xfId="0" applyFont="1" applyBorder="1" applyAlignment="1">
      <alignment horizontal="center" vertical="center"/>
    </xf>
    <xf numFmtId="0" fontId="5" fillId="0" borderId="88" xfId="0" applyFont="1" applyBorder="1" applyAlignment="1">
      <alignment horizontal="center" vertical="center"/>
    </xf>
    <xf numFmtId="0" fontId="11" fillId="6" borderId="107" xfId="0" applyFont="1" applyFill="1" applyBorder="1" applyAlignment="1">
      <alignment horizontal="left" vertical="center"/>
    </xf>
    <xf numFmtId="0" fontId="11" fillId="6" borderId="79" xfId="0" applyFont="1" applyFill="1" applyBorder="1" applyAlignment="1">
      <alignment horizontal="left" vertical="center"/>
    </xf>
    <xf numFmtId="0" fontId="14" fillId="5" borderId="71" xfId="0" applyFont="1" applyFill="1" applyBorder="1" applyAlignment="1">
      <alignment horizontal="center" vertical="center"/>
    </xf>
    <xf numFmtId="0" fontId="5" fillId="0" borderId="71" xfId="0" applyFont="1" applyBorder="1" applyAlignment="1">
      <alignment horizontal="center" vertical="center"/>
    </xf>
    <xf numFmtId="0" fontId="5" fillId="0" borderId="109" xfId="0" applyFont="1" applyBorder="1" applyAlignment="1">
      <alignment horizontal="center" vertical="center"/>
    </xf>
    <xf numFmtId="0" fontId="42" fillId="0" borderId="35" xfId="0" applyFont="1" applyBorder="1" applyAlignment="1">
      <alignment horizontal="center" vertical="center"/>
    </xf>
    <xf numFmtId="0" fontId="3" fillId="0" borderId="35" xfId="0" applyFont="1" applyBorder="1" applyAlignment="1">
      <alignment horizontal="center" vertical="center"/>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2" fillId="0" borderId="4" xfId="0" applyFont="1" applyBorder="1"/>
    <xf numFmtId="0" fontId="0" fillId="0" borderId="0" xfId="0" applyFont="1" applyAlignment="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6" fillId="3" borderId="9" xfId="0" applyFont="1" applyFill="1" applyBorder="1" applyAlignment="1">
      <alignment horizontal="center" vertical="center"/>
    </xf>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9" fillId="5" borderId="20" xfId="0" applyFont="1" applyFill="1" applyBorder="1" applyAlignment="1">
      <alignment vertical="center"/>
    </xf>
    <xf numFmtId="0" fontId="2" fillId="0" borderId="21" xfId="0" applyFont="1" applyBorder="1"/>
    <xf numFmtId="0" fontId="3" fillId="5" borderId="23" xfId="0" applyFont="1" applyFill="1" applyBorder="1" applyAlignment="1">
      <alignment vertical="center"/>
    </xf>
    <xf numFmtId="0" fontId="2" fillId="0" borderId="24" xfId="0" applyFont="1" applyBorder="1"/>
    <xf numFmtId="0" fontId="9" fillId="5" borderId="45" xfId="0" applyFont="1" applyFill="1" applyBorder="1" applyAlignment="1">
      <alignment vertical="center"/>
    </xf>
    <xf numFmtId="0" fontId="2" fillId="0" borderId="47" xfId="0" applyFont="1" applyBorder="1"/>
    <xf numFmtId="0" fontId="2" fillId="0" borderId="55" xfId="0" applyFont="1" applyBorder="1"/>
    <xf numFmtId="0" fontId="2" fillId="0" borderId="57" xfId="0" applyFont="1" applyBorder="1"/>
    <xf numFmtId="0" fontId="9" fillId="5" borderId="48" xfId="0" applyFont="1" applyFill="1" applyBorder="1" applyAlignment="1">
      <alignment horizontal="center" vertical="center"/>
    </xf>
    <xf numFmtId="0" fontId="2" fillId="0" borderId="58" xfId="0" applyFont="1" applyBorder="1"/>
    <xf numFmtId="0" fontId="3" fillId="5" borderId="49" xfId="0" applyFont="1" applyFill="1" applyBorder="1" applyAlignment="1">
      <alignment vertical="center" wrapText="1"/>
    </xf>
    <xf numFmtId="0" fontId="2" fillId="0" borderId="50" xfId="0" applyFont="1" applyBorder="1"/>
    <xf numFmtId="0" fontId="2" fillId="0" borderId="59" xfId="0" applyFont="1" applyBorder="1"/>
    <xf numFmtId="0" fontId="2" fillId="0" borderId="60" xfId="0" applyFont="1" applyBorder="1"/>
    <xf numFmtId="0" fontId="20" fillId="4" borderId="1" xfId="0" applyFont="1" applyFill="1" applyBorder="1" applyAlignment="1">
      <alignment horizontal="left" wrapText="1"/>
    </xf>
    <xf numFmtId="0" fontId="8" fillId="7" borderId="9" xfId="0" applyFont="1" applyFill="1" applyBorder="1" applyAlignment="1">
      <alignment horizontal="center" vertical="center"/>
    </xf>
    <xf numFmtId="0" fontId="2" fillId="0" borderId="28" xfId="0" applyFont="1" applyBorder="1"/>
    <xf numFmtId="0" fontId="2" fillId="0" borderId="29" xfId="0" applyFont="1" applyBorder="1"/>
    <xf numFmtId="0" fontId="2" fillId="0" borderId="30" xfId="0" applyFont="1" applyBorder="1"/>
    <xf numFmtId="0" fontId="2" fillId="0" borderId="31" xfId="0" applyFont="1" applyBorder="1"/>
    <xf numFmtId="0" fontId="2" fillId="0" borderId="32" xfId="0" applyFont="1" applyBorder="1"/>
    <xf numFmtId="0" fontId="3" fillId="5" borderId="23" xfId="0" applyFont="1" applyFill="1" applyBorder="1" applyAlignment="1">
      <alignment horizontal="left" vertical="center"/>
    </xf>
    <xf numFmtId="0" fontId="3" fillId="4" borderId="39" xfId="0" applyFont="1" applyFill="1" applyBorder="1" applyAlignment="1">
      <alignment horizontal="left" vertical="center"/>
    </xf>
    <xf numFmtId="0" fontId="2" fillId="0" borderId="40" xfId="0" applyFont="1" applyBorder="1"/>
    <xf numFmtId="0" fontId="2" fillId="0" borderId="41" xfId="0" applyFont="1" applyBorder="1"/>
    <xf numFmtId="1" fontId="3" fillId="4" borderId="39" xfId="0" applyNumberFormat="1" applyFont="1" applyFill="1" applyBorder="1" applyAlignment="1">
      <alignment horizontal="center" vertical="center"/>
    </xf>
    <xf numFmtId="0" fontId="3" fillId="4" borderId="72" xfId="0" applyFont="1" applyFill="1" applyBorder="1" applyAlignment="1">
      <alignment horizontal="left" vertical="center"/>
    </xf>
    <xf numFmtId="0" fontId="2" fillId="0" borderId="73" xfId="0" applyFont="1" applyBorder="1"/>
    <xf numFmtId="0" fontId="2" fillId="0" borderId="74" xfId="0" applyFont="1" applyBorder="1"/>
    <xf numFmtId="1" fontId="3" fillId="4" borderId="75" xfId="0" applyNumberFormat="1" applyFont="1" applyFill="1" applyBorder="1" applyAlignment="1">
      <alignment horizontal="center" vertical="center"/>
    </xf>
    <xf numFmtId="0" fontId="3" fillId="4" borderId="81" xfId="0" applyFont="1" applyFill="1" applyBorder="1" applyAlignment="1">
      <alignment horizontal="left" vertical="center"/>
    </xf>
    <xf numFmtId="0" fontId="2" fillId="0" borderId="82" xfId="0" applyFont="1" applyBorder="1"/>
    <xf numFmtId="0" fontId="2" fillId="0" borderId="46" xfId="0" applyFont="1" applyBorder="1"/>
    <xf numFmtId="1" fontId="3" fillId="4" borderId="83" xfId="0" applyNumberFormat="1" applyFont="1" applyFill="1" applyBorder="1" applyAlignment="1">
      <alignment horizontal="center" vertical="center"/>
    </xf>
    <xf numFmtId="0" fontId="2" fillId="0" borderId="56" xfId="0" applyFont="1" applyBorder="1"/>
    <xf numFmtId="0" fontId="3" fillId="4" borderId="20" xfId="0" applyFont="1" applyFill="1" applyBorder="1" applyAlignment="1">
      <alignment horizontal="left" vertical="center"/>
    </xf>
    <xf numFmtId="0" fontId="2" fillId="0" borderId="85" xfId="0" applyFont="1" applyBorder="1"/>
    <xf numFmtId="1" fontId="3" fillId="4" borderId="89" xfId="0" applyNumberFormat="1" applyFont="1" applyFill="1" applyBorder="1" applyAlignment="1">
      <alignment horizontal="center" vertical="center"/>
    </xf>
    <xf numFmtId="0" fontId="3" fillId="0" borderId="15" xfId="0" applyFont="1" applyBorder="1" applyAlignment="1">
      <alignment horizontal="center" vertical="center"/>
    </xf>
    <xf numFmtId="0" fontId="2" fillId="0" borderId="17" xfId="0" applyFont="1" applyBorder="1"/>
    <xf numFmtId="0" fontId="2" fillId="0" borderId="18" xfId="0" applyFont="1" applyBorder="1"/>
    <xf numFmtId="0" fontId="12" fillId="0" borderId="28" xfId="0" applyFont="1" applyBorder="1" applyAlignment="1">
      <alignment horizontal="center" vertical="center"/>
    </xf>
    <xf numFmtId="0" fontId="15" fillId="0" borderId="9" xfId="0" applyFont="1" applyBorder="1" applyAlignment="1">
      <alignment horizontal="center" vertical="center"/>
    </xf>
    <xf numFmtId="0" fontId="11" fillId="0" borderId="9" xfId="0" applyFont="1" applyBorder="1" applyAlignment="1">
      <alignment horizontal="center" vertical="center"/>
    </xf>
    <xf numFmtId="0" fontId="11" fillId="0" borderId="33" xfId="0" applyFont="1" applyBorder="1" applyAlignment="1">
      <alignment horizontal="center" vertical="center"/>
    </xf>
    <xf numFmtId="0" fontId="2" fillId="0" borderId="34" xfId="0" applyFont="1" applyBorder="1"/>
    <xf numFmtId="0" fontId="2" fillId="0" borderId="36" xfId="0" applyFont="1" applyBorder="1"/>
    <xf numFmtId="0" fontId="11" fillId="0" borderId="11" xfId="0" applyFont="1" applyBorder="1" applyAlignment="1">
      <alignment horizontal="center" vertical="center"/>
    </xf>
    <xf numFmtId="0" fontId="4" fillId="0" borderId="0" xfId="0" applyFont="1" applyAlignment="1">
      <alignment horizontal="center" vertical="center"/>
    </xf>
    <xf numFmtId="0" fontId="3" fillId="0" borderId="15" xfId="0" applyFont="1" applyBorder="1" applyAlignment="1">
      <alignment horizontal="center"/>
    </xf>
    <xf numFmtId="0" fontId="8" fillId="0" borderId="0" xfId="0" applyFont="1" applyAlignment="1">
      <alignment horizontal="right" vertical="center" wrapText="1"/>
    </xf>
    <xf numFmtId="0" fontId="5" fillId="3" borderId="15" xfId="0" applyFont="1" applyFill="1" applyBorder="1" applyAlignment="1">
      <alignment horizontal="center" vertical="center"/>
    </xf>
    <xf numFmtId="0" fontId="3" fillId="0" borderId="30" xfId="0" applyFont="1" applyBorder="1" applyAlignment="1">
      <alignment horizontal="center" vertical="center"/>
    </xf>
    <xf numFmtId="0" fontId="14" fillId="0" borderId="15" xfId="0" applyFont="1" applyBorder="1" applyAlignment="1">
      <alignment horizontal="center"/>
    </xf>
    <xf numFmtId="0" fontId="10" fillId="0" borderId="15" xfId="0" applyFont="1" applyBorder="1" applyAlignment="1">
      <alignment horizontal="center"/>
    </xf>
    <xf numFmtId="0" fontId="3" fillId="0" borderId="28" xfId="0" applyFont="1" applyBorder="1" applyAlignment="1">
      <alignment horizontal="center" vertical="center"/>
    </xf>
    <xf numFmtId="0" fontId="13" fillId="0" borderId="9" xfId="0" applyFont="1" applyBorder="1" applyAlignment="1">
      <alignment horizontal="center" vertical="center"/>
    </xf>
    <xf numFmtId="0" fontId="3" fillId="0" borderId="9" xfId="0" applyFont="1" applyBorder="1" applyAlignment="1">
      <alignment horizontal="center" vertical="center"/>
    </xf>
    <xf numFmtId="0" fontId="11" fillId="0" borderId="15" xfId="0" applyFont="1" applyBorder="1" applyAlignment="1">
      <alignment horizontal="center" vertical="center"/>
    </xf>
    <xf numFmtId="0" fontId="16" fillId="0" borderId="15" xfId="0" applyFont="1" applyBorder="1" applyAlignment="1">
      <alignment horizontal="center" vertical="center" wrapText="1"/>
    </xf>
    <xf numFmtId="0" fontId="17" fillId="0" borderId="33" xfId="0" applyFont="1" applyBorder="1" applyAlignment="1">
      <alignment horizontal="center" vertical="center" wrapText="1"/>
    </xf>
    <xf numFmtId="0" fontId="17" fillId="0" borderId="33" xfId="0" applyFont="1" applyBorder="1" applyAlignment="1">
      <alignment horizontal="center" vertical="center"/>
    </xf>
    <xf numFmtId="0" fontId="8" fillId="6" borderId="15" xfId="0" applyFont="1" applyFill="1" applyBorder="1" applyAlignment="1">
      <alignment horizontal="left" vertical="center"/>
    </xf>
    <xf numFmtId="0" fontId="22" fillId="0" borderId="85" xfId="0" applyFont="1" applyBorder="1" applyAlignment="1">
      <alignment horizontal="left"/>
    </xf>
    <xf numFmtId="0" fontId="22" fillId="0" borderId="96" xfId="0" applyFont="1" applyBorder="1" applyAlignment="1">
      <alignment horizontal="center"/>
    </xf>
    <xf numFmtId="0" fontId="2" fillId="0" borderId="96" xfId="0" applyFont="1" applyBorder="1"/>
    <xf numFmtId="0" fontId="23" fillId="0" borderId="0" xfId="0" applyFont="1" applyAlignment="1">
      <alignment horizontal="center"/>
    </xf>
    <xf numFmtId="0" fontId="22" fillId="0" borderId="0" xfId="0" applyFont="1" applyAlignment="1">
      <alignment horizontal="center"/>
    </xf>
    <xf numFmtId="0" fontId="22" fillId="0" borderId="96" xfId="0" applyFont="1" applyBorder="1" applyAlignment="1">
      <alignment horizontal="left" wrapText="1"/>
    </xf>
    <xf numFmtId="0" fontId="23" fillId="0" borderId="45" xfId="0" applyFont="1" applyBorder="1" applyAlignment="1">
      <alignment horizontal="left" vertical="top"/>
    </xf>
    <xf numFmtId="0" fontId="2" fillId="0" borderId="93" xfId="0" applyFont="1" applyBorder="1"/>
    <xf numFmtId="0" fontId="2" fillId="0" borderId="94" xfId="0" applyFont="1" applyBorder="1"/>
    <xf numFmtId="0" fontId="2" fillId="0" borderId="95" xfId="0" applyFont="1" applyBorder="1"/>
    <xf numFmtId="0" fontId="22" fillId="0" borderId="0" xfId="0" applyFont="1" applyAlignment="1">
      <alignment wrapText="1"/>
    </xf>
    <xf numFmtId="0" fontId="23" fillId="0" borderId="96" xfId="0" applyFont="1" applyBorder="1" applyAlignment="1">
      <alignment horizontal="center"/>
    </xf>
    <xf numFmtId="0" fontId="23" fillId="0" borderId="0" xfId="0" applyFont="1" applyAlignment="1">
      <alignment horizontal="center" vertical="center"/>
    </xf>
    <xf numFmtId="0" fontId="23" fillId="0" borderId="0" xfId="0" applyFont="1" applyAlignment="1">
      <alignment horizontal="right"/>
    </xf>
    <xf numFmtId="0" fontId="24" fillId="0" borderId="96" xfId="0" applyFont="1" applyBorder="1" applyAlignment="1">
      <alignment horizontal="center"/>
    </xf>
    <xf numFmtId="0" fontId="23" fillId="0" borderId="45" xfId="0" applyFont="1" applyBorder="1" applyAlignment="1">
      <alignment horizontal="center" vertical="center"/>
    </xf>
    <xf numFmtId="0" fontId="23" fillId="0" borderId="20" xfId="0" applyFont="1" applyBorder="1" applyAlignment="1">
      <alignment horizontal="center" vertical="center"/>
    </xf>
    <xf numFmtId="0" fontId="23" fillId="0" borderId="91" xfId="0" applyFont="1" applyBorder="1" applyAlignment="1">
      <alignment horizontal="center" vertical="center" wrapText="1"/>
    </xf>
    <xf numFmtId="0" fontId="2" fillId="0" borderId="92" xfId="0" applyFont="1" applyBorder="1"/>
    <xf numFmtId="0" fontId="23" fillId="0" borderId="91" xfId="0" applyFont="1" applyBorder="1" applyAlignment="1">
      <alignment horizontal="center" vertical="center"/>
    </xf>
    <xf numFmtId="0" fontId="26" fillId="0" borderId="20" xfId="0" applyFont="1" applyBorder="1" applyAlignment="1">
      <alignment horizontal="left" vertical="center" wrapText="1"/>
    </xf>
    <xf numFmtId="4" fontId="25" fillId="0" borderId="20" xfId="0" applyNumberFormat="1" applyFont="1" applyBorder="1" applyAlignment="1">
      <alignment vertical="center" wrapText="1"/>
    </xf>
    <xf numFmtId="4" fontId="28" fillId="0" borderId="20" xfId="0" applyNumberFormat="1" applyFont="1" applyBorder="1" applyAlignment="1">
      <alignment vertical="center" wrapText="1"/>
    </xf>
    <xf numFmtId="4" fontId="29" fillId="0" borderId="20" xfId="0" applyNumberFormat="1" applyFont="1" applyBorder="1" applyAlignment="1">
      <alignment horizontal="left" vertical="center" wrapText="1"/>
    </xf>
    <xf numFmtId="0" fontId="22" fillId="0" borderId="0" xfId="0" applyFont="1" applyAlignment="1">
      <alignment horizontal="center" vertical="top"/>
    </xf>
    <xf numFmtId="4" fontId="25" fillId="0" borderId="20" xfId="0" applyNumberFormat="1" applyFont="1" applyBorder="1" applyAlignment="1">
      <alignment horizontal="left" vertical="center" wrapText="1"/>
    </xf>
    <xf numFmtId="0" fontId="24" fillId="0" borderId="0" xfId="0" applyFont="1" applyAlignment="1">
      <alignment horizontal="center"/>
    </xf>
    <xf numFmtId="4" fontId="31" fillId="0" borderId="20" xfId="0" applyNumberFormat="1" applyFont="1" applyBorder="1" applyAlignment="1">
      <alignment horizontal="center" vertical="center" wrapText="1"/>
    </xf>
    <xf numFmtId="0" fontId="22" fillId="0" borderId="91" xfId="0" applyFont="1" applyBorder="1" applyAlignment="1">
      <alignment horizontal="center" vertical="center"/>
    </xf>
    <xf numFmtId="0" fontId="23" fillId="0" borderId="0" xfId="0" applyFont="1"/>
    <xf numFmtId="0" fontId="5" fillId="0" borderId="0" xfId="0" applyFont="1" applyAlignment="1">
      <alignment horizontal="left"/>
    </xf>
    <xf numFmtId="0" fontId="5" fillId="0" borderId="15" xfId="0" applyFont="1" applyBorder="1" applyAlignment="1">
      <alignment horizontal="center"/>
    </xf>
    <xf numFmtId="0" fontId="11" fillId="0" borderId="34" xfId="0" applyFont="1" applyBorder="1" applyAlignment="1">
      <alignment horizontal="center" vertical="center"/>
    </xf>
    <xf numFmtId="0" fontId="11" fillId="0" borderId="0" xfId="0" applyFont="1" applyAlignment="1">
      <alignment horizontal="right" vertical="center"/>
    </xf>
    <xf numFmtId="0" fontId="5" fillId="0" borderId="15" xfId="0" applyFont="1" applyBorder="1" applyAlignment="1">
      <alignment horizontal="center" vertical="center"/>
    </xf>
    <xf numFmtId="0" fontId="5" fillId="0" borderId="31" xfId="0" applyFont="1" applyBorder="1" applyAlignment="1">
      <alignment horizontal="center" vertical="center"/>
    </xf>
    <xf numFmtId="0" fontId="3" fillId="5" borderId="100" xfId="0" applyFont="1" applyFill="1" applyBorder="1" applyAlignment="1">
      <alignment horizontal="center" vertical="center"/>
    </xf>
    <xf numFmtId="0" fontId="2" fillId="0" borderId="101" xfId="0" applyFont="1" applyBorder="1"/>
    <xf numFmtId="0" fontId="5" fillId="0" borderId="0" xfId="0" applyFont="1" applyAlignment="1">
      <alignment horizontal="center" vertical="center"/>
    </xf>
    <xf numFmtId="0" fontId="11" fillId="6" borderId="15" xfId="0" applyFont="1" applyFill="1" applyBorder="1" applyAlignment="1">
      <alignment horizontal="left" vertical="center"/>
    </xf>
    <xf numFmtId="0" fontId="34" fillId="0" borderId="0" xfId="0" applyFont="1" applyAlignment="1">
      <alignment horizontal="center" vertical="center"/>
    </xf>
    <xf numFmtId="0" fontId="5" fillId="0" borderId="0" xfId="0" applyFont="1" applyAlignment="1">
      <alignment horizontal="left" vertical="center"/>
    </xf>
    <xf numFmtId="0" fontId="40" fillId="0" borderId="28" xfId="0" applyFont="1" applyBorder="1" applyAlignment="1">
      <alignment horizontal="center" vertical="center"/>
    </xf>
    <xf numFmtId="0" fontId="5" fillId="0" borderId="96" xfId="0" applyFont="1" applyBorder="1" applyAlignment="1">
      <alignment horizontal="left" vertical="center"/>
    </xf>
    <xf numFmtId="0" fontId="2" fillId="0" borderId="103" xfId="0" applyFont="1" applyBorder="1"/>
    <xf numFmtId="0" fontId="11" fillId="6" borderId="108" xfId="0" applyFont="1" applyFill="1" applyBorder="1" applyAlignment="1">
      <alignment horizontal="left" vertical="center"/>
    </xf>
    <xf numFmtId="0" fontId="5" fillId="0" borderId="72" xfId="0" applyFont="1" applyBorder="1" applyAlignment="1">
      <alignment horizontal="left" vertical="center"/>
    </xf>
    <xf numFmtId="0" fontId="42" fillId="0" borderId="9" xfId="0" applyFont="1" applyBorder="1" applyAlignment="1">
      <alignment horizontal="center" vertical="center" wrapText="1"/>
    </xf>
    <xf numFmtId="0" fontId="37" fillId="10" borderId="20" xfId="0" applyFont="1" applyFill="1" applyBorder="1" applyAlignment="1">
      <alignment horizontal="center"/>
    </xf>
    <xf numFmtId="0" fontId="37" fillId="11" borderId="20" xfId="0" applyFont="1" applyFill="1" applyBorder="1" applyAlignment="1">
      <alignment horizontal="center"/>
    </xf>
    <xf numFmtId="0" fontId="18" fillId="15" borderId="91" xfId="0" applyFont="1" applyFill="1" applyBorder="1" applyAlignment="1">
      <alignment horizontal="center" vertical="top" wrapText="1"/>
    </xf>
    <xf numFmtId="0" fontId="2" fillId="0" borderId="99" xfId="0" applyFont="1" applyBorder="1"/>
    <xf numFmtId="0" fontId="14" fillId="16" borderId="91" xfId="0" applyFont="1" applyFill="1" applyBorder="1" applyAlignment="1">
      <alignment horizontal="center" vertical="top" wrapText="1"/>
    </xf>
    <xf numFmtId="0" fontId="14" fillId="16" borderId="91" xfId="0" applyFont="1" applyFill="1" applyBorder="1" applyAlignment="1">
      <alignment horizontal="center" vertical="center" wrapText="1"/>
    </xf>
    <xf numFmtId="0" fontId="18" fillId="19" borderId="91" xfId="0" applyFont="1" applyFill="1" applyBorder="1" applyAlignment="1">
      <alignment horizontal="center" vertical="top" wrapText="1"/>
    </xf>
    <xf numFmtId="0" fontId="18" fillId="18" borderId="91" xfId="0" applyFont="1" applyFill="1" applyBorder="1" applyAlignment="1">
      <alignment horizontal="center" vertical="top" wrapText="1"/>
    </xf>
    <xf numFmtId="0" fontId="18" fillId="16" borderId="91" xfId="0" applyFont="1" applyFill="1" applyBorder="1" applyAlignment="1">
      <alignment horizontal="center" vertical="center" wrapText="1"/>
    </xf>
    <xf numFmtId="0" fontId="18" fillId="20" borderId="91" xfId="0" applyFont="1" applyFill="1" applyBorder="1" applyAlignment="1">
      <alignment horizontal="center" vertical="top" wrapText="1"/>
    </xf>
    <xf numFmtId="0" fontId="18" fillId="16" borderId="91" xfId="0" applyFont="1" applyFill="1" applyBorder="1" applyAlignment="1">
      <alignment horizontal="center" vertical="top" wrapText="1"/>
    </xf>
    <xf numFmtId="0" fontId="14" fillId="16" borderId="91" xfId="0" applyFont="1" applyFill="1" applyBorder="1" applyAlignment="1">
      <alignment horizontal="center" vertical="top"/>
    </xf>
    <xf numFmtId="0" fontId="22" fillId="0" borderId="16" xfId="0" applyFont="1" applyBorder="1" applyAlignment="1" applyProtection="1">
      <alignment horizontal="center" wrapText="1"/>
      <protection locked="0"/>
    </xf>
    <xf numFmtId="0" fontId="22" fillId="0" borderId="16" xfId="0" applyFont="1" applyBorder="1" applyAlignment="1" applyProtection="1">
      <alignment horizontal="center"/>
      <protection locked="0"/>
    </xf>
    <xf numFmtId="0" fontId="0" fillId="0" borderId="16" xfId="0" applyBorder="1" applyProtection="1">
      <protection locked="0"/>
    </xf>
    <xf numFmtId="0" fontId="23" fillId="0" borderId="16" xfId="0" applyFont="1" applyBorder="1" applyAlignment="1" applyProtection="1">
      <alignment horizontal="center"/>
      <protection locked="0"/>
    </xf>
    <xf numFmtId="0" fontId="46" fillId="0" borderId="16" xfId="0" applyFont="1" applyBorder="1" applyAlignment="1" applyProtection="1">
      <alignment horizontal="center" vertical="top"/>
      <protection locked="0"/>
    </xf>
    <xf numFmtId="0" fontId="47" fillId="0" borderId="9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15</xdr:col>
      <xdr:colOff>857250</xdr:colOff>
      <xdr:row>1</xdr:row>
      <xdr:rowOff>19050</xdr:rowOff>
    </xdr:from>
    <xdr:ext cx="1381125" cy="704850"/>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2.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16</xdr:col>
      <xdr:colOff>0</xdr:colOff>
      <xdr:row>1</xdr:row>
      <xdr:rowOff>19050</xdr:rowOff>
    </xdr:from>
    <xdr:ext cx="1381125" cy="704850"/>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2.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15</xdr:col>
      <xdr:colOff>885825</xdr:colOff>
      <xdr:row>1</xdr:row>
      <xdr:rowOff>19050</xdr:rowOff>
    </xdr:from>
    <xdr:ext cx="1381125" cy="704850"/>
    <xdr:pic>
      <xdr:nvPicPr>
        <xdr:cNvPr id="2" name="image1.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2.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9</xdr:col>
      <xdr:colOff>168275</xdr:colOff>
      <xdr:row>3</xdr:row>
      <xdr:rowOff>79375</xdr:rowOff>
    </xdr:from>
    <xdr:ext cx="1038225" cy="993775"/>
    <xdr:sp macro="" textlink="">
      <xdr:nvSpPr>
        <xdr:cNvPr id="4" name="Shape 4">
          <a:extLst>
            <a:ext uri="{FF2B5EF4-FFF2-40B4-BE49-F238E27FC236}">
              <a16:creationId xmlns:a16="http://schemas.microsoft.com/office/drawing/2014/main" id="{58C18409-0CE6-4981-BCFA-A2C47F39ED4C}"/>
            </a:ext>
          </a:extLst>
        </xdr:cNvPr>
        <xdr:cNvSpPr/>
      </xdr:nvSpPr>
      <xdr:spPr>
        <a:xfrm>
          <a:off x="5572125" y="276225"/>
          <a:ext cx="1038225" cy="993775"/>
        </a:xfrm>
        <a:prstGeom prst="ellipse">
          <a:avLst/>
        </a:prstGeom>
        <a:solidFill>
          <a:srgbClr val="EFEFEF"/>
        </a:solidFill>
        <a:ln w="9525" cap="flat" cmpd="sng">
          <a:solidFill>
            <a:srgbClr val="CCCCC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100" i="1">
              <a:latin typeface="Bookman Old Style"/>
              <a:ea typeface="Bookman Old Style"/>
              <a:cs typeface="Bookman Old Style"/>
              <a:sym typeface="Bookman Old Style"/>
            </a:rPr>
            <a:t>Insert School Logo</a:t>
          </a:r>
          <a:endParaRPr sz="1100" i="1">
            <a:latin typeface="Bookman Old Style"/>
            <a:ea typeface="Bookman Old Style"/>
            <a:cs typeface="Bookman Old Style"/>
            <a:sym typeface="Bookman Old Style"/>
          </a:endParaRPr>
        </a:p>
      </xdr:txBody>
    </xdr:sp>
    <xdr:clientData fLocksWithSheet="0"/>
  </xdr:oneCellAnchor>
  <xdr:oneCellAnchor>
    <xdr:from>
      <xdr:col>1</xdr:col>
      <xdr:colOff>512082</xdr:colOff>
      <xdr:row>3</xdr:row>
      <xdr:rowOff>61232</xdr:rowOff>
    </xdr:from>
    <xdr:ext cx="1157968" cy="1050018"/>
    <xdr:pic>
      <xdr:nvPicPr>
        <xdr:cNvPr id="5" name="image3.png" title="Image">
          <a:extLst>
            <a:ext uri="{FF2B5EF4-FFF2-40B4-BE49-F238E27FC236}">
              <a16:creationId xmlns:a16="http://schemas.microsoft.com/office/drawing/2014/main" id="{70B87F54-513F-4CC1-8C8A-F49195407FCF}"/>
            </a:ext>
          </a:extLst>
        </xdr:cNvPr>
        <xdr:cNvPicPr preferRelativeResize="0"/>
      </xdr:nvPicPr>
      <xdr:blipFill>
        <a:blip xmlns:r="http://schemas.openxmlformats.org/officeDocument/2006/relationships" r:embed="rId1" cstate="print"/>
        <a:stretch>
          <a:fillRect/>
        </a:stretch>
      </xdr:blipFill>
      <xdr:spPr>
        <a:xfrm>
          <a:off x="785132" y="258082"/>
          <a:ext cx="1157968" cy="1050018"/>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19050</xdr:colOff>
      <xdr:row>0</xdr:row>
      <xdr:rowOff>0</xdr:rowOff>
    </xdr:from>
    <xdr:ext cx="885825" cy="885825"/>
    <xdr:pic>
      <xdr:nvPicPr>
        <xdr:cNvPr id="2" name="image2.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333375</xdr:colOff>
      <xdr:row>0</xdr:row>
      <xdr:rowOff>85725</xdr:rowOff>
    </xdr:from>
    <xdr:ext cx="1381125" cy="704850"/>
    <xdr:pic>
      <xdr:nvPicPr>
        <xdr:cNvPr id="3" name="image1.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1000"/>
  <sheetViews>
    <sheetView workbookViewId="0"/>
  </sheetViews>
  <sheetFormatPr defaultColWidth="12.6328125" defaultRowHeight="15" customHeight="1" x14ac:dyDescent="0.25"/>
  <cols>
    <col min="1" max="6" width="12.6328125" customWidth="1"/>
  </cols>
  <sheetData>
    <row r="1" ht="15.75" customHeight="1" x14ac:dyDescent="0.25"/>
    <row r="2" ht="15.75" customHeight="1" x14ac:dyDescent="0.25"/>
    <row r="3" ht="15.75" customHeight="1" x14ac:dyDescent="0.25"/>
    <row r="4" ht="15.75" customHeight="1" x14ac:dyDescent="0.25"/>
    <row r="5" ht="15.75" customHeight="1" x14ac:dyDescent="0.25"/>
    <row r="6" ht="15.75" customHeight="1" x14ac:dyDescent="0.25"/>
    <row r="7" ht="15.75" customHeight="1" x14ac:dyDescent="0.25"/>
    <row r="8" ht="15.75" customHeight="1" x14ac:dyDescent="0.25"/>
    <row r="9" ht="15.75" customHeight="1" x14ac:dyDescent="0.25"/>
    <row r="10" ht="15.75" customHeight="1" x14ac:dyDescent="0.25"/>
    <row r="11" ht="15.75" customHeight="1" x14ac:dyDescent="0.25"/>
    <row r="12" ht="15.75" customHeight="1" x14ac:dyDescent="0.25"/>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pageSetUpPr fitToPage="1"/>
  </sheetPr>
  <dimension ref="A1:AD1000"/>
  <sheetViews>
    <sheetView showGridLines="0" workbookViewId="0">
      <pane ySplit="5" topLeftCell="A6" activePane="bottomLeft" state="frozen"/>
      <selection pane="bottomLeft" activeCell="B7" sqref="B7"/>
    </sheetView>
  </sheetViews>
  <sheetFormatPr defaultColWidth="12.6328125" defaultRowHeight="15" customHeight="1" x14ac:dyDescent="0.25"/>
  <cols>
    <col min="1" max="2" width="3.90625" customWidth="1"/>
    <col min="3" max="3" width="11.36328125" customWidth="1"/>
    <col min="4" max="4" width="11" customWidth="1"/>
    <col min="5" max="5" width="3.90625" customWidth="1"/>
    <col min="6" max="6" width="12.6328125" customWidth="1"/>
    <col min="7" max="7" width="28.6328125" customWidth="1"/>
    <col min="8" max="11" width="3.90625" customWidth="1"/>
    <col min="12" max="12" width="37.6328125" customWidth="1"/>
    <col min="13" max="14" width="21.6328125" customWidth="1"/>
    <col min="15" max="16" width="3.90625" customWidth="1"/>
    <col min="17" max="17" width="37.6328125" customWidth="1"/>
    <col min="18" max="19" width="23.90625" customWidth="1"/>
    <col min="20" max="21" width="3.90625" customWidth="1"/>
  </cols>
  <sheetData>
    <row r="1" spans="1:30" ht="15.75" customHeight="1" x14ac:dyDescent="0.25">
      <c r="A1" s="203" t="s">
        <v>0</v>
      </c>
      <c r="B1" s="204"/>
      <c r="C1" s="204"/>
      <c r="D1" s="204"/>
      <c r="E1" s="204"/>
      <c r="F1" s="204"/>
      <c r="G1" s="204"/>
      <c r="H1" s="204"/>
      <c r="I1" s="204"/>
      <c r="J1" s="204"/>
      <c r="K1" s="204"/>
      <c r="L1" s="204"/>
      <c r="M1" s="204"/>
      <c r="N1" s="204"/>
      <c r="O1" s="204"/>
      <c r="P1" s="204"/>
      <c r="Q1" s="204"/>
      <c r="R1" s="204"/>
      <c r="S1" s="204"/>
      <c r="T1" s="204"/>
      <c r="U1" s="205"/>
      <c r="V1" s="1"/>
      <c r="W1" s="1"/>
      <c r="X1" s="1"/>
      <c r="Y1" s="1"/>
      <c r="Z1" s="1"/>
      <c r="AA1" s="1"/>
      <c r="AB1" s="1"/>
      <c r="AC1" s="1"/>
      <c r="AD1" s="1"/>
    </row>
    <row r="2" spans="1:30" ht="15.75" customHeight="1" x14ac:dyDescent="0.25">
      <c r="A2" s="206"/>
      <c r="B2" s="207"/>
      <c r="C2" s="207"/>
      <c r="D2" s="207"/>
      <c r="E2" s="207"/>
      <c r="F2" s="207"/>
      <c r="G2" s="207"/>
      <c r="H2" s="207"/>
      <c r="I2" s="207"/>
      <c r="J2" s="207"/>
      <c r="K2" s="207"/>
      <c r="L2" s="207"/>
      <c r="M2" s="207"/>
      <c r="N2" s="207"/>
      <c r="O2" s="207"/>
      <c r="P2" s="207"/>
      <c r="Q2" s="207"/>
      <c r="R2" s="207"/>
      <c r="S2" s="207"/>
      <c r="T2" s="207"/>
      <c r="U2" s="208"/>
      <c r="V2" s="1"/>
      <c r="W2" s="1"/>
      <c r="X2" s="1"/>
      <c r="Y2" s="1"/>
      <c r="Z2" s="1"/>
      <c r="AA2" s="1"/>
      <c r="AB2" s="1"/>
      <c r="AC2" s="1"/>
      <c r="AD2" s="1"/>
    </row>
    <row r="3" spans="1:30" ht="15.75" customHeight="1" x14ac:dyDescent="0.25">
      <c r="A3" s="206"/>
      <c r="B3" s="207"/>
      <c r="C3" s="207"/>
      <c r="D3" s="207"/>
      <c r="E3" s="207"/>
      <c r="F3" s="207"/>
      <c r="G3" s="207"/>
      <c r="H3" s="207"/>
      <c r="I3" s="207"/>
      <c r="J3" s="207"/>
      <c r="K3" s="207"/>
      <c r="L3" s="207"/>
      <c r="M3" s="207"/>
      <c r="N3" s="207"/>
      <c r="O3" s="207"/>
      <c r="P3" s="207"/>
      <c r="Q3" s="207"/>
      <c r="R3" s="207"/>
      <c r="S3" s="207"/>
      <c r="T3" s="207"/>
      <c r="U3" s="208"/>
      <c r="V3" s="1"/>
      <c r="W3" s="1"/>
      <c r="X3" s="1"/>
      <c r="Y3" s="1"/>
      <c r="Z3" s="1"/>
      <c r="AA3" s="1"/>
      <c r="AB3" s="1"/>
      <c r="AC3" s="1"/>
      <c r="AD3" s="1"/>
    </row>
    <row r="4" spans="1:30" ht="15.75" customHeight="1" x14ac:dyDescent="0.25">
      <c r="A4" s="206"/>
      <c r="B4" s="207"/>
      <c r="C4" s="207"/>
      <c r="D4" s="207"/>
      <c r="E4" s="207"/>
      <c r="F4" s="207"/>
      <c r="G4" s="207"/>
      <c r="H4" s="207"/>
      <c r="I4" s="207"/>
      <c r="J4" s="207"/>
      <c r="K4" s="207"/>
      <c r="L4" s="207"/>
      <c r="M4" s="207"/>
      <c r="N4" s="207"/>
      <c r="O4" s="207"/>
      <c r="P4" s="207"/>
      <c r="Q4" s="207"/>
      <c r="R4" s="207"/>
      <c r="S4" s="207"/>
      <c r="T4" s="207"/>
      <c r="U4" s="208"/>
      <c r="V4" s="1"/>
      <c r="W4" s="1"/>
      <c r="X4" s="1"/>
      <c r="Y4" s="1"/>
      <c r="Z4" s="1"/>
      <c r="AA4" s="1"/>
      <c r="AB4" s="1"/>
      <c r="AC4" s="1"/>
      <c r="AD4" s="1"/>
    </row>
    <row r="5" spans="1:30" ht="15.75" customHeight="1" x14ac:dyDescent="0.25">
      <c r="A5" s="209"/>
      <c r="B5" s="210"/>
      <c r="C5" s="210"/>
      <c r="D5" s="210"/>
      <c r="E5" s="210"/>
      <c r="F5" s="210"/>
      <c r="G5" s="210"/>
      <c r="H5" s="210"/>
      <c r="I5" s="210"/>
      <c r="J5" s="210"/>
      <c r="K5" s="210"/>
      <c r="L5" s="210"/>
      <c r="M5" s="210"/>
      <c r="N5" s="210"/>
      <c r="O5" s="210"/>
      <c r="P5" s="210"/>
      <c r="Q5" s="210"/>
      <c r="R5" s="210"/>
      <c r="S5" s="210"/>
      <c r="T5" s="210"/>
      <c r="U5" s="211"/>
      <c r="V5" s="1"/>
      <c r="W5" s="1"/>
      <c r="X5" s="1"/>
      <c r="Y5" s="1"/>
      <c r="Z5" s="1"/>
      <c r="AA5" s="1"/>
      <c r="AB5" s="1"/>
      <c r="AC5" s="1"/>
      <c r="AD5" s="1"/>
    </row>
    <row r="6" spans="1:30" ht="15.75" customHeight="1" x14ac:dyDescent="0.25">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ht="15.75" customHeight="1" x14ac:dyDescent="0.25">
      <c r="A7" s="1"/>
      <c r="B7" s="212" t="s">
        <v>2</v>
      </c>
      <c r="C7" s="213"/>
      <c r="D7" s="213"/>
      <c r="E7" s="213"/>
      <c r="F7" s="213"/>
      <c r="G7" s="213"/>
      <c r="H7" s="214"/>
      <c r="I7" s="1"/>
      <c r="J7" s="212" t="s">
        <v>3</v>
      </c>
      <c r="K7" s="213"/>
      <c r="L7" s="213"/>
      <c r="M7" s="213"/>
      <c r="N7" s="213"/>
      <c r="O7" s="213"/>
      <c r="P7" s="213"/>
      <c r="Q7" s="213"/>
      <c r="R7" s="213"/>
      <c r="S7" s="213"/>
      <c r="T7" s="214"/>
      <c r="U7" s="1"/>
      <c r="V7" s="1"/>
      <c r="W7" s="1"/>
      <c r="X7" s="1"/>
      <c r="Y7" s="1"/>
      <c r="Z7" s="1"/>
      <c r="AA7" s="1"/>
      <c r="AB7" s="1"/>
      <c r="AC7" s="1"/>
      <c r="AD7" s="1"/>
    </row>
    <row r="8" spans="1:30" ht="15.75" customHeight="1" x14ac:dyDescent="0.25">
      <c r="A8" s="1"/>
      <c r="B8" s="215"/>
      <c r="C8" s="210"/>
      <c r="D8" s="210"/>
      <c r="E8" s="210"/>
      <c r="F8" s="210"/>
      <c r="G8" s="210"/>
      <c r="H8" s="216"/>
      <c r="I8" s="1"/>
      <c r="J8" s="215"/>
      <c r="K8" s="210"/>
      <c r="L8" s="210"/>
      <c r="M8" s="210"/>
      <c r="N8" s="210"/>
      <c r="O8" s="210"/>
      <c r="P8" s="210"/>
      <c r="Q8" s="210"/>
      <c r="R8" s="210"/>
      <c r="S8" s="210"/>
      <c r="T8" s="216"/>
      <c r="U8" s="1"/>
      <c r="V8" s="1"/>
      <c r="W8" s="1"/>
      <c r="X8" s="1"/>
      <c r="Y8" s="1"/>
      <c r="Z8" s="1"/>
      <c r="AA8" s="1"/>
      <c r="AB8" s="1"/>
      <c r="AC8" s="1"/>
      <c r="AD8" s="1"/>
    </row>
    <row r="9" spans="1:30" ht="15.75" customHeight="1" x14ac:dyDescent="0.25">
      <c r="A9" s="1"/>
      <c r="B9" s="8"/>
      <c r="C9" s="9"/>
      <c r="D9" s="9"/>
      <c r="E9" s="9"/>
      <c r="F9" s="9"/>
      <c r="G9" s="9"/>
      <c r="H9" s="11"/>
      <c r="I9" s="1"/>
      <c r="J9" s="8"/>
      <c r="K9" s="9"/>
      <c r="L9" s="9"/>
      <c r="M9" s="9"/>
      <c r="N9" s="9"/>
      <c r="O9" s="9"/>
      <c r="P9" s="9"/>
      <c r="Q9" s="9"/>
      <c r="R9" s="9"/>
      <c r="S9" s="9"/>
      <c r="T9" s="11"/>
      <c r="U9" s="1"/>
      <c r="V9" s="1"/>
      <c r="W9" s="1"/>
      <c r="X9" s="1"/>
      <c r="Y9" s="1"/>
      <c r="Z9" s="1"/>
      <c r="AA9" s="1"/>
      <c r="AB9" s="1"/>
      <c r="AC9" s="1"/>
      <c r="AD9" s="1"/>
    </row>
    <row r="10" spans="1:30" ht="15.75" customHeight="1" x14ac:dyDescent="0.3">
      <c r="A10" s="1"/>
      <c r="B10" s="8"/>
      <c r="C10" s="217" t="s">
        <v>4</v>
      </c>
      <c r="D10" s="218"/>
      <c r="E10" s="13" t="s">
        <v>6</v>
      </c>
      <c r="F10" s="219"/>
      <c r="G10" s="220"/>
      <c r="H10" s="11"/>
      <c r="I10" s="1"/>
      <c r="J10" s="8"/>
      <c r="K10" s="15" t="s">
        <v>9</v>
      </c>
      <c r="L10" s="16"/>
      <c r="M10" s="17" t="s">
        <v>11</v>
      </c>
      <c r="N10" s="17" t="s">
        <v>12</v>
      </c>
      <c r="O10" s="9"/>
      <c r="P10" s="15" t="s">
        <v>13</v>
      </c>
      <c r="Q10" s="18"/>
      <c r="R10" s="17" t="s">
        <v>11</v>
      </c>
      <c r="S10" s="17" t="s">
        <v>12</v>
      </c>
      <c r="T10" s="11"/>
      <c r="U10" s="1"/>
      <c r="V10" s="1"/>
      <c r="W10" s="1"/>
      <c r="X10" s="1"/>
      <c r="Y10" s="1"/>
      <c r="Z10" s="1"/>
      <c r="AA10" s="1"/>
      <c r="AB10" s="1"/>
      <c r="AC10" s="1"/>
      <c r="AD10" s="1"/>
    </row>
    <row r="11" spans="1:30" ht="15.75" customHeight="1" x14ac:dyDescent="0.25">
      <c r="A11" s="1"/>
      <c r="B11" s="8"/>
      <c r="C11" s="217" t="s">
        <v>5</v>
      </c>
      <c r="D11" s="218"/>
      <c r="E11" s="13" t="s">
        <v>6</v>
      </c>
      <c r="F11" s="23"/>
      <c r="G11" s="25"/>
      <c r="H11" s="11"/>
      <c r="I11" s="1"/>
      <c r="J11" s="8"/>
      <c r="K11" s="27">
        <v>1</v>
      </c>
      <c r="L11" s="28"/>
      <c r="M11" s="29"/>
      <c r="N11" s="30"/>
      <c r="O11" s="9"/>
      <c r="P11" s="27">
        <v>1</v>
      </c>
      <c r="Q11" s="28"/>
      <c r="R11" s="29"/>
      <c r="S11" s="30"/>
      <c r="T11" s="11"/>
      <c r="U11" s="1"/>
      <c r="V11" s="1"/>
      <c r="W11" s="1"/>
      <c r="X11" s="1"/>
      <c r="Y11" s="1"/>
      <c r="Z11" s="1"/>
      <c r="AA11" s="1"/>
      <c r="AB11" s="1"/>
      <c r="AC11" s="1"/>
      <c r="AD11" s="1"/>
    </row>
    <row r="12" spans="1:30" ht="15.75" customHeight="1" x14ac:dyDescent="0.25">
      <c r="A12" s="1"/>
      <c r="B12" s="8"/>
      <c r="C12" s="217" t="s">
        <v>17</v>
      </c>
      <c r="D12" s="218"/>
      <c r="E12" s="13" t="s">
        <v>6</v>
      </c>
      <c r="F12" s="23"/>
      <c r="G12" s="25"/>
      <c r="H12" s="11"/>
      <c r="I12" s="1"/>
      <c r="J12" s="8"/>
      <c r="K12" s="27">
        <v>2</v>
      </c>
      <c r="L12" s="28"/>
      <c r="M12" s="29"/>
      <c r="N12" s="30"/>
      <c r="O12" s="9"/>
      <c r="P12" s="27">
        <v>2</v>
      </c>
      <c r="Q12" s="28"/>
      <c r="R12" s="29"/>
      <c r="S12" s="30"/>
      <c r="T12" s="11"/>
      <c r="U12" s="1"/>
      <c r="V12" s="1"/>
      <c r="W12" s="1"/>
      <c r="X12" s="1"/>
      <c r="Y12" s="1"/>
      <c r="Z12" s="1"/>
      <c r="AA12" s="1"/>
      <c r="AB12" s="1"/>
      <c r="AC12" s="1"/>
      <c r="AD12" s="1"/>
    </row>
    <row r="13" spans="1:30" ht="15.75" customHeight="1" x14ac:dyDescent="0.25">
      <c r="A13" s="1"/>
      <c r="B13" s="8"/>
      <c r="C13" s="217" t="s">
        <v>22</v>
      </c>
      <c r="D13" s="218"/>
      <c r="E13" s="13" t="s">
        <v>6</v>
      </c>
      <c r="F13" s="23"/>
      <c r="G13" s="25"/>
      <c r="H13" s="11"/>
      <c r="I13" s="1"/>
      <c r="J13" s="8"/>
      <c r="K13" s="27">
        <v>3</v>
      </c>
      <c r="L13" s="28"/>
      <c r="M13" s="29"/>
      <c r="N13" s="30"/>
      <c r="O13" s="9"/>
      <c r="P13" s="27">
        <v>3</v>
      </c>
      <c r="Q13" s="28"/>
      <c r="R13" s="29"/>
      <c r="S13" s="30"/>
      <c r="T13" s="11"/>
      <c r="U13" s="1"/>
      <c r="V13" s="1"/>
      <c r="W13" s="1"/>
      <c r="X13" s="1"/>
      <c r="Y13" s="1"/>
      <c r="Z13" s="1"/>
      <c r="AA13" s="1"/>
      <c r="AB13" s="1"/>
      <c r="AC13" s="1"/>
      <c r="AD13" s="1"/>
    </row>
    <row r="14" spans="1:30" ht="15.75" customHeight="1" x14ac:dyDescent="0.25">
      <c r="A14" s="1"/>
      <c r="B14" s="8"/>
      <c r="C14" s="9"/>
      <c r="D14" s="9"/>
      <c r="E14" s="9"/>
      <c r="F14" s="9"/>
      <c r="G14" s="9"/>
      <c r="H14" s="11"/>
      <c r="I14" s="1"/>
      <c r="J14" s="8"/>
      <c r="K14" s="27">
        <v>4</v>
      </c>
      <c r="L14" s="28"/>
      <c r="M14" s="29"/>
      <c r="N14" s="36"/>
      <c r="O14" s="9"/>
      <c r="P14" s="27">
        <v>4</v>
      </c>
      <c r="Q14" s="28"/>
      <c r="R14" s="38"/>
      <c r="S14" s="39"/>
      <c r="T14" s="11"/>
      <c r="U14" s="1"/>
      <c r="V14" s="1"/>
      <c r="W14" s="1"/>
      <c r="X14" s="1"/>
      <c r="Y14" s="1"/>
      <c r="Z14" s="1"/>
      <c r="AA14" s="1"/>
      <c r="AB14" s="1"/>
      <c r="AC14" s="1"/>
      <c r="AD14" s="1"/>
    </row>
    <row r="15" spans="1:30" ht="15.75" customHeight="1" x14ac:dyDescent="0.25">
      <c r="A15" s="1"/>
      <c r="B15" s="8"/>
      <c r="C15" s="217" t="s">
        <v>8</v>
      </c>
      <c r="D15" s="218"/>
      <c r="E15" s="13" t="s">
        <v>6</v>
      </c>
      <c r="F15" s="41"/>
      <c r="G15" s="42"/>
      <c r="H15" s="11"/>
      <c r="I15" s="1"/>
      <c r="J15" s="8"/>
      <c r="K15" s="27">
        <v>5</v>
      </c>
      <c r="L15" s="28"/>
      <c r="M15" s="29"/>
      <c r="N15" s="36"/>
      <c r="O15" s="9"/>
      <c r="P15" s="27">
        <v>5</v>
      </c>
      <c r="Q15" s="28"/>
      <c r="R15" s="38"/>
      <c r="S15" s="39"/>
      <c r="T15" s="11"/>
      <c r="U15" s="1"/>
      <c r="V15" s="1"/>
      <c r="W15" s="1"/>
      <c r="X15" s="1"/>
      <c r="Y15" s="1"/>
      <c r="Z15" s="1"/>
      <c r="AA15" s="1"/>
      <c r="AB15" s="1"/>
      <c r="AC15" s="1"/>
      <c r="AD15" s="1"/>
    </row>
    <row r="16" spans="1:30" ht="15.75" customHeight="1" x14ac:dyDescent="0.25">
      <c r="A16" s="1"/>
      <c r="B16" s="8"/>
      <c r="C16" s="221" t="s">
        <v>7</v>
      </c>
      <c r="D16" s="222"/>
      <c r="E16" s="225" t="s">
        <v>6</v>
      </c>
      <c r="F16" s="227"/>
      <c r="G16" s="228"/>
      <c r="H16" s="11"/>
      <c r="I16" s="1"/>
      <c r="J16" s="8"/>
      <c r="K16" s="27">
        <v>6</v>
      </c>
      <c r="L16" s="28"/>
      <c r="M16" s="29"/>
      <c r="N16" s="36"/>
      <c r="O16" s="9"/>
      <c r="P16" s="27">
        <v>6</v>
      </c>
      <c r="Q16" s="28"/>
      <c r="R16" s="38"/>
      <c r="S16" s="39"/>
      <c r="T16" s="11"/>
      <c r="U16" s="1"/>
      <c r="V16" s="1"/>
      <c r="W16" s="1"/>
      <c r="X16" s="1"/>
      <c r="Y16" s="1"/>
      <c r="Z16" s="1"/>
      <c r="AA16" s="1"/>
      <c r="AB16" s="1"/>
      <c r="AC16" s="1"/>
      <c r="AD16" s="1"/>
    </row>
    <row r="17" spans="1:30" ht="15.75" customHeight="1" x14ac:dyDescent="0.25">
      <c r="A17" s="1"/>
      <c r="B17" s="8"/>
      <c r="C17" s="223"/>
      <c r="D17" s="224"/>
      <c r="E17" s="226"/>
      <c r="F17" s="229"/>
      <c r="G17" s="230"/>
      <c r="H17" s="11"/>
      <c r="I17" s="1"/>
      <c r="J17" s="8"/>
      <c r="K17" s="27">
        <v>7</v>
      </c>
      <c r="L17" s="28"/>
      <c r="M17" s="29"/>
      <c r="N17" s="36"/>
      <c r="O17" s="9"/>
      <c r="P17" s="27">
        <v>7</v>
      </c>
      <c r="Q17" s="28"/>
      <c r="R17" s="38"/>
      <c r="S17" s="39"/>
      <c r="T17" s="11"/>
      <c r="U17" s="1"/>
      <c r="V17" s="1"/>
      <c r="W17" s="1"/>
      <c r="X17" s="1"/>
      <c r="Y17" s="1"/>
      <c r="Z17" s="1"/>
      <c r="AA17" s="1"/>
      <c r="AB17" s="1"/>
      <c r="AC17" s="1"/>
      <c r="AD17" s="1"/>
    </row>
    <row r="18" spans="1:30" ht="15.75" customHeight="1" x14ac:dyDescent="0.25">
      <c r="A18" s="1"/>
      <c r="B18" s="8"/>
      <c r="C18" s="217" t="s">
        <v>10</v>
      </c>
      <c r="D18" s="218"/>
      <c r="E18" s="13" t="s">
        <v>6</v>
      </c>
      <c r="F18" s="238"/>
      <c r="G18" s="220"/>
      <c r="H18" s="11"/>
      <c r="I18" s="1"/>
      <c r="J18" s="8"/>
      <c r="K18" s="27">
        <v>8</v>
      </c>
      <c r="L18" s="28"/>
      <c r="M18" s="29"/>
      <c r="N18" s="36"/>
      <c r="O18" s="9"/>
      <c r="P18" s="27">
        <v>8</v>
      </c>
      <c r="Q18" s="28"/>
      <c r="R18" s="38"/>
      <c r="S18" s="39"/>
      <c r="T18" s="11"/>
      <c r="U18" s="1"/>
      <c r="V18" s="1"/>
      <c r="W18" s="1"/>
      <c r="X18" s="1"/>
      <c r="Y18" s="1"/>
      <c r="Z18" s="1"/>
      <c r="AA18" s="1"/>
      <c r="AB18" s="1"/>
      <c r="AC18" s="1"/>
      <c r="AD18" s="1"/>
    </row>
    <row r="19" spans="1:30" ht="15.75" customHeight="1" x14ac:dyDescent="0.25">
      <c r="A19" s="1"/>
      <c r="B19" s="8"/>
      <c r="C19" s="217" t="s">
        <v>40</v>
      </c>
      <c r="D19" s="218"/>
      <c r="E19" s="13" t="s">
        <v>6</v>
      </c>
      <c r="F19" s="219"/>
      <c r="G19" s="220"/>
      <c r="H19" s="11"/>
      <c r="I19" s="1"/>
      <c r="J19" s="8"/>
      <c r="K19" s="27">
        <v>9</v>
      </c>
      <c r="L19" s="28"/>
      <c r="M19" s="29"/>
      <c r="N19" s="36"/>
      <c r="O19" s="9"/>
      <c r="P19" s="27">
        <v>9</v>
      </c>
      <c r="Q19" s="28"/>
      <c r="R19" s="38"/>
      <c r="S19" s="39"/>
      <c r="T19" s="11"/>
      <c r="U19" s="1"/>
      <c r="V19" s="1"/>
      <c r="W19" s="1"/>
      <c r="X19" s="1"/>
      <c r="Y19" s="1"/>
      <c r="Z19" s="1"/>
      <c r="AA19" s="1"/>
      <c r="AB19" s="1"/>
      <c r="AC19" s="1"/>
      <c r="AD19" s="1"/>
    </row>
    <row r="20" spans="1:30" ht="15.75" customHeight="1" x14ac:dyDescent="0.25">
      <c r="A20" s="1"/>
      <c r="B20" s="56"/>
      <c r="C20" s="57"/>
      <c r="D20" s="57"/>
      <c r="E20" s="57"/>
      <c r="F20" s="57"/>
      <c r="G20" s="57"/>
      <c r="H20" s="58"/>
      <c r="I20" s="1"/>
      <c r="J20" s="8"/>
      <c r="K20" s="27">
        <v>10</v>
      </c>
      <c r="L20" s="28"/>
      <c r="M20" s="29"/>
      <c r="N20" s="36"/>
      <c r="O20" s="9"/>
      <c r="P20" s="27">
        <v>10</v>
      </c>
      <c r="Q20" s="28"/>
      <c r="R20" s="38"/>
      <c r="S20" s="39"/>
      <c r="T20" s="11"/>
      <c r="U20" s="1"/>
      <c r="V20" s="1"/>
      <c r="W20" s="1"/>
      <c r="X20" s="1"/>
      <c r="Y20" s="1"/>
      <c r="Z20" s="1"/>
      <c r="AA20" s="1"/>
      <c r="AB20" s="1"/>
      <c r="AC20" s="1"/>
      <c r="AD20" s="1"/>
    </row>
    <row r="21" spans="1:30" ht="15.75" customHeight="1" x14ac:dyDescent="0.25">
      <c r="A21" s="59"/>
      <c r="B21" s="59"/>
      <c r="C21" s="59"/>
      <c r="D21" s="59"/>
      <c r="E21" s="59"/>
      <c r="F21" s="59"/>
      <c r="G21" s="59"/>
      <c r="H21" s="59"/>
      <c r="I21" s="1"/>
      <c r="J21" s="8"/>
      <c r="K21" s="27">
        <v>11</v>
      </c>
      <c r="L21" s="28"/>
      <c r="M21" s="29"/>
      <c r="N21" s="36"/>
      <c r="O21" s="9"/>
      <c r="P21" s="27">
        <v>11</v>
      </c>
      <c r="Q21" s="28"/>
      <c r="R21" s="38"/>
      <c r="S21" s="39"/>
      <c r="T21" s="11"/>
      <c r="U21" s="1"/>
      <c r="V21" s="1"/>
      <c r="W21" s="1"/>
      <c r="X21" s="1"/>
      <c r="Y21" s="1"/>
      <c r="Z21" s="1"/>
      <c r="AA21" s="1"/>
      <c r="AB21" s="1"/>
      <c r="AC21" s="1"/>
      <c r="AD21" s="1"/>
    </row>
    <row r="22" spans="1:30" ht="15.75" customHeight="1" x14ac:dyDescent="0.25">
      <c r="A22" s="59"/>
      <c r="B22" s="59"/>
      <c r="C22" s="59"/>
      <c r="D22" s="59"/>
      <c r="E22" s="59"/>
      <c r="F22" s="59"/>
      <c r="G22" s="59"/>
      <c r="H22" s="59"/>
      <c r="I22" s="1"/>
      <c r="J22" s="8"/>
      <c r="K22" s="27">
        <v>12</v>
      </c>
      <c r="L22" s="28"/>
      <c r="M22" s="29"/>
      <c r="N22" s="36"/>
      <c r="O22" s="9"/>
      <c r="P22" s="27">
        <v>12</v>
      </c>
      <c r="Q22" s="28"/>
      <c r="R22" s="38"/>
      <c r="S22" s="39"/>
      <c r="T22" s="11"/>
      <c r="U22" s="1"/>
      <c r="V22" s="1"/>
      <c r="W22" s="1"/>
      <c r="X22" s="1"/>
      <c r="Y22" s="1"/>
      <c r="Z22" s="1"/>
      <c r="AA22" s="1"/>
      <c r="AB22" s="1"/>
      <c r="AC22" s="1"/>
      <c r="AD22" s="1"/>
    </row>
    <row r="23" spans="1:30" ht="15.75" customHeight="1" x14ac:dyDescent="0.25">
      <c r="A23" s="1"/>
      <c r="B23" s="212" t="s">
        <v>41</v>
      </c>
      <c r="C23" s="213"/>
      <c r="D23" s="213"/>
      <c r="E23" s="213"/>
      <c r="F23" s="213"/>
      <c r="G23" s="213"/>
      <c r="H23" s="214"/>
      <c r="I23" s="1"/>
      <c r="J23" s="8"/>
      <c r="K23" s="27">
        <v>13</v>
      </c>
      <c r="L23" s="28"/>
      <c r="M23" s="29"/>
      <c r="N23" s="36"/>
      <c r="O23" s="9"/>
      <c r="P23" s="27">
        <v>13</v>
      </c>
      <c r="Q23" s="28"/>
      <c r="R23" s="38"/>
      <c r="S23" s="39"/>
      <c r="T23" s="11"/>
      <c r="U23" s="1"/>
      <c r="V23" s="1"/>
      <c r="W23" s="1"/>
      <c r="X23" s="1"/>
      <c r="Y23" s="1"/>
      <c r="Z23" s="1"/>
      <c r="AA23" s="1"/>
      <c r="AB23" s="1"/>
      <c r="AC23" s="1"/>
      <c r="AD23" s="1"/>
    </row>
    <row r="24" spans="1:30" ht="15.75" customHeight="1" x14ac:dyDescent="0.25">
      <c r="A24" s="1"/>
      <c r="B24" s="215"/>
      <c r="C24" s="210"/>
      <c r="D24" s="210"/>
      <c r="E24" s="210"/>
      <c r="F24" s="210"/>
      <c r="G24" s="210"/>
      <c r="H24" s="216"/>
      <c r="I24" s="1"/>
      <c r="J24" s="8"/>
      <c r="K24" s="27">
        <v>14</v>
      </c>
      <c r="L24" s="28"/>
      <c r="M24" s="29"/>
      <c r="N24" s="36"/>
      <c r="O24" s="9"/>
      <c r="P24" s="27">
        <v>14</v>
      </c>
      <c r="Q24" s="28"/>
      <c r="R24" s="38"/>
      <c r="S24" s="39"/>
      <c r="T24" s="11"/>
      <c r="U24" s="1"/>
      <c r="V24" s="1"/>
      <c r="W24" s="1"/>
      <c r="X24" s="1"/>
      <c r="Y24" s="1"/>
      <c r="Z24" s="1"/>
      <c r="AA24" s="1"/>
      <c r="AB24" s="1"/>
      <c r="AC24" s="1"/>
      <c r="AD24" s="1"/>
    </row>
    <row r="25" spans="1:30" ht="15.75" customHeight="1" x14ac:dyDescent="0.25">
      <c r="A25" s="1"/>
      <c r="B25" s="8"/>
      <c r="C25" s="9"/>
      <c r="D25" s="9"/>
      <c r="E25" s="9"/>
      <c r="F25" s="9"/>
      <c r="G25" s="9"/>
      <c r="H25" s="11"/>
      <c r="I25" s="1"/>
      <c r="J25" s="8"/>
      <c r="K25" s="27">
        <v>15</v>
      </c>
      <c r="L25" s="28"/>
      <c r="M25" s="29"/>
      <c r="N25" s="36"/>
      <c r="O25" s="9"/>
      <c r="P25" s="27">
        <v>15</v>
      </c>
      <c r="Q25" s="28"/>
      <c r="R25" s="38"/>
      <c r="S25" s="39"/>
      <c r="T25" s="11"/>
      <c r="U25" s="1"/>
      <c r="V25" s="1"/>
      <c r="W25" s="1"/>
      <c r="X25" s="1"/>
      <c r="Y25" s="1"/>
      <c r="Z25" s="1"/>
      <c r="AA25" s="1"/>
      <c r="AB25" s="1"/>
      <c r="AC25" s="1"/>
      <c r="AD25" s="1"/>
    </row>
    <row r="26" spans="1:30" ht="15.75" customHeight="1" x14ac:dyDescent="0.25">
      <c r="A26" s="1"/>
      <c r="B26" s="8"/>
      <c r="C26" s="60" t="s">
        <v>19</v>
      </c>
      <c r="D26" s="61"/>
      <c r="E26" s="62" t="s">
        <v>6</v>
      </c>
      <c r="F26" s="219"/>
      <c r="G26" s="220"/>
      <c r="H26" s="11"/>
      <c r="I26" s="1"/>
      <c r="J26" s="8"/>
      <c r="K26" s="27">
        <v>16</v>
      </c>
      <c r="L26" s="28"/>
      <c r="M26" s="29"/>
      <c r="N26" s="36"/>
      <c r="O26" s="9"/>
      <c r="P26" s="27">
        <v>16</v>
      </c>
      <c r="Q26" s="28"/>
      <c r="R26" s="38"/>
      <c r="S26" s="39"/>
      <c r="T26" s="11"/>
      <c r="U26" s="1"/>
      <c r="V26" s="1"/>
      <c r="W26" s="1"/>
      <c r="X26" s="1"/>
      <c r="Y26" s="1"/>
      <c r="Z26" s="1"/>
      <c r="AA26" s="1"/>
      <c r="AB26" s="1"/>
      <c r="AC26" s="1"/>
      <c r="AD26" s="1"/>
    </row>
    <row r="27" spans="1:30" ht="15.75" customHeight="1" x14ac:dyDescent="0.25">
      <c r="A27" s="1"/>
      <c r="B27" s="8"/>
      <c r="C27" s="217" t="s">
        <v>15</v>
      </c>
      <c r="D27" s="218"/>
      <c r="E27" s="13" t="s">
        <v>6</v>
      </c>
      <c r="F27" s="63"/>
      <c r="G27" s="64" t="s">
        <v>42</v>
      </c>
      <c r="H27" s="11"/>
      <c r="I27" s="1"/>
      <c r="J27" s="8"/>
      <c r="K27" s="27">
        <v>17</v>
      </c>
      <c r="L27" s="28"/>
      <c r="M27" s="29"/>
      <c r="N27" s="36"/>
      <c r="O27" s="9"/>
      <c r="P27" s="27">
        <v>17</v>
      </c>
      <c r="Q27" s="28"/>
      <c r="R27" s="38"/>
      <c r="S27" s="39"/>
      <c r="T27" s="11"/>
      <c r="U27" s="1"/>
      <c r="V27" s="1"/>
      <c r="W27" s="1"/>
      <c r="X27" s="1"/>
      <c r="Y27" s="1"/>
      <c r="Z27" s="1"/>
      <c r="AA27" s="1"/>
      <c r="AB27" s="1"/>
      <c r="AC27" s="1"/>
      <c r="AD27" s="1"/>
    </row>
    <row r="28" spans="1:30" ht="15.75" customHeight="1" x14ac:dyDescent="0.25">
      <c r="A28" s="1"/>
      <c r="B28" s="8"/>
      <c r="C28" s="65" t="s">
        <v>18</v>
      </c>
      <c r="D28" s="66"/>
      <c r="E28" s="67" t="s">
        <v>6</v>
      </c>
      <c r="F28" s="219"/>
      <c r="G28" s="220"/>
      <c r="H28" s="11"/>
      <c r="I28" s="1"/>
      <c r="J28" s="8"/>
      <c r="K28" s="27">
        <v>18</v>
      </c>
      <c r="L28" s="28"/>
      <c r="M28" s="29"/>
      <c r="N28" s="36"/>
      <c r="O28" s="9"/>
      <c r="P28" s="27">
        <v>18</v>
      </c>
      <c r="Q28" s="28"/>
      <c r="R28" s="38"/>
      <c r="S28" s="39"/>
      <c r="T28" s="11"/>
      <c r="U28" s="1"/>
      <c r="V28" s="1"/>
      <c r="W28" s="1"/>
      <c r="X28" s="1"/>
      <c r="Y28" s="1"/>
      <c r="Z28" s="1"/>
      <c r="AA28" s="1"/>
      <c r="AB28" s="1"/>
      <c r="AC28" s="1"/>
      <c r="AD28" s="1"/>
    </row>
    <row r="29" spans="1:30" ht="15.75" customHeight="1" x14ac:dyDescent="0.25">
      <c r="A29" s="1"/>
      <c r="B29" s="8"/>
      <c r="C29" s="65" t="s">
        <v>16</v>
      </c>
      <c r="D29" s="66"/>
      <c r="E29" s="67" t="s">
        <v>6</v>
      </c>
      <c r="F29" s="219"/>
      <c r="G29" s="220"/>
      <c r="H29" s="11"/>
      <c r="I29" s="1"/>
      <c r="J29" s="8"/>
      <c r="K29" s="27">
        <v>19</v>
      </c>
      <c r="L29" s="28"/>
      <c r="M29" s="29"/>
      <c r="N29" s="36"/>
      <c r="O29" s="9"/>
      <c r="P29" s="27">
        <v>19</v>
      </c>
      <c r="Q29" s="28"/>
      <c r="R29" s="38"/>
      <c r="S29" s="39"/>
      <c r="T29" s="11"/>
      <c r="U29" s="1"/>
      <c r="V29" s="1"/>
      <c r="W29" s="1"/>
      <c r="X29" s="1"/>
      <c r="Y29" s="1"/>
      <c r="Z29" s="1"/>
      <c r="AA29" s="1"/>
      <c r="AB29" s="1"/>
      <c r="AC29" s="1"/>
      <c r="AD29" s="1"/>
    </row>
    <row r="30" spans="1:30" ht="15.75" customHeight="1" x14ac:dyDescent="0.3">
      <c r="A30" s="1"/>
      <c r="B30" s="8"/>
      <c r="C30" s="68"/>
      <c r="D30" s="69"/>
      <c r="E30" s="69"/>
      <c r="F30" s="69"/>
      <c r="G30" s="69"/>
      <c r="H30" s="11"/>
      <c r="I30" s="1"/>
      <c r="J30" s="8"/>
      <c r="K30" s="27">
        <v>20</v>
      </c>
      <c r="L30" s="28"/>
      <c r="M30" s="29"/>
      <c r="N30" s="36"/>
      <c r="O30" s="9"/>
      <c r="P30" s="27">
        <v>20</v>
      </c>
      <c r="Q30" s="28"/>
      <c r="R30" s="38"/>
      <c r="S30" s="39"/>
      <c r="T30" s="11"/>
      <c r="U30" s="1"/>
      <c r="V30" s="1"/>
      <c r="W30" s="1"/>
      <c r="X30" s="1"/>
      <c r="Y30" s="1"/>
      <c r="Z30" s="1"/>
      <c r="AA30" s="1"/>
      <c r="AB30" s="1"/>
      <c r="AC30" s="1"/>
      <c r="AD30" s="1"/>
    </row>
    <row r="31" spans="1:30" ht="15.75" customHeight="1" x14ac:dyDescent="0.25">
      <c r="A31" s="1"/>
      <c r="B31" s="8"/>
      <c r="C31" s="231" t="s">
        <v>43</v>
      </c>
      <c r="D31" s="204"/>
      <c r="E31" s="204"/>
      <c r="F31" s="204"/>
      <c r="G31" s="205"/>
      <c r="H31" s="11"/>
      <c r="I31" s="1"/>
      <c r="J31" s="8"/>
      <c r="K31" s="27">
        <v>21</v>
      </c>
      <c r="L31" s="28"/>
      <c r="M31" s="29"/>
      <c r="N31" s="36"/>
      <c r="O31" s="9"/>
      <c r="P31" s="27">
        <v>21</v>
      </c>
      <c r="Q31" s="28"/>
      <c r="R31" s="38"/>
      <c r="S31" s="39"/>
      <c r="T31" s="11"/>
      <c r="U31" s="1"/>
      <c r="V31" s="1"/>
      <c r="W31" s="1"/>
      <c r="X31" s="1"/>
      <c r="Y31" s="1"/>
      <c r="Z31" s="1"/>
      <c r="AA31" s="1"/>
      <c r="AB31" s="1"/>
      <c r="AC31" s="1"/>
      <c r="AD31" s="1"/>
    </row>
    <row r="32" spans="1:30" ht="15.75" customHeight="1" x14ac:dyDescent="0.25">
      <c r="A32" s="1"/>
      <c r="B32" s="8"/>
      <c r="C32" s="206"/>
      <c r="D32" s="207"/>
      <c r="E32" s="207"/>
      <c r="F32" s="207"/>
      <c r="G32" s="208"/>
      <c r="H32" s="11"/>
      <c r="I32" s="1"/>
      <c r="J32" s="8"/>
      <c r="K32" s="27">
        <v>22</v>
      </c>
      <c r="L32" s="28"/>
      <c r="M32" s="29"/>
      <c r="N32" s="36"/>
      <c r="O32" s="9"/>
      <c r="P32" s="27">
        <v>22</v>
      </c>
      <c r="Q32" s="28"/>
      <c r="R32" s="38"/>
      <c r="S32" s="39"/>
      <c r="T32" s="11"/>
      <c r="U32" s="1"/>
      <c r="V32" s="1"/>
      <c r="W32" s="1"/>
      <c r="X32" s="1"/>
      <c r="Y32" s="1"/>
      <c r="Z32" s="1"/>
      <c r="AA32" s="1"/>
      <c r="AB32" s="1"/>
      <c r="AC32" s="1"/>
      <c r="AD32" s="1"/>
    </row>
    <row r="33" spans="1:30" ht="13.5" customHeight="1" x14ac:dyDescent="0.25">
      <c r="A33" s="1"/>
      <c r="B33" s="8"/>
      <c r="C33" s="206"/>
      <c r="D33" s="207"/>
      <c r="E33" s="207"/>
      <c r="F33" s="207"/>
      <c r="G33" s="208"/>
      <c r="H33" s="11"/>
      <c r="I33" s="1"/>
      <c r="J33" s="8"/>
      <c r="K33" s="27">
        <v>23</v>
      </c>
      <c r="L33" s="28"/>
      <c r="M33" s="29"/>
      <c r="N33" s="36"/>
      <c r="O33" s="9"/>
      <c r="P33" s="27">
        <v>23</v>
      </c>
      <c r="Q33" s="28"/>
      <c r="R33" s="38"/>
      <c r="S33" s="39"/>
      <c r="T33" s="11"/>
      <c r="U33" s="1"/>
      <c r="V33" s="1"/>
      <c r="W33" s="1"/>
      <c r="X33" s="1"/>
      <c r="Y33" s="1"/>
      <c r="Z33" s="1"/>
      <c r="AA33" s="1"/>
      <c r="AB33" s="1"/>
      <c r="AC33" s="1"/>
      <c r="AD33" s="1"/>
    </row>
    <row r="34" spans="1:30" ht="15.75" customHeight="1" x14ac:dyDescent="0.25">
      <c r="A34" s="1"/>
      <c r="B34" s="8"/>
      <c r="C34" s="209"/>
      <c r="D34" s="210"/>
      <c r="E34" s="210"/>
      <c r="F34" s="210"/>
      <c r="G34" s="211"/>
      <c r="H34" s="11"/>
      <c r="I34" s="1"/>
      <c r="J34" s="8"/>
      <c r="K34" s="27">
        <v>24</v>
      </c>
      <c r="L34" s="28"/>
      <c r="M34" s="29"/>
      <c r="N34" s="36"/>
      <c r="O34" s="9"/>
      <c r="P34" s="27">
        <v>24</v>
      </c>
      <c r="Q34" s="28"/>
      <c r="R34" s="38"/>
      <c r="S34" s="39"/>
      <c r="T34" s="11"/>
      <c r="U34" s="1"/>
      <c r="V34" s="1"/>
      <c r="W34" s="1"/>
      <c r="X34" s="1"/>
      <c r="Y34" s="1"/>
      <c r="Z34" s="1"/>
      <c r="AA34" s="1"/>
      <c r="AB34" s="1"/>
      <c r="AC34" s="1"/>
      <c r="AD34" s="1"/>
    </row>
    <row r="35" spans="1:30" ht="15.75" customHeight="1" x14ac:dyDescent="0.25">
      <c r="A35" s="1"/>
      <c r="B35" s="56"/>
      <c r="C35" s="73"/>
      <c r="D35" s="73"/>
      <c r="E35" s="73"/>
      <c r="F35" s="73"/>
      <c r="G35" s="73"/>
      <c r="H35" s="58"/>
      <c r="I35" s="1"/>
      <c r="J35" s="8"/>
      <c r="K35" s="27">
        <v>25</v>
      </c>
      <c r="L35" s="28"/>
      <c r="M35" s="29"/>
      <c r="N35" s="36"/>
      <c r="O35" s="9"/>
      <c r="P35" s="27">
        <v>25</v>
      </c>
      <c r="Q35" s="28"/>
      <c r="R35" s="38"/>
      <c r="S35" s="39"/>
      <c r="T35" s="11"/>
      <c r="U35" s="1"/>
      <c r="V35" s="1"/>
      <c r="W35" s="1"/>
      <c r="X35" s="1"/>
      <c r="Y35" s="1"/>
      <c r="Z35" s="1"/>
      <c r="AA35" s="1"/>
      <c r="AB35" s="1"/>
      <c r="AC35" s="1"/>
      <c r="AD35" s="1"/>
    </row>
    <row r="36" spans="1:30" ht="15.75" customHeight="1" x14ac:dyDescent="0.25">
      <c r="A36" s="1"/>
      <c r="B36" s="1"/>
      <c r="C36" s="1"/>
      <c r="D36" s="1"/>
      <c r="E36" s="1"/>
      <c r="F36" s="1"/>
      <c r="G36" s="1"/>
      <c r="H36" s="1"/>
      <c r="I36" s="1"/>
      <c r="J36" s="8"/>
      <c r="K36" s="27">
        <v>26</v>
      </c>
      <c r="L36" s="28"/>
      <c r="M36" s="29"/>
      <c r="N36" s="36"/>
      <c r="O36" s="9"/>
      <c r="P36" s="27">
        <v>26</v>
      </c>
      <c r="Q36" s="28"/>
      <c r="R36" s="38"/>
      <c r="S36" s="39"/>
      <c r="T36" s="11"/>
      <c r="U36" s="1"/>
      <c r="V36" s="1"/>
      <c r="W36" s="1"/>
      <c r="X36" s="1"/>
      <c r="Y36" s="1"/>
      <c r="Z36" s="1"/>
      <c r="AA36" s="1"/>
      <c r="AB36" s="1"/>
      <c r="AC36" s="1"/>
      <c r="AD36" s="1"/>
    </row>
    <row r="37" spans="1:30" ht="15.75" customHeight="1" x14ac:dyDescent="0.25">
      <c r="A37" s="1"/>
      <c r="B37" s="1"/>
      <c r="C37" s="1"/>
      <c r="D37" s="1"/>
      <c r="E37" s="1"/>
      <c r="F37" s="1"/>
      <c r="G37" s="1"/>
      <c r="H37" s="1"/>
      <c r="I37" s="1"/>
      <c r="J37" s="8"/>
      <c r="K37" s="27">
        <v>27</v>
      </c>
      <c r="L37" s="28"/>
      <c r="M37" s="29"/>
      <c r="N37" s="36"/>
      <c r="O37" s="9"/>
      <c r="P37" s="27">
        <v>27</v>
      </c>
      <c r="Q37" s="28"/>
      <c r="R37" s="38"/>
      <c r="S37" s="39"/>
      <c r="T37" s="11"/>
      <c r="U37" s="1"/>
      <c r="V37" s="1"/>
      <c r="W37" s="1"/>
      <c r="X37" s="1"/>
      <c r="Y37" s="1"/>
      <c r="Z37" s="1"/>
      <c r="AA37" s="1"/>
      <c r="AB37" s="1"/>
      <c r="AC37" s="1"/>
      <c r="AD37" s="1"/>
    </row>
    <row r="38" spans="1:30" ht="15.75" customHeight="1" x14ac:dyDescent="0.25">
      <c r="A38" s="1"/>
      <c r="B38" s="232" t="s">
        <v>44</v>
      </c>
      <c r="C38" s="213"/>
      <c r="D38" s="213"/>
      <c r="E38" s="213"/>
      <c r="F38" s="213"/>
      <c r="G38" s="213"/>
      <c r="H38" s="214"/>
      <c r="I38" s="1"/>
      <c r="J38" s="8"/>
      <c r="K38" s="27">
        <v>28</v>
      </c>
      <c r="L38" s="28"/>
      <c r="M38" s="29"/>
      <c r="N38" s="36"/>
      <c r="O38" s="9"/>
      <c r="P38" s="27">
        <v>28</v>
      </c>
      <c r="Q38" s="28"/>
      <c r="R38" s="38"/>
      <c r="S38" s="39"/>
      <c r="T38" s="11"/>
      <c r="U38" s="1"/>
      <c r="V38" s="1"/>
      <c r="W38" s="1"/>
      <c r="X38" s="1"/>
      <c r="Y38" s="1"/>
      <c r="Z38" s="1"/>
      <c r="AA38" s="1"/>
      <c r="AB38" s="1"/>
      <c r="AC38" s="1"/>
      <c r="AD38" s="1"/>
    </row>
    <row r="39" spans="1:30" ht="15.75" customHeight="1" x14ac:dyDescent="0.25">
      <c r="A39" s="1"/>
      <c r="B39" s="233"/>
      <c r="C39" s="207"/>
      <c r="D39" s="207"/>
      <c r="E39" s="207"/>
      <c r="F39" s="207"/>
      <c r="G39" s="207"/>
      <c r="H39" s="234"/>
      <c r="I39" s="1"/>
      <c r="J39" s="8"/>
      <c r="K39" s="27">
        <v>29</v>
      </c>
      <c r="L39" s="28"/>
      <c r="M39" s="29"/>
      <c r="N39" s="36"/>
      <c r="O39" s="9"/>
      <c r="P39" s="27">
        <v>29</v>
      </c>
      <c r="Q39" s="28"/>
      <c r="R39" s="38"/>
      <c r="S39" s="39"/>
      <c r="T39" s="11"/>
      <c r="U39" s="1"/>
      <c r="V39" s="1"/>
      <c r="W39" s="1"/>
      <c r="X39" s="1"/>
      <c r="Y39" s="1"/>
      <c r="Z39" s="1"/>
      <c r="AA39" s="1"/>
      <c r="AB39" s="1"/>
      <c r="AC39" s="1"/>
      <c r="AD39" s="1"/>
    </row>
    <row r="40" spans="1:30" ht="15.75" customHeight="1" x14ac:dyDescent="0.25">
      <c r="A40" s="1"/>
      <c r="B40" s="235"/>
      <c r="C40" s="236"/>
      <c r="D40" s="236"/>
      <c r="E40" s="236"/>
      <c r="F40" s="236"/>
      <c r="G40" s="236"/>
      <c r="H40" s="237"/>
      <c r="I40" s="1"/>
      <c r="J40" s="8"/>
      <c r="K40" s="27">
        <v>30</v>
      </c>
      <c r="L40" s="28"/>
      <c r="M40" s="29"/>
      <c r="N40" s="36"/>
      <c r="O40" s="9"/>
      <c r="P40" s="27">
        <v>30</v>
      </c>
      <c r="Q40" s="28"/>
      <c r="R40" s="38"/>
      <c r="S40" s="39"/>
      <c r="T40" s="11"/>
      <c r="U40" s="1"/>
      <c r="V40" s="1"/>
      <c r="W40" s="1"/>
      <c r="X40" s="1"/>
      <c r="Y40" s="1"/>
      <c r="Z40" s="1"/>
      <c r="AA40" s="1"/>
      <c r="AB40" s="1"/>
      <c r="AC40" s="1"/>
      <c r="AD40" s="1"/>
    </row>
    <row r="41" spans="1:30" ht="15.75" customHeight="1" x14ac:dyDescent="0.25">
      <c r="A41" s="1"/>
      <c r="B41" s="1"/>
      <c r="C41" s="1"/>
      <c r="D41" s="1"/>
      <c r="E41" s="1"/>
      <c r="F41" s="1"/>
      <c r="G41" s="1"/>
      <c r="H41" s="1"/>
      <c r="I41" s="1"/>
      <c r="J41" s="8"/>
      <c r="K41" s="27">
        <v>31</v>
      </c>
      <c r="L41" s="28"/>
      <c r="M41" s="29"/>
      <c r="N41" s="36"/>
      <c r="O41" s="9"/>
      <c r="P41" s="27">
        <v>31</v>
      </c>
      <c r="Q41" s="28"/>
      <c r="R41" s="38"/>
      <c r="S41" s="39"/>
      <c r="T41" s="11"/>
      <c r="U41" s="1"/>
      <c r="V41" s="1"/>
      <c r="W41" s="1"/>
      <c r="X41" s="1"/>
      <c r="Y41" s="1"/>
      <c r="Z41" s="1"/>
      <c r="AA41" s="1"/>
      <c r="AB41" s="1"/>
      <c r="AC41" s="1"/>
      <c r="AD41" s="1"/>
    </row>
    <row r="42" spans="1:30" ht="15.75" customHeight="1" x14ac:dyDescent="0.25">
      <c r="A42" s="1"/>
      <c r="B42" s="1"/>
      <c r="C42" s="1"/>
      <c r="D42" s="1"/>
      <c r="E42" s="1"/>
      <c r="F42" s="1"/>
      <c r="G42" s="1"/>
      <c r="H42" s="1"/>
      <c r="I42" s="1"/>
      <c r="J42" s="8"/>
      <c r="K42" s="27">
        <v>32</v>
      </c>
      <c r="L42" s="28"/>
      <c r="M42" s="29"/>
      <c r="N42" s="36"/>
      <c r="O42" s="9"/>
      <c r="P42" s="27">
        <v>32</v>
      </c>
      <c r="Q42" s="28"/>
      <c r="R42" s="38"/>
      <c r="S42" s="39"/>
      <c r="T42" s="11"/>
      <c r="U42" s="1"/>
      <c r="V42" s="1"/>
      <c r="W42" s="1"/>
      <c r="X42" s="1"/>
      <c r="Y42" s="1"/>
      <c r="Z42" s="1"/>
      <c r="AA42" s="1"/>
      <c r="AB42" s="1"/>
      <c r="AC42" s="1"/>
      <c r="AD42" s="1"/>
    </row>
    <row r="43" spans="1:30" ht="15.75" customHeight="1" x14ac:dyDescent="0.25">
      <c r="A43" s="1"/>
      <c r="B43" s="1"/>
      <c r="C43" s="1"/>
      <c r="D43" s="1"/>
      <c r="E43" s="1"/>
      <c r="F43" s="1"/>
      <c r="G43" s="1"/>
      <c r="H43" s="1"/>
      <c r="I43" s="1"/>
      <c r="J43" s="8"/>
      <c r="K43" s="27">
        <v>33</v>
      </c>
      <c r="L43" s="28"/>
      <c r="M43" s="29"/>
      <c r="N43" s="36"/>
      <c r="O43" s="9"/>
      <c r="P43" s="27">
        <v>33</v>
      </c>
      <c r="Q43" s="28"/>
      <c r="R43" s="38"/>
      <c r="S43" s="39"/>
      <c r="T43" s="11"/>
      <c r="U43" s="1"/>
      <c r="V43" s="1"/>
      <c r="W43" s="1"/>
      <c r="X43" s="1"/>
      <c r="Y43" s="1"/>
      <c r="Z43" s="1"/>
      <c r="AA43" s="1"/>
      <c r="AB43" s="1"/>
      <c r="AC43" s="1"/>
      <c r="AD43" s="1"/>
    </row>
    <row r="44" spans="1:30" ht="15.75" customHeight="1" x14ac:dyDescent="0.25">
      <c r="A44" s="1"/>
      <c r="B44" s="1"/>
      <c r="C44" s="1"/>
      <c r="D44" s="1"/>
      <c r="E44" s="1"/>
      <c r="F44" s="1"/>
      <c r="G44" s="1"/>
      <c r="H44" s="1"/>
      <c r="I44" s="1"/>
      <c r="J44" s="8"/>
      <c r="K44" s="27">
        <v>34</v>
      </c>
      <c r="L44" s="28"/>
      <c r="M44" s="29"/>
      <c r="N44" s="36"/>
      <c r="O44" s="9"/>
      <c r="P44" s="27">
        <v>34</v>
      </c>
      <c r="Q44" s="28"/>
      <c r="R44" s="38"/>
      <c r="S44" s="39"/>
      <c r="T44" s="11"/>
      <c r="U44" s="1"/>
      <c r="V44" s="1"/>
      <c r="W44" s="1"/>
      <c r="X44" s="1"/>
      <c r="Y44" s="1"/>
      <c r="Z44" s="1"/>
      <c r="AA44" s="1"/>
      <c r="AB44" s="1"/>
      <c r="AC44" s="1"/>
      <c r="AD44" s="1"/>
    </row>
    <row r="45" spans="1:30" ht="15.75" customHeight="1" x14ac:dyDescent="0.25">
      <c r="A45" s="1"/>
      <c r="B45" s="1"/>
      <c r="C45" s="1"/>
      <c r="D45" s="1"/>
      <c r="E45" s="1"/>
      <c r="F45" s="1"/>
      <c r="G45" s="1"/>
      <c r="H45" s="1"/>
      <c r="I45" s="1"/>
      <c r="J45" s="8"/>
      <c r="K45" s="27">
        <v>35</v>
      </c>
      <c r="L45" s="28"/>
      <c r="M45" s="29"/>
      <c r="N45" s="36"/>
      <c r="O45" s="9"/>
      <c r="P45" s="27">
        <v>35</v>
      </c>
      <c r="Q45" s="28"/>
      <c r="R45" s="38"/>
      <c r="S45" s="39"/>
      <c r="T45" s="11"/>
      <c r="U45" s="1"/>
      <c r="V45" s="1"/>
      <c r="W45" s="1"/>
      <c r="X45" s="1"/>
      <c r="Y45" s="1"/>
      <c r="Z45" s="1"/>
      <c r="AA45" s="1"/>
      <c r="AB45" s="1"/>
      <c r="AC45" s="1"/>
      <c r="AD45" s="1"/>
    </row>
    <row r="46" spans="1:30" ht="15.75" customHeight="1" x14ac:dyDescent="0.25">
      <c r="A46" s="1"/>
      <c r="B46" s="1"/>
      <c r="C46" s="1"/>
      <c r="D46" s="1"/>
      <c r="E46" s="1"/>
      <c r="F46" s="1"/>
      <c r="G46" s="1"/>
      <c r="H46" s="1"/>
      <c r="I46" s="1"/>
      <c r="J46" s="8"/>
      <c r="K46" s="27">
        <v>36</v>
      </c>
      <c r="L46" s="28"/>
      <c r="M46" s="29"/>
      <c r="N46" s="36"/>
      <c r="O46" s="9"/>
      <c r="P46" s="27">
        <v>36</v>
      </c>
      <c r="Q46" s="28"/>
      <c r="R46" s="38"/>
      <c r="S46" s="39"/>
      <c r="T46" s="11"/>
      <c r="U46" s="1"/>
      <c r="V46" s="1"/>
      <c r="W46" s="1"/>
      <c r="X46" s="1"/>
      <c r="Y46" s="1"/>
      <c r="Z46" s="1"/>
      <c r="AA46" s="1"/>
      <c r="AB46" s="1"/>
      <c r="AC46" s="1"/>
      <c r="AD46" s="1"/>
    </row>
    <row r="47" spans="1:30" ht="15.75" customHeight="1" x14ac:dyDescent="0.25">
      <c r="A47" s="1"/>
      <c r="B47" s="1"/>
      <c r="C47" s="1"/>
      <c r="D47" s="1"/>
      <c r="E47" s="1"/>
      <c r="F47" s="1"/>
      <c r="G47" s="1"/>
      <c r="H47" s="1"/>
      <c r="I47" s="1"/>
      <c r="J47" s="8"/>
      <c r="K47" s="27">
        <v>37</v>
      </c>
      <c r="L47" s="28"/>
      <c r="M47" s="29"/>
      <c r="N47" s="36"/>
      <c r="O47" s="9"/>
      <c r="P47" s="27">
        <v>37</v>
      </c>
      <c r="Q47" s="28"/>
      <c r="R47" s="38"/>
      <c r="S47" s="39"/>
      <c r="T47" s="11"/>
      <c r="U47" s="1"/>
      <c r="V47" s="1"/>
      <c r="W47" s="1"/>
      <c r="X47" s="1"/>
      <c r="Y47" s="1"/>
      <c r="Z47" s="1"/>
      <c r="AA47" s="1"/>
      <c r="AB47" s="1"/>
      <c r="AC47" s="1"/>
      <c r="AD47" s="1"/>
    </row>
    <row r="48" spans="1:30" ht="15.75" customHeight="1" x14ac:dyDescent="0.25">
      <c r="A48" s="1"/>
      <c r="B48" s="1"/>
      <c r="C48" s="1"/>
      <c r="D48" s="1"/>
      <c r="E48" s="1"/>
      <c r="F48" s="1"/>
      <c r="G48" s="1"/>
      <c r="H48" s="1"/>
      <c r="I48" s="1"/>
      <c r="J48" s="8"/>
      <c r="K48" s="27">
        <v>38</v>
      </c>
      <c r="L48" s="28"/>
      <c r="M48" s="29"/>
      <c r="N48" s="36"/>
      <c r="O48" s="9"/>
      <c r="P48" s="27">
        <v>38</v>
      </c>
      <c r="Q48" s="28"/>
      <c r="R48" s="38"/>
      <c r="S48" s="39"/>
      <c r="T48" s="11"/>
      <c r="U48" s="1"/>
      <c r="V48" s="1"/>
      <c r="W48" s="1"/>
      <c r="X48" s="1"/>
      <c r="Y48" s="1"/>
      <c r="Z48" s="1"/>
      <c r="AA48" s="1"/>
      <c r="AB48" s="1"/>
      <c r="AC48" s="1"/>
      <c r="AD48" s="1"/>
    </row>
    <row r="49" spans="1:30" ht="15.75" customHeight="1" x14ac:dyDescent="0.25">
      <c r="A49" s="1"/>
      <c r="B49" s="1"/>
      <c r="C49" s="1"/>
      <c r="D49" s="1"/>
      <c r="E49" s="1"/>
      <c r="F49" s="1"/>
      <c r="G49" s="1"/>
      <c r="H49" s="1"/>
      <c r="I49" s="1"/>
      <c r="J49" s="8"/>
      <c r="K49" s="27">
        <v>39</v>
      </c>
      <c r="L49" s="28"/>
      <c r="M49" s="29"/>
      <c r="N49" s="36"/>
      <c r="O49" s="9"/>
      <c r="P49" s="27">
        <v>39</v>
      </c>
      <c r="Q49" s="28"/>
      <c r="R49" s="38"/>
      <c r="S49" s="39"/>
      <c r="T49" s="11"/>
      <c r="U49" s="1"/>
      <c r="V49" s="1"/>
      <c r="W49" s="1"/>
      <c r="X49" s="1"/>
      <c r="Y49" s="1"/>
      <c r="Z49" s="1"/>
      <c r="AA49" s="1"/>
      <c r="AB49" s="1"/>
      <c r="AC49" s="1"/>
      <c r="AD49" s="1"/>
    </row>
    <row r="50" spans="1:30" ht="15.75" customHeight="1" x14ac:dyDescent="0.25">
      <c r="A50" s="1"/>
      <c r="B50" s="1"/>
      <c r="C50" s="1"/>
      <c r="D50" s="1"/>
      <c r="E50" s="1"/>
      <c r="F50" s="1"/>
      <c r="G50" s="1"/>
      <c r="H50" s="1"/>
      <c r="I50" s="1"/>
      <c r="J50" s="8"/>
      <c r="K50" s="27">
        <v>40</v>
      </c>
      <c r="L50" s="28"/>
      <c r="M50" s="29"/>
      <c r="N50" s="36"/>
      <c r="O50" s="9"/>
      <c r="P50" s="27">
        <v>40</v>
      </c>
      <c r="Q50" s="28"/>
      <c r="R50" s="38"/>
      <c r="S50" s="39"/>
      <c r="T50" s="11"/>
      <c r="U50" s="1"/>
      <c r="V50" s="1"/>
      <c r="W50" s="1"/>
      <c r="X50" s="1"/>
      <c r="Y50" s="1"/>
      <c r="Z50" s="1"/>
      <c r="AA50" s="1"/>
      <c r="AB50" s="1"/>
      <c r="AC50" s="1"/>
      <c r="AD50" s="1"/>
    </row>
    <row r="51" spans="1:30" ht="15.75" customHeight="1" x14ac:dyDescent="0.25">
      <c r="A51" s="1"/>
      <c r="B51" s="1"/>
      <c r="C51" s="1"/>
      <c r="D51" s="1"/>
      <c r="E51" s="1"/>
      <c r="F51" s="1"/>
      <c r="G51" s="1"/>
      <c r="H51" s="1"/>
      <c r="I51" s="1"/>
      <c r="J51" s="8"/>
      <c r="K51" s="27">
        <v>41</v>
      </c>
      <c r="L51" s="28"/>
      <c r="M51" s="29"/>
      <c r="N51" s="36"/>
      <c r="O51" s="9"/>
      <c r="P51" s="27">
        <v>41</v>
      </c>
      <c r="Q51" s="28"/>
      <c r="R51" s="38"/>
      <c r="S51" s="39"/>
      <c r="T51" s="11"/>
      <c r="U51" s="1"/>
      <c r="V51" s="1"/>
      <c r="W51" s="1"/>
      <c r="X51" s="1"/>
      <c r="Y51" s="1"/>
      <c r="Z51" s="1"/>
      <c r="AA51" s="1"/>
      <c r="AB51" s="1"/>
      <c r="AC51" s="1"/>
      <c r="AD51" s="1"/>
    </row>
    <row r="52" spans="1:30" ht="15.75" customHeight="1" x14ac:dyDescent="0.25">
      <c r="A52" s="1"/>
      <c r="B52" s="1"/>
      <c r="C52" s="1"/>
      <c r="D52" s="1"/>
      <c r="E52" s="1"/>
      <c r="F52" s="1"/>
      <c r="G52" s="1"/>
      <c r="H52" s="1"/>
      <c r="I52" s="1"/>
      <c r="J52" s="8"/>
      <c r="K52" s="27">
        <v>42</v>
      </c>
      <c r="L52" s="28"/>
      <c r="M52" s="29"/>
      <c r="N52" s="36"/>
      <c r="O52" s="9"/>
      <c r="P52" s="27">
        <v>42</v>
      </c>
      <c r="Q52" s="28"/>
      <c r="R52" s="38"/>
      <c r="S52" s="39"/>
      <c r="T52" s="11"/>
      <c r="U52" s="1"/>
      <c r="V52" s="1"/>
      <c r="W52" s="1"/>
      <c r="X52" s="1"/>
      <c r="Y52" s="1"/>
      <c r="Z52" s="1"/>
      <c r="AA52" s="1"/>
      <c r="AB52" s="1"/>
      <c r="AC52" s="1"/>
      <c r="AD52" s="1"/>
    </row>
    <row r="53" spans="1:30" ht="15.75" customHeight="1" x14ac:dyDescent="0.25">
      <c r="A53" s="1"/>
      <c r="B53" s="1"/>
      <c r="C53" s="1"/>
      <c r="D53" s="1"/>
      <c r="E53" s="1"/>
      <c r="F53" s="1"/>
      <c r="G53" s="1"/>
      <c r="H53" s="1"/>
      <c r="I53" s="1"/>
      <c r="J53" s="8"/>
      <c r="K53" s="27">
        <v>43</v>
      </c>
      <c r="L53" s="28"/>
      <c r="M53" s="29"/>
      <c r="N53" s="36"/>
      <c r="O53" s="9"/>
      <c r="P53" s="27">
        <v>43</v>
      </c>
      <c r="Q53" s="28"/>
      <c r="R53" s="38"/>
      <c r="S53" s="39"/>
      <c r="T53" s="11"/>
      <c r="U53" s="1"/>
      <c r="V53" s="1"/>
      <c r="W53" s="1"/>
      <c r="X53" s="1"/>
      <c r="Y53" s="1"/>
      <c r="Z53" s="1"/>
      <c r="AA53" s="1"/>
      <c r="AB53" s="1"/>
      <c r="AC53" s="1"/>
      <c r="AD53" s="1"/>
    </row>
    <row r="54" spans="1:30" ht="15.75" customHeight="1" x14ac:dyDescent="0.25">
      <c r="A54" s="1"/>
      <c r="B54" s="1"/>
      <c r="C54" s="1"/>
      <c r="D54" s="1"/>
      <c r="E54" s="1"/>
      <c r="F54" s="1"/>
      <c r="G54" s="1"/>
      <c r="H54" s="1"/>
      <c r="I54" s="1"/>
      <c r="J54" s="8"/>
      <c r="K54" s="27">
        <v>44</v>
      </c>
      <c r="L54" s="28"/>
      <c r="M54" s="29"/>
      <c r="N54" s="36"/>
      <c r="O54" s="9"/>
      <c r="P54" s="27">
        <v>44</v>
      </c>
      <c r="Q54" s="28"/>
      <c r="R54" s="38"/>
      <c r="S54" s="39"/>
      <c r="T54" s="11"/>
      <c r="U54" s="1"/>
      <c r="V54" s="1"/>
      <c r="W54" s="1"/>
      <c r="X54" s="1"/>
      <c r="Y54" s="1"/>
      <c r="Z54" s="1"/>
      <c r="AA54" s="1"/>
      <c r="AB54" s="1"/>
      <c r="AC54" s="1"/>
      <c r="AD54" s="1"/>
    </row>
    <row r="55" spans="1:30" ht="15.75" customHeight="1" x14ac:dyDescent="0.25">
      <c r="A55" s="1"/>
      <c r="B55" s="1"/>
      <c r="C55" s="1"/>
      <c r="D55" s="1"/>
      <c r="E55" s="1"/>
      <c r="F55" s="1"/>
      <c r="G55" s="1"/>
      <c r="H55" s="1"/>
      <c r="I55" s="1"/>
      <c r="J55" s="8"/>
      <c r="K55" s="27">
        <v>45</v>
      </c>
      <c r="L55" s="28"/>
      <c r="M55" s="29"/>
      <c r="N55" s="36"/>
      <c r="O55" s="9"/>
      <c r="P55" s="27">
        <v>45</v>
      </c>
      <c r="Q55" s="28"/>
      <c r="R55" s="38"/>
      <c r="S55" s="39"/>
      <c r="T55" s="11"/>
      <c r="U55" s="1"/>
      <c r="V55" s="1"/>
      <c r="W55" s="1"/>
      <c r="X55" s="1"/>
      <c r="Y55" s="1"/>
      <c r="Z55" s="1"/>
      <c r="AA55" s="1"/>
      <c r="AB55" s="1"/>
      <c r="AC55" s="1"/>
      <c r="AD55" s="1"/>
    </row>
    <row r="56" spans="1:30" ht="15.75" customHeight="1" x14ac:dyDescent="0.25">
      <c r="A56" s="1"/>
      <c r="B56" s="1"/>
      <c r="C56" s="1"/>
      <c r="D56" s="1"/>
      <c r="E56" s="1"/>
      <c r="F56" s="1"/>
      <c r="G56" s="1"/>
      <c r="H56" s="1"/>
      <c r="I56" s="1"/>
      <c r="J56" s="8"/>
      <c r="K56" s="27">
        <v>46</v>
      </c>
      <c r="L56" s="28"/>
      <c r="M56" s="29"/>
      <c r="N56" s="36"/>
      <c r="O56" s="9"/>
      <c r="P56" s="27">
        <v>46</v>
      </c>
      <c r="Q56" s="28"/>
      <c r="R56" s="38"/>
      <c r="S56" s="39"/>
      <c r="T56" s="11"/>
      <c r="U56" s="1"/>
      <c r="V56" s="1"/>
      <c r="W56" s="1"/>
      <c r="X56" s="1"/>
      <c r="Y56" s="1"/>
      <c r="Z56" s="1"/>
      <c r="AA56" s="1"/>
      <c r="AB56" s="1"/>
      <c r="AC56" s="1"/>
      <c r="AD56" s="1"/>
    </row>
    <row r="57" spans="1:30" ht="15.75" customHeight="1" x14ac:dyDescent="0.25">
      <c r="A57" s="1"/>
      <c r="B57" s="1"/>
      <c r="C57" s="1"/>
      <c r="D57" s="1"/>
      <c r="E57" s="1"/>
      <c r="F57" s="1"/>
      <c r="G57" s="1"/>
      <c r="H57" s="1"/>
      <c r="I57" s="1"/>
      <c r="J57" s="8"/>
      <c r="K57" s="27">
        <v>47</v>
      </c>
      <c r="L57" s="28"/>
      <c r="M57" s="29"/>
      <c r="N57" s="36"/>
      <c r="O57" s="9"/>
      <c r="P57" s="27">
        <v>47</v>
      </c>
      <c r="Q57" s="28"/>
      <c r="R57" s="38"/>
      <c r="S57" s="39"/>
      <c r="T57" s="11"/>
      <c r="U57" s="1"/>
      <c r="V57" s="1"/>
      <c r="W57" s="1"/>
      <c r="X57" s="1"/>
      <c r="Y57" s="1"/>
      <c r="Z57" s="1"/>
      <c r="AA57" s="1"/>
      <c r="AB57" s="1"/>
      <c r="AC57" s="1"/>
      <c r="AD57" s="1"/>
    </row>
    <row r="58" spans="1:30" ht="15.75" customHeight="1" x14ac:dyDescent="0.25">
      <c r="A58" s="1"/>
      <c r="B58" s="1"/>
      <c r="C58" s="1"/>
      <c r="D58" s="1"/>
      <c r="E58" s="1"/>
      <c r="F58" s="1"/>
      <c r="G58" s="1"/>
      <c r="H58" s="1"/>
      <c r="I58" s="1"/>
      <c r="J58" s="8"/>
      <c r="K58" s="27">
        <v>48</v>
      </c>
      <c r="L58" s="28"/>
      <c r="M58" s="29"/>
      <c r="N58" s="36"/>
      <c r="O58" s="9"/>
      <c r="P58" s="27">
        <v>48</v>
      </c>
      <c r="Q58" s="28"/>
      <c r="R58" s="38"/>
      <c r="S58" s="39"/>
      <c r="T58" s="11"/>
      <c r="U58" s="1"/>
      <c r="V58" s="1"/>
      <c r="W58" s="1"/>
      <c r="X58" s="1"/>
      <c r="Y58" s="1"/>
      <c r="Z58" s="1"/>
      <c r="AA58" s="1"/>
      <c r="AB58" s="1"/>
      <c r="AC58" s="1"/>
      <c r="AD58" s="1"/>
    </row>
    <row r="59" spans="1:30" ht="15.75" customHeight="1" x14ac:dyDescent="0.25">
      <c r="A59" s="1"/>
      <c r="B59" s="1"/>
      <c r="C59" s="1"/>
      <c r="D59" s="1"/>
      <c r="E59" s="1"/>
      <c r="F59" s="1"/>
      <c r="G59" s="1"/>
      <c r="H59" s="1"/>
      <c r="I59" s="1"/>
      <c r="J59" s="8"/>
      <c r="K59" s="27">
        <v>49</v>
      </c>
      <c r="L59" s="28"/>
      <c r="M59" s="29"/>
      <c r="N59" s="36"/>
      <c r="O59" s="9"/>
      <c r="P59" s="27">
        <v>49</v>
      </c>
      <c r="Q59" s="28"/>
      <c r="R59" s="38"/>
      <c r="S59" s="39"/>
      <c r="T59" s="11"/>
      <c r="U59" s="1"/>
      <c r="V59" s="1"/>
      <c r="W59" s="1"/>
      <c r="X59" s="1"/>
      <c r="Y59" s="1"/>
      <c r="Z59" s="1"/>
      <c r="AA59" s="1"/>
      <c r="AB59" s="1"/>
      <c r="AC59" s="1"/>
      <c r="AD59" s="1"/>
    </row>
    <row r="60" spans="1:30" ht="15.75" customHeight="1" x14ac:dyDescent="0.25">
      <c r="A60" s="1"/>
      <c r="B60" s="1"/>
      <c r="C60" s="1"/>
      <c r="D60" s="1"/>
      <c r="E60" s="1"/>
      <c r="F60" s="1"/>
      <c r="G60" s="1"/>
      <c r="H60" s="1"/>
      <c r="I60" s="1"/>
      <c r="J60" s="8"/>
      <c r="K60" s="27">
        <v>50</v>
      </c>
      <c r="L60" s="28"/>
      <c r="M60" s="29"/>
      <c r="N60" s="36"/>
      <c r="O60" s="9"/>
      <c r="P60" s="27">
        <v>50</v>
      </c>
      <c r="Q60" s="28"/>
      <c r="R60" s="38"/>
      <c r="S60" s="39"/>
      <c r="T60" s="11"/>
      <c r="U60" s="1"/>
      <c r="V60" s="1"/>
      <c r="W60" s="1"/>
      <c r="X60" s="1"/>
      <c r="Y60" s="1"/>
      <c r="Z60" s="1"/>
      <c r="AA60" s="1"/>
      <c r="AB60" s="1"/>
      <c r="AC60" s="1"/>
      <c r="AD60" s="1"/>
    </row>
    <row r="61" spans="1:30" ht="15.75" customHeight="1" x14ac:dyDescent="0.25">
      <c r="A61" s="1"/>
      <c r="B61" s="1"/>
      <c r="C61" s="1"/>
      <c r="D61" s="1"/>
      <c r="E61" s="1"/>
      <c r="F61" s="1"/>
      <c r="G61" s="1"/>
      <c r="H61" s="1"/>
      <c r="I61" s="1"/>
      <c r="J61" s="56"/>
      <c r="K61" s="57"/>
      <c r="L61" s="57"/>
      <c r="M61" s="57"/>
      <c r="N61" s="57"/>
      <c r="O61" s="57"/>
      <c r="P61" s="57"/>
      <c r="Q61" s="57"/>
      <c r="R61" s="57"/>
      <c r="S61" s="57"/>
      <c r="T61" s="58"/>
      <c r="U61" s="1"/>
      <c r="V61" s="1"/>
      <c r="W61" s="1"/>
      <c r="X61" s="1"/>
      <c r="Y61" s="1"/>
      <c r="Z61" s="1"/>
      <c r="AA61" s="1"/>
      <c r="AB61" s="1"/>
      <c r="AC61" s="1"/>
      <c r="AD61" s="1"/>
    </row>
    <row r="62" spans="1:30" ht="15.75" customHeight="1" x14ac:dyDescent="0.25">
      <c r="A62" s="1"/>
      <c r="B62" s="1"/>
      <c r="C62" s="1"/>
      <c r="D62" s="1"/>
      <c r="E62" s="1"/>
      <c r="F62" s="1"/>
      <c r="G62" s="1"/>
      <c r="H62" s="1"/>
      <c r="I62" s="1"/>
      <c r="J62" s="1"/>
      <c r="K62" s="1"/>
      <c r="L62" s="1"/>
      <c r="M62" s="1"/>
      <c r="N62" s="1"/>
      <c r="O62" s="1"/>
      <c r="P62" s="1"/>
      <c r="Q62" s="1"/>
      <c r="R62" s="1"/>
      <c r="S62" s="1"/>
      <c r="T62" s="74" t="s">
        <v>45</v>
      </c>
      <c r="U62" s="1"/>
      <c r="V62" s="1"/>
      <c r="W62" s="1"/>
      <c r="X62" s="1"/>
      <c r="Y62" s="1"/>
      <c r="Z62" s="1"/>
      <c r="AA62" s="1"/>
      <c r="AB62" s="1"/>
      <c r="AC62" s="1"/>
      <c r="AD62" s="1"/>
    </row>
    <row r="63" spans="1:30" ht="15.75" customHeight="1" x14ac:dyDescent="0.25">
      <c r="A63" s="1"/>
      <c r="B63" s="1"/>
      <c r="C63" s="1"/>
      <c r="D63" s="1"/>
      <c r="E63" s="1"/>
      <c r="F63" s="1"/>
      <c r="G63" s="1"/>
      <c r="H63" s="1"/>
      <c r="I63" s="1"/>
      <c r="U63" s="1"/>
      <c r="V63" s="1"/>
      <c r="W63" s="1"/>
      <c r="X63" s="1"/>
      <c r="Y63" s="1"/>
      <c r="Z63" s="1"/>
      <c r="AA63" s="1"/>
      <c r="AB63" s="1"/>
      <c r="AC63" s="1"/>
      <c r="AD63" s="1"/>
    </row>
    <row r="64" spans="1:3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5.75" customHeight="1" x14ac:dyDescent="0.25"/>
    <row r="264" spans="1:30" ht="15.75" customHeight="1" x14ac:dyDescent="0.25"/>
    <row r="265" spans="1:30" ht="15.75" customHeight="1" x14ac:dyDescent="0.25"/>
    <row r="266" spans="1:30" ht="15.75" customHeight="1" x14ac:dyDescent="0.25"/>
    <row r="267" spans="1:30" ht="15.75" customHeight="1" x14ac:dyDescent="0.25"/>
    <row r="268" spans="1:30" ht="15.75" customHeight="1" x14ac:dyDescent="0.25"/>
    <row r="269" spans="1:30" ht="15.75" customHeight="1" x14ac:dyDescent="0.25"/>
    <row r="270" spans="1:30" ht="15.75" customHeight="1" x14ac:dyDescent="0.25"/>
    <row r="271" spans="1:30" ht="15.75" customHeight="1" x14ac:dyDescent="0.25"/>
    <row r="272" spans="1:30"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3">
    <mergeCell ref="B38:H40"/>
    <mergeCell ref="F18:G18"/>
    <mergeCell ref="F19:G19"/>
    <mergeCell ref="B23:H24"/>
    <mergeCell ref="F26:G26"/>
    <mergeCell ref="C27:D27"/>
    <mergeCell ref="F28:G28"/>
    <mergeCell ref="F29:G29"/>
    <mergeCell ref="E16:E17"/>
    <mergeCell ref="F16:G17"/>
    <mergeCell ref="C18:D18"/>
    <mergeCell ref="C19:D19"/>
    <mergeCell ref="C31:G34"/>
    <mergeCell ref="C11:D11"/>
    <mergeCell ref="C12:D12"/>
    <mergeCell ref="C13:D13"/>
    <mergeCell ref="C15:D15"/>
    <mergeCell ref="C16:D17"/>
    <mergeCell ref="A1:U5"/>
    <mergeCell ref="B7:H8"/>
    <mergeCell ref="J7:T8"/>
    <mergeCell ref="C10:D10"/>
    <mergeCell ref="F10:G10"/>
  </mergeCells>
  <dataValidations count="4">
    <dataValidation type="list" allowBlank="1" showErrorMessage="1" sqref="F18" xr:uid="{00000000-0002-0000-0100-000000000000}">
      <formula1>"2026-2027,2027-2028,2028-2029,2029-2030"</formula1>
    </dataValidation>
    <dataValidation type="list" allowBlank="1" showErrorMessage="1" sqref="F28" xr:uid="{00000000-0002-0000-0100-000001000000}">
      <formula1>"Academic"</formula1>
    </dataValidation>
    <dataValidation type="list" allowBlank="1" showErrorMessage="1" sqref="F10" xr:uid="{00000000-0002-0000-0100-000002000000}">
      <formula1>"Select Region,CAR,NCR,Region I,Region II,Region III,Region IV-A,MIMAROPA,Region V,Region VI,Region VII,Region VIII,NIR,Region IX,Region X,Region XI,Region XII,CARAGA,BARMM"</formula1>
    </dataValidation>
    <dataValidation type="list" allowBlank="1" showErrorMessage="1" sqref="F27" xr:uid="{00000000-0002-0000-0100-000003000000}">
      <formula1>"11"</formula1>
    </dataValidation>
  </dataValidations>
  <pageMargins left="0.25" right="0.25" top="0.75" bottom="0.75" header="0" footer="0"/>
  <pageSetup paperSize="9" fitToWidth="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outlinePr summaryBelow="0" summaryRight="0"/>
    <pageSetUpPr fitToPage="1"/>
  </sheetPr>
  <dimension ref="A1:AC1000"/>
  <sheetViews>
    <sheetView showGridLines="0" workbookViewId="0"/>
  </sheetViews>
  <sheetFormatPr defaultColWidth="12.6328125" defaultRowHeight="15" customHeight="1" x14ac:dyDescent="0.25"/>
  <cols>
    <col min="1" max="2" width="3.90625" customWidth="1"/>
    <col min="3" max="3" width="13.08984375" customWidth="1"/>
    <col min="4" max="5" width="12.6328125" customWidth="1"/>
    <col min="6" max="6" width="16.26953125" customWidth="1"/>
    <col min="7" max="7" width="19.453125" customWidth="1"/>
    <col min="8" max="8" width="12.6328125" customWidth="1"/>
    <col min="9" max="9" width="5.6328125" customWidth="1"/>
    <col min="10" max="10" width="5.08984375" customWidth="1"/>
    <col min="11" max="11" width="13.90625" customWidth="1"/>
    <col min="12" max="13" width="13.7265625" customWidth="1"/>
    <col min="14" max="14" width="12.7265625" customWidth="1"/>
    <col min="15" max="15" width="11.36328125" customWidth="1"/>
    <col min="16" max="16" width="13.453125" customWidth="1"/>
    <col min="17" max="18" width="9.453125" customWidth="1"/>
    <col min="19" max="19" width="3.90625" customWidth="1"/>
    <col min="20" max="29" width="12.6328125" customWidth="1"/>
  </cols>
  <sheetData>
    <row r="1" spans="1:29" ht="15.75" customHeight="1" x14ac:dyDescent="0.25">
      <c r="A1" s="265" t="s">
        <v>1</v>
      </c>
      <c r="B1" s="207"/>
      <c r="C1" s="207"/>
      <c r="D1" s="207"/>
      <c r="E1" s="207"/>
      <c r="F1" s="207"/>
      <c r="G1" s="207"/>
      <c r="H1" s="207"/>
      <c r="I1" s="207"/>
      <c r="J1" s="207"/>
      <c r="K1" s="207"/>
      <c r="L1" s="207"/>
      <c r="M1" s="207"/>
      <c r="N1" s="207"/>
      <c r="O1" s="207"/>
      <c r="P1" s="207"/>
      <c r="Q1" s="207"/>
      <c r="R1" s="207"/>
      <c r="S1" s="207"/>
      <c r="T1" s="2"/>
      <c r="U1" s="2"/>
      <c r="V1" s="2"/>
      <c r="W1" s="2"/>
      <c r="X1" s="2"/>
      <c r="Y1" s="2"/>
      <c r="Z1" s="2"/>
      <c r="AA1" s="2"/>
      <c r="AB1" s="2"/>
      <c r="AC1" s="2"/>
    </row>
    <row r="2" spans="1:29" ht="15.75" customHeight="1" x14ac:dyDescent="0.25">
      <c r="A2" s="207"/>
      <c r="B2" s="207"/>
      <c r="C2" s="207"/>
      <c r="D2" s="207"/>
      <c r="E2" s="207"/>
      <c r="F2" s="207"/>
      <c r="G2" s="207"/>
      <c r="H2" s="207"/>
      <c r="I2" s="207"/>
      <c r="J2" s="207"/>
      <c r="K2" s="207"/>
      <c r="L2" s="207"/>
      <c r="M2" s="207"/>
      <c r="N2" s="207"/>
      <c r="O2" s="207"/>
      <c r="P2" s="207"/>
      <c r="Q2" s="207"/>
      <c r="R2" s="207"/>
      <c r="S2" s="207"/>
      <c r="T2" s="2"/>
      <c r="U2" s="2"/>
      <c r="V2" s="2"/>
      <c r="W2" s="2"/>
      <c r="X2" s="2"/>
      <c r="Y2" s="2"/>
      <c r="Z2" s="2"/>
      <c r="AA2" s="2"/>
      <c r="AB2" s="2"/>
      <c r="AC2" s="2"/>
    </row>
    <row r="3" spans="1:29" ht="15.75" customHeight="1" x14ac:dyDescent="0.25">
      <c r="A3" s="207"/>
      <c r="B3" s="207"/>
      <c r="C3" s="207"/>
      <c r="D3" s="207"/>
      <c r="E3" s="207"/>
      <c r="F3" s="207"/>
      <c r="G3" s="207"/>
      <c r="H3" s="207"/>
      <c r="I3" s="207"/>
      <c r="J3" s="207"/>
      <c r="K3" s="207"/>
      <c r="L3" s="207"/>
      <c r="M3" s="207"/>
      <c r="N3" s="207"/>
      <c r="O3" s="207"/>
      <c r="P3" s="207"/>
      <c r="Q3" s="207"/>
      <c r="R3" s="207"/>
      <c r="S3" s="207"/>
      <c r="T3" s="2"/>
      <c r="U3" s="2"/>
      <c r="V3" s="2"/>
      <c r="W3" s="2"/>
      <c r="X3" s="2"/>
      <c r="Y3" s="2"/>
      <c r="Z3" s="2"/>
      <c r="AA3" s="2"/>
      <c r="AB3" s="2"/>
      <c r="AC3" s="2"/>
    </row>
    <row r="4" spans="1:29" ht="15.75" customHeight="1" x14ac:dyDescent="0.25">
      <c r="A4" s="207"/>
      <c r="B4" s="207"/>
      <c r="C4" s="207"/>
      <c r="D4" s="207"/>
      <c r="E4" s="207"/>
      <c r="F4" s="207"/>
      <c r="G4" s="207"/>
      <c r="H4" s="207"/>
      <c r="I4" s="207"/>
      <c r="J4" s="207"/>
      <c r="K4" s="207"/>
      <c r="L4" s="207"/>
      <c r="M4" s="207"/>
      <c r="N4" s="207"/>
      <c r="O4" s="207"/>
      <c r="P4" s="207"/>
      <c r="Q4" s="207"/>
      <c r="R4" s="207"/>
      <c r="S4" s="207"/>
      <c r="T4" s="3"/>
      <c r="U4" s="3"/>
      <c r="V4" s="3"/>
      <c r="W4" s="3"/>
      <c r="X4" s="3"/>
      <c r="Y4" s="3"/>
      <c r="Z4" s="3"/>
      <c r="AA4" s="3"/>
      <c r="AB4" s="3"/>
      <c r="AC4" s="3"/>
    </row>
    <row r="5" spans="1:29" ht="15.75" customHeight="1" x14ac:dyDescent="0.35">
      <c r="A5" s="4"/>
      <c r="B5" s="5"/>
      <c r="C5" s="6"/>
      <c r="D5" s="7" t="s">
        <v>4</v>
      </c>
      <c r="E5" s="255" t="str">
        <f>IF('INPUT DATA'!F10="","",'INPUT DATA'!F10)</f>
        <v/>
      </c>
      <c r="F5" s="256"/>
      <c r="G5" s="257"/>
      <c r="H5" s="10"/>
      <c r="I5" s="7" t="s">
        <v>5</v>
      </c>
      <c r="J5" s="255" t="str">
        <f>IF('INPUT DATA'!F11="","",'INPUT DATA'!F11)</f>
        <v/>
      </c>
      <c r="K5" s="256"/>
      <c r="L5" s="256"/>
      <c r="M5" s="257"/>
      <c r="N5" s="1"/>
      <c r="O5" s="12"/>
      <c r="P5" s="10"/>
      <c r="Q5" s="10"/>
      <c r="R5" s="10"/>
      <c r="S5" s="4"/>
      <c r="T5" s="4"/>
      <c r="U5" s="4"/>
      <c r="V5" s="4"/>
      <c r="W5" s="4"/>
      <c r="X5" s="4"/>
      <c r="Y5" s="4"/>
      <c r="Z5" s="4"/>
      <c r="AA5" s="4"/>
      <c r="AB5" s="4"/>
      <c r="AC5" s="4"/>
    </row>
    <row r="6" spans="1:29" ht="15.75" customHeight="1" x14ac:dyDescent="0.35">
      <c r="A6" s="4"/>
      <c r="B6" s="5"/>
      <c r="C6" s="14"/>
      <c r="D6" s="7" t="s">
        <v>7</v>
      </c>
      <c r="E6" s="255" t="str">
        <f>IF('INPUT DATA'!F16="","",'INPUT DATA'!F16)</f>
        <v/>
      </c>
      <c r="F6" s="256"/>
      <c r="G6" s="257"/>
      <c r="H6" s="10"/>
      <c r="I6" s="7" t="s">
        <v>8</v>
      </c>
      <c r="J6" s="266" t="str">
        <f>IF('INPUT DATA'!F15="","",'INPUT DATA'!F15)</f>
        <v/>
      </c>
      <c r="K6" s="256"/>
      <c r="L6" s="257"/>
      <c r="M6" s="267" t="s">
        <v>10</v>
      </c>
      <c r="N6" s="207"/>
      <c r="O6" s="266" t="str">
        <f>IF('INPUT DATA'!F18="","",'INPUT DATA'!F18)</f>
        <v/>
      </c>
      <c r="P6" s="257"/>
      <c r="Q6" s="19"/>
      <c r="R6" s="19"/>
      <c r="S6" s="4"/>
      <c r="T6" s="4"/>
      <c r="U6" s="4"/>
      <c r="V6" s="4"/>
      <c r="W6" s="4"/>
      <c r="X6" s="4"/>
      <c r="Y6" s="4"/>
      <c r="Z6" s="4"/>
      <c r="AA6" s="4"/>
      <c r="AB6" s="4"/>
      <c r="AC6" s="4"/>
    </row>
    <row r="7" spans="1:29" ht="15.75" customHeight="1" x14ac:dyDescent="0.25">
      <c r="A7" s="3"/>
      <c r="B7" s="20"/>
      <c r="C7" s="21"/>
      <c r="D7" s="21"/>
      <c r="E7" s="3"/>
      <c r="F7" s="3"/>
      <c r="G7" s="22"/>
      <c r="H7" s="19"/>
      <c r="I7" s="3"/>
      <c r="J7" s="3"/>
      <c r="K7" s="3"/>
      <c r="L7" s="21"/>
      <c r="M7" s="21"/>
      <c r="N7" s="3"/>
      <c r="O7" s="3"/>
      <c r="P7" s="21"/>
      <c r="Q7" s="21"/>
      <c r="R7" s="21"/>
      <c r="S7" s="3"/>
      <c r="T7" s="3"/>
      <c r="U7" s="3"/>
      <c r="V7" s="3"/>
      <c r="W7" s="3"/>
      <c r="X7" s="3"/>
      <c r="Y7" s="3"/>
      <c r="Z7" s="3"/>
      <c r="AA7" s="3"/>
      <c r="AB7" s="3"/>
      <c r="AC7" s="3"/>
    </row>
    <row r="8" spans="1:29" ht="15.75" customHeight="1" x14ac:dyDescent="0.25">
      <c r="A8" s="3"/>
      <c r="B8" s="268"/>
      <c r="C8" s="256"/>
      <c r="D8" s="256"/>
      <c r="E8" s="256"/>
      <c r="F8" s="256"/>
      <c r="G8" s="256"/>
      <c r="H8" s="256"/>
      <c r="I8" s="256"/>
      <c r="J8" s="256"/>
      <c r="K8" s="256"/>
      <c r="L8" s="256"/>
      <c r="M8" s="256"/>
      <c r="N8" s="256"/>
      <c r="O8" s="256"/>
      <c r="P8" s="256"/>
      <c r="Q8" s="256"/>
      <c r="R8" s="257"/>
      <c r="S8" s="3"/>
      <c r="T8" s="3"/>
      <c r="U8" s="3"/>
      <c r="V8" s="3"/>
      <c r="W8" s="3"/>
      <c r="X8" s="3"/>
      <c r="Y8" s="3"/>
      <c r="Z8" s="3"/>
      <c r="AA8" s="3"/>
      <c r="AB8" s="3"/>
      <c r="AC8" s="3"/>
    </row>
    <row r="9" spans="1:29" ht="15.75" customHeight="1" x14ac:dyDescent="0.3">
      <c r="A9" s="2"/>
      <c r="B9" s="258" t="s">
        <v>14</v>
      </c>
      <c r="C9" s="207"/>
      <c r="D9" s="207"/>
      <c r="E9" s="234"/>
      <c r="F9" s="31" t="s">
        <v>15</v>
      </c>
      <c r="G9" s="269" t="str">
        <f>IF('INPUT DATA'!F27="","",'INPUT DATA'!F27)</f>
        <v/>
      </c>
      <c r="H9" s="236"/>
      <c r="I9" s="236"/>
      <c r="J9" s="236"/>
      <c r="K9" s="237"/>
      <c r="L9" s="270" t="s">
        <v>16</v>
      </c>
      <c r="M9" s="256"/>
      <c r="N9" s="257"/>
      <c r="O9" s="271" t="str">
        <f>IF('INPUT DATA'!F29="","",'INPUT DATA'!F29)</f>
        <v/>
      </c>
      <c r="P9" s="256"/>
      <c r="Q9" s="256"/>
      <c r="R9" s="257"/>
      <c r="S9" s="2"/>
      <c r="T9" s="2"/>
      <c r="U9" s="2"/>
      <c r="V9" s="2"/>
      <c r="W9" s="2"/>
      <c r="X9" s="2"/>
      <c r="Y9" s="2"/>
      <c r="Z9" s="2"/>
      <c r="AA9" s="2"/>
      <c r="AB9" s="2"/>
      <c r="AC9" s="2"/>
    </row>
    <row r="10" spans="1:29" ht="15.75" customHeight="1" x14ac:dyDescent="0.25">
      <c r="A10" s="2"/>
      <c r="B10" s="233"/>
      <c r="C10" s="207"/>
      <c r="D10" s="207"/>
      <c r="E10" s="234"/>
      <c r="F10" s="33" t="s">
        <v>18</v>
      </c>
      <c r="G10" s="272" t="str">
        <f>IF('INPUT DATA'!F28="","",'INPUT DATA'!F28)</f>
        <v/>
      </c>
      <c r="H10" s="207"/>
      <c r="I10" s="207"/>
      <c r="J10" s="207"/>
      <c r="K10" s="234"/>
      <c r="L10" s="273" t="s">
        <v>19</v>
      </c>
      <c r="M10" s="213"/>
      <c r="N10" s="214"/>
      <c r="O10" s="274" t="str">
        <f>IF('INPUT DATA'!F26="","",'INPUT DATA'!F26)</f>
        <v/>
      </c>
      <c r="P10" s="213"/>
      <c r="Q10" s="213"/>
      <c r="R10" s="214"/>
      <c r="S10" s="2"/>
      <c r="T10" s="2"/>
      <c r="U10" s="2"/>
      <c r="V10" s="2"/>
      <c r="W10" s="2"/>
      <c r="X10" s="2"/>
      <c r="Y10" s="2"/>
      <c r="Z10" s="2"/>
      <c r="AA10" s="2"/>
      <c r="AB10" s="2"/>
      <c r="AC10" s="2"/>
    </row>
    <row r="11" spans="1:29" ht="14.25" customHeight="1" x14ac:dyDescent="0.25">
      <c r="A11" s="3"/>
      <c r="B11" s="259" t="s">
        <v>20</v>
      </c>
      <c r="C11" s="213"/>
      <c r="D11" s="213"/>
      <c r="E11" s="213"/>
      <c r="F11" s="260" t="s">
        <v>11</v>
      </c>
      <c r="G11" s="214"/>
      <c r="H11" s="261" t="s">
        <v>21</v>
      </c>
      <c r="I11" s="264" t="s">
        <v>23</v>
      </c>
      <c r="J11" s="261" t="s">
        <v>24</v>
      </c>
      <c r="K11" s="275" t="s">
        <v>25</v>
      </c>
      <c r="L11" s="256"/>
      <c r="M11" s="256"/>
      <c r="N11" s="256"/>
      <c r="O11" s="256"/>
      <c r="P11" s="256"/>
      <c r="Q11" s="256"/>
      <c r="R11" s="257"/>
      <c r="S11" s="12"/>
      <c r="T11" s="3"/>
      <c r="U11" s="3"/>
      <c r="V11" s="3"/>
      <c r="W11" s="3"/>
      <c r="X11" s="3"/>
      <c r="Y11" s="3"/>
      <c r="Z11" s="3"/>
      <c r="AA11" s="3"/>
      <c r="AB11" s="3"/>
      <c r="AC11" s="3"/>
    </row>
    <row r="12" spans="1:29" ht="24.75" customHeight="1" x14ac:dyDescent="0.25">
      <c r="A12" s="3"/>
      <c r="B12" s="233"/>
      <c r="C12" s="207"/>
      <c r="D12" s="207"/>
      <c r="E12" s="207"/>
      <c r="F12" s="233"/>
      <c r="G12" s="234"/>
      <c r="H12" s="262"/>
      <c r="I12" s="234"/>
      <c r="J12" s="262"/>
      <c r="K12" s="276" t="s">
        <v>26</v>
      </c>
      <c r="L12" s="256"/>
      <c r="M12" s="256"/>
      <c r="N12" s="256"/>
      <c r="O12" s="256"/>
      <c r="P12" s="256"/>
      <c r="Q12" s="257"/>
      <c r="R12" s="34" t="s">
        <v>27</v>
      </c>
      <c r="S12" s="12"/>
      <c r="T12" s="3"/>
      <c r="U12" s="3"/>
      <c r="V12" s="3"/>
      <c r="W12" s="3"/>
      <c r="X12" s="3"/>
      <c r="Y12" s="3"/>
      <c r="Z12" s="3"/>
      <c r="AA12" s="3"/>
      <c r="AB12" s="3"/>
      <c r="AC12" s="3"/>
    </row>
    <row r="13" spans="1:29" ht="24.75" customHeight="1" x14ac:dyDescent="0.25">
      <c r="A13" s="3"/>
      <c r="B13" s="233"/>
      <c r="C13" s="207"/>
      <c r="D13" s="207"/>
      <c r="E13" s="207"/>
      <c r="F13" s="233"/>
      <c r="G13" s="234"/>
      <c r="H13" s="262"/>
      <c r="I13" s="234"/>
      <c r="J13" s="262"/>
      <c r="K13" s="276" t="s">
        <v>28</v>
      </c>
      <c r="L13" s="256"/>
      <c r="M13" s="257"/>
      <c r="N13" s="277" t="s">
        <v>29</v>
      </c>
      <c r="O13" s="277" t="s">
        <v>30</v>
      </c>
      <c r="P13" s="277" t="s">
        <v>31</v>
      </c>
      <c r="Q13" s="278" t="s">
        <v>32</v>
      </c>
      <c r="R13" s="277" t="s">
        <v>33</v>
      </c>
      <c r="S13" s="12"/>
      <c r="T13" s="3"/>
      <c r="U13" s="3"/>
      <c r="V13" s="3"/>
      <c r="W13" s="3"/>
      <c r="X13" s="3"/>
      <c r="Y13" s="3"/>
      <c r="Z13" s="3"/>
      <c r="AA13" s="3"/>
      <c r="AB13" s="3"/>
      <c r="AC13" s="3"/>
    </row>
    <row r="14" spans="1:29" ht="24.75" customHeight="1" x14ac:dyDescent="0.25">
      <c r="A14" s="3"/>
      <c r="B14" s="233"/>
      <c r="C14" s="207"/>
      <c r="D14" s="207"/>
      <c r="E14" s="207"/>
      <c r="F14" s="235"/>
      <c r="G14" s="237"/>
      <c r="H14" s="263"/>
      <c r="I14" s="237"/>
      <c r="J14" s="263"/>
      <c r="K14" s="35" t="s">
        <v>34</v>
      </c>
      <c r="L14" s="37" t="s">
        <v>35</v>
      </c>
      <c r="M14" s="37" t="s">
        <v>36</v>
      </c>
      <c r="N14" s="263"/>
      <c r="O14" s="263"/>
      <c r="P14" s="263"/>
      <c r="Q14" s="263"/>
      <c r="R14" s="263"/>
      <c r="S14" s="12"/>
      <c r="T14" s="3"/>
      <c r="U14" s="3"/>
      <c r="V14" s="3"/>
      <c r="W14" s="3"/>
      <c r="X14" s="3"/>
      <c r="Y14" s="3"/>
      <c r="Z14" s="3"/>
      <c r="AA14" s="3"/>
      <c r="AB14" s="3"/>
      <c r="AC14" s="3"/>
    </row>
    <row r="15" spans="1:29" ht="15.75" customHeight="1" x14ac:dyDescent="0.25">
      <c r="A15" s="4"/>
      <c r="B15" s="279" t="s">
        <v>9</v>
      </c>
      <c r="C15" s="256"/>
      <c r="D15" s="256"/>
      <c r="E15" s="256"/>
      <c r="F15" s="256"/>
      <c r="G15" s="256"/>
      <c r="H15" s="256"/>
      <c r="I15" s="256"/>
      <c r="J15" s="256"/>
      <c r="K15" s="256"/>
      <c r="L15" s="256"/>
      <c r="M15" s="256"/>
      <c r="N15" s="256"/>
      <c r="O15" s="256"/>
      <c r="P15" s="256"/>
      <c r="Q15" s="256"/>
      <c r="R15" s="257"/>
      <c r="S15" s="4"/>
      <c r="T15" s="4"/>
      <c r="U15" s="4"/>
      <c r="V15" s="4"/>
      <c r="W15" s="4"/>
      <c r="X15" s="4"/>
      <c r="Y15" s="4"/>
      <c r="Z15" s="4"/>
      <c r="AA15" s="4"/>
      <c r="AB15" s="4"/>
      <c r="AC15" s="4"/>
    </row>
    <row r="16" spans="1:29" ht="15.75" customHeight="1" x14ac:dyDescent="0.25">
      <c r="A16" s="4"/>
      <c r="B16" s="40">
        <v>1</v>
      </c>
      <c r="C16" s="239" t="str">
        <f>IF('INPUT DATA'!L11="","",'INPUT DATA'!L11)</f>
        <v/>
      </c>
      <c r="D16" s="240"/>
      <c r="E16" s="241"/>
      <c r="F16" s="242" t="str">
        <f>IF('INPUT DATA'!M11="","",'INPUT DATA'!M11)</f>
        <v/>
      </c>
      <c r="G16" s="241"/>
      <c r="H16" s="43" t="str">
        <f>IF('INPUT DATA'!N11="","",'INPUT DATA'!N11)</f>
        <v/>
      </c>
      <c r="I16" s="44" t="str">
        <f t="shared" ref="I16:I65" ca="1" si="0">IF(H16="","",DATEDIF(H16,TODAY(),"Y"))</f>
        <v/>
      </c>
      <c r="J16" s="45" t="s">
        <v>38</v>
      </c>
      <c r="K16" s="46"/>
      <c r="L16" s="47"/>
      <c r="M16" s="47"/>
      <c r="N16" s="47"/>
      <c r="O16" s="47"/>
      <c r="P16" s="47"/>
      <c r="Q16" s="47"/>
      <c r="R16" s="47"/>
      <c r="S16" s="4"/>
      <c r="T16" s="4"/>
      <c r="U16" s="4"/>
      <c r="V16" s="4"/>
      <c r="W16" s="4"/>
      <c r="X16" s="4"/>
      <c r="Y16" s="4"/>
      <c r="Z16" s="4"/>
      <c r="AA16" s="4"/>
      <c r="AB16" s="4"/>
      <c r="AC16" s="4"/>
    </row>
    <row r="17" spans="1:29" ht="15.75" customHeight="1" x14ac:dyDescent="0.25">
      <c r="A17" s="4"/>
      <c r="B17" s="48">
        <v>2</v>
      </c>
      <c r="C17" s="239" t="str">
        <f>IF('INPUT DATA'!L12="","",'INPUT DATA'!L12)</f>
        <v/>
      </c>
      <c r="D17" s="240"/>
      <c r="E17" s="241"/>
      <c r="F17" s="242" t="str">
        <f>IF('INPUT DATA'!M12="","",'INPUT DATA'!M12)</f>
        <v/>
      </c>
      <c r="G17" s="241"/>
      <c r="H17" s="50" t="str">
        <f>IF('INPUT DATA'!N12="","",'INPUT DATA'!N12)</f>
        <v/>
      </c>
      <c r="I17" s="51" t="str">
        <f t="shared" ca="1" si="0"/>
        <v/>
      </c>
      <c r="J17" s="52" t="s">
        <v>38</v>
      </c>
      <c r="K17" s="53"/>
      <c r="L17" s="54"/>
      <c r="M17" s="54"/>
      <c r="N17" s="54"/>
      <c r="O17" s="54"/>
      <c r="P17" s="54"/>
      <c r="Q17" s="54"/>
      <c r="R17" s="54"/>
      <c r="S17" s="4"/>
      <c r="T17" s="4"/>
      <c r="U17" s="4"/>
      <c r="V17" s="4"/>
      <c r="W17" s="4"/>
      <c r="X17" s="4"/>
      <c r="Y17" s="4"/>
      <c r="Z17" s="4"/>
      <c r="AA17" s="4"/>
      <c r="AB17" s="4"/>
      <c r="AC17" s="4"/>
    </row>
    <row r="18" spans="1:29" ht="15.75" customHeight="1" x14ac:dyDescent="0.25">
      <c r="A18" s="4"/>
      <c r="B18" s="48">
        <v>3</v>
      </c>
      <c r="C18" s="239" t="str">
        <f>IF('INPUT DATA'!L13="","",'INPUT DATA'!L13)</f>
        <v/>
      </c>
      <c r="D18" s="240"/>
      <c r="E18" s="241"/>
      <c r="F18" s="242" t="str">
        <f>IF('INPUT DATA'!M13="","",'INPUT DATA'!M13)</f>
        <v/>
      </c>
      <c r="G18" s="241"/>
      <c r="H18" s="50" t="str">
        <f>IF('INPUT DATA'!N13="","",'INPUT DATA'!N13)</f>
        <v/>
      </c>
      <c r="I18" s="51" t="str">
        <f t="shared" ca="1" si="0"/>
        <v/>
      </c>
      <c r="J18" s="52" t="s">
        <v>38</v>
      </c>
      <c r="K18" s="53"/>
      <c r="L18" s="54"/>
      <c r="M18" s="54"/>
      <c r="N18" s="54"/>
      <c r="O18" s="54"/>
      <c r="P18" s="54"/>
      <c r="Q18" s="54"/>
      <c r="R18" s="54"/>
      <c r="S18" s="4"/>
      <c r="T18" s="4"/>
      <c r="U18" s="4"/>
      <c r="V18" s="4"/>
      <c r="W18" s="4"/>
      <c r="X18" s="4"/>
      <c r="Y18" s="4"/>
      <c r="Z18" s="4"/>
      <c r="AA18" s="4"/>
      <c r="AB18" s="4"/>
      <c r="AC18" s="4"/>
    </row>
    <row r="19" spans="1:29" ht="15.75" customHeight="1" x14ac:dyDescent="0.25">
      <c r="A19" s="4"/>
      <c r="B19" s="48">
        <v>4</v>
      </c>
      <c r="C19" s="239" t="str">
        <f>IF('INPUT DATA'!L14="","",'INPUT DATA'!L14)</f>
        <v/>
      </c>
      <c r="D19" s="240"/>
      <c r="E19" s="241"/>
      <c r="F19" s="242" t="str">
        <f>IF('INPUT DATA'!M14="","",'INPUT DATA'!M14)</f>
        <v/>
      </c>
      <c r="G19" s="241"/>
      <c r="H19" s="50" t="str">
        <f>IF('INPUT DATA'!N14="","",'INPUT DATA'!N14)</f>
        <v/>
      </c>
      <c r="I19" s="51" t="str">
        <f t="shared" ca="1" si="0"/>
        <v/>
      </c>
      <c r="J19" s="52" t="s">
        <v>38</v>
      </c>
      <c r="K19" s="53"/>
      <c r="L19" s="54"/>
      <c r="M19" s="54"/>
      <c r="N19" s="54"/>
      <c r="O19" s="54"/>
      <c r="P19" s="54"/>
      <c r="Q19" s="54"/>
      <c r="R19" s="54"/>
      <c r="S19" s="4"/>
      <c r="T19" s="4"/>
      <c r="U19" s="4"/>
      <c r="V19" s="4"/>
      <c r="W19" s="4"/>
      <c r="X19" s="4"/>
      <c r="Y19" s="4"/>
      <c r="Z19" s="4"/>
      <c r="AA19" s="4"/>
      <c r="AB19" s="4"/>
      <c r="AC19" s="4"/>
    </row>
    <row r="20" spans="1:29" ht="15.75" customHeight="1" x14ac:dyDescent="0.25">
      <c r="A20" s="4"/>
      <c r="B20" s="48">
        <v>5</v>
      </c>
      <c r="C20" s="239" t="str">
        <f>IF('INPUT DATA'!L15="","",'INPUT DATA'!L15)</f>
        <v/>
      </c>
      <c r="D20" s="240"/>
      <c r="E20" s="241"/>
      <c r="F20" s="242" t="str">
        <f>IF('INPUT DATA'!M15="","",'INPUT DATA'!M15)</f>
        <v/>
      </c>
      <c r="G20" s="241"/>
      <c r="H20" s="50" t="str">
        <f>IF('INPUT DATA'!N15="","",'INPUT DATA'!N15)</f>
        <v/>
      </c>
      <c r="I20" s="51" t="str">
        <f t="shared" ca="1" si="0"/>
        <v/>
      </c>
      <c r="J20" s="52" t="s">
        <v>38</v>
      </c>
      <c r="K20" s="53"/>
      <c r="L20" s="54"/>
      <c r="M20" s="54"/>
      <c r="N20" s="54"/>
      <c r="O20" s="54"/>
      <c r="P20" s="54"/>
      <c r="Q20" s="54"/>
      <c r="R20" s="54"/>
      <c r="S20" s="4"/>
      <c r="T20" s="4"/>
      <c r="U20" s="4"/>
      <c r="V20" s="4"/>
      <c r="W20" s="4"/>
      <c r="X20" s="4"/>
      <c r="Y20" s="4"/>
      <c r="Z20" s="4"/>
      <c r="AA20" s="4"/>
      <c r="AB20" s="4"/>
      <c r="AC20" s="4"/>
    </row>
    <row r="21" spans="1:29" ht="15.75" customHeight="1" x14ac:dyDescent="0.25">
      <c r="A21" s="4"/>
      <c r="B21" s="48">
        <v>6</v>
      </c>
      <c r="C21" s="239" t="str">
        <f>IF('INPUT DATA'!L16="","",'INPUT DATA'!L16)</f>
        <v/>
      </c>
      <c r="D21" s="240"/>
      <c r="E21" s="241"/>
      <c r="F21" s="242" t="str">
        <f>IF('INPUT DATA'!M16="","",'INPUT DATA'!M16)</f>
        <v/>
      </c>
      <c r="G21" s="241"/>
      <c r="H21" s="50" t="str">
        <f>IF('INPUT DATA'!N16="","",'INPUT DATA'!N16)</f>
        <v/>
      </c>
      <c r="I21" s="51" t="str">
        <f t="shared" ca="1" si="0"/>
        <v/>
      </c>
      <c r="J21" s="52"/>
      <c r="K21" s="53"/>
      <c r="L21" s="54"/>
      <c r="M21" s="54"/>
      <c r="N21" s="54"/>
      <c r="O21" s="54"/>
      <c r="P21" s="54"/>
      <c r="Q21" s="54"/>
      <c r="R21" s="54"/>
      <c r="S21" s="4"/>
      <c r="T21" s="4"/>
      <c r="U21" s="4"/>
      <c r="V21" s="4"/>
      <c r="W21" s="4"/>
      <c r="X21" s="4"/>
      <c r="Y21" s="4"/>
      <c r="Z21" s="4"/>
      <c r="AA21" s="4"/>
      <c r="AB21" s="4"/>
      <c r="AC21" s="4"/>
    </row>
    <row r="22" spans="1:29" ht="15.75" customHeight="1" x14ac:dyDescent="0.25">
      <c r="A22" s="4"/>
      <c r="B22" s="48">
        <v>7</v>
      </c>
      <c r="C22" s="239" t="str">
        <f>IF('INPUT DATA'!L17="","",'INPUT DATA'!L17)</f>
        <v/>
      </c>
      <c r="D22" s="240"/>
      <c r="E22" s="241"/>
      <c r="F22" s="242" t="str">
        <f>IF('INPUT DATA'!M17="","",'INPUT DATA'!M17)</f>
        <v/>
      </c>
      <c r="G22" s="241"/>
      <c r="H22" s="50" t="str">
        <f>IF('INPUT DATA'!N17="","",'INPUT DATA'!N17)</f>
        <v/>
      </c>
      <c r="I22" s="51" t="str">
        <f t="shared" ca="1" si="0"/>
        <v/>
      </c>
      <c r="J22" s="52"/>
      <c r="K22" s="53"/>
      <c r="L22" s="54"/>
      <c r="M22" s="54"/>
      <c r="N22" s="54"/>
      <c r="O22" s="54"/>
      <c r="P22" s="54"/>
      <c r="Q22" s="54"/>
      <c r="R22" s="54"/>
      <c r="S22" s="4"/>
      <c r="T22" s="4"/>
      <c r="U22" s="4"/>
      <c r="V22" s="4"/>
      <c r="W22" s="4"/>
      <c r="X22" s="4"/>
      <c r="Y22" s="4"/>
      <c r="Z22" s="4"/>
      <c r="AA22" s="4"/>
      <c r="AB22" s="4"/>
      <c r="AC22" s="4"/>
    </row>
    <row r="23" spans="1:29" ht="15.75" customHeight="1" x14ac:dyDescent="0.25">
      <c r="A23" s="4"/>
      <c r="B23" s="48">
        <v>8</v>
      </c>
      <c r="C23" s="239" t="str">
        <f>IF('INPUT DATA'!L18="","",'INPUT DATA'!L18)</f>
        <v/>
      </c>
      <c r="D23" s="240"/>
      <c r="E23" s="241"/>
      <c r="F23" s="242" t="str">
        <f>IF('INPUT DATA'!M18="","",'INPUT DATA'!M18)</f>
        <v/>
      </c>
      <c r="G23" s="241"/>
      <c r="H23" s="50" t="str">
        <f>IF('INPUT DATA'!N18="","",'INPUT DATA'!N18)</f>
        <v/>
      </c>
      <c r="I23" s="51" t="str">
        <f t="shared" ca="1" si="0"/>
        <v/>
      </c>
      <c r="J23" s="52"/>
      <c r="K23" s="53"/>
      <c r="L23" s="54"/>
      <c r="M23" s="54"/>
      <c r="N23" s="54"/>
      <c r="O23" s="54"/>
      <c r="P23" s="54"/>
      <c r="Q23" s="54"/>
      <c r="R23" s="54"/>
      <c r="S23" s="4"/>
      <c r="T23" s="4"/>
      <c r="U23" s="4"/>
      <c r="V23" s="4"/>
      <c r="W23" s="4"/>
      <c r="X23" s="4"/>
      <c r="Y23" s="4"/>
      <c r="Z23" s="4"/>
      <c r="AA23" s="4"/>
      <c r="AB23" s="4"/>
      <c r="AC23" s="4"/>
    </row>
    <row r="24" spans="1:29" ht="15.75" customHeight="1" x14ac:dyDescent="0.25">
      <c r="A24" s="4"/>
      <c r="B24" s="48">
        <v>9</v>
      </c>
      <c r="C24" s="239" t="str">
        <f>IF('INPUT DATA'!L19="","",'INPUT DATA'!L19)</f>
        <v/>
      </c>
      <c r="D24" s="240"/>
      <c r="E24" s="241"/>
      <c r="F24" s="242" t="str">
        <f>IF('INPUT DATA'!M19="","",'INPUT DATA'!M19)</f>
        <v/>
      </c>
      <c r="G24" s="241"/>
      <c r="H24" s="50" t="str">
        <f>IF('INPUT DATA'!N19="","",'INPUT DATA'!N19)</f>
        <v/>
      </c>
      <c r="I24" s="51" t="str">
        <f t="shared" ca="1" si="0"/>
        <v/>
      </c>
      <c r="J24" s="52"/>
      <c r="K24" s="53"/>
      <c r="L24" s="54"/>
      <c r="M24" s="54"/>
      <c r="N24" s="54"/>
      <c r="O24" s="54"/>
      <c r="P24" s="54"/>
      <c r="Q24" s="54"/>
      <c r="R24" s="54"/>
      <c r="S24" s="4"/>
      <c r="T24" s="4"/>
      <c r="U24" s="4"/>
      <c r="V24" s="4"/>
      <c r="W24" s="4"/>
      <c r="X24" s="4"/>
      <c r="Y24" s="4"/>
      <c r="Z24" s="4"/>
      <c r="AA24" s="4"/>
      <c r="AB24" s="4"/>
      <c r="AC24" s="4"/>
    </row>
    <row r="25" spans="1:29" ht="15.75" customHeight="1" x14ac:dyDescent="0.25">
      <c r="A25" s="4"/>
      <c r="B25" s="48">
        <v>10</v>
      </c>
      <c r="C25" s="239" t="str">
        <f>IF('INPUT DATA'!L20="","",'INPUT DATA'!L20)</f>
        <v/>
      </c>
      <c r="D25" s="240"/>
      <c r="E25" s="241"/>
      <c r="F25" s="242" t="str">
        <f>IF('INPUT DATA'!M20="","",'INPUT DATA'!M20)</f>
        <v/>
      </c>
      <c r="G25" s="241"/>
      <c r="H25" s="50" t="str">
        <f>IF('INPUT DATA'!N20="","",'INPUT DATA'!N20)</f>
        <v/>
      </c>
      <c r="I25" s="51" t="str">
        <f t="shared" ca="1" si="0"/>
        <v/>
      </c>
      <c r="J25" s="52"/>
      <c r="K25" s="53"/>
      <c r="L25" s="54"/>
      <c r="M25" s="54"/>
      <c r="N25" s="54"/>
      <c r="O25" s="54"/>
      <c r="P25" s="54"/>
      <c r="Q25" s="54"/>
      <c r="R25" s="54"/>
      <c r="S25" s="4"/>
      <c r="T25" s="4"/>
      <c r="U25" s="4"/>
      <c r="V25" s="4"/>
      <c r="W25" s="4"/>
      <c r="X25" s="4"/>
      <c r="Y25" s="4"/>
      <c r="Z25" s="4"/>
      <c r="AA25" s="4"/>
      <c r="AB25" s="4"/>
      <c r="AC25" s="4"/>
    </row>
    <row r="26" spans="1:29" ht="15.75" customHeight="1" x14ac:dyDescent="0.25">
      <c r="A26" s="4"/>
      <c r="B26" s="48">
        <v>11</v>
      </c>
      <c r="C26" s="239" t="str">
        <f>IF('INPUT DATA'!L21="","",'INPUT DATA'!L21)</f>
        <v/>
      </c>
      <c r="D26" s="240"/>
      <c r="E26" s="241"/>
      <c r="F26" s="242" t="str">
        <f>IF('INPUT DATA'!M21="","",'INPUT DATA'!M21)</f>
        <v/>
      </c>
      <c r="G26" s="241"/>
      <c r="H26" s="50" t="str">
        <f>IF('INPUT DATA'!N21="","",'INPUT DATA'!N21)</f>
        <v/>
      </c>
      <c r="I26" s="51" t="str">
        <f t="shared" ca="1" si="0"/>
        <v/>
      </c>
      <c r="J26" s="52"/>
      <c r="K26" s="53"/>
      <c r="L26" s="54"/>
      <c r="M26" s="54"/>
      <c r="N26" s="54"/>
      <c r="O26" s="54"/>
      <c r="P26" s="54"/>
      <c r="Q26" s="54"/>
      <c r="R26" s="54"/>
      <c r="S26" s="4"/>
      <c r="T26" s="4"/>
      <c r="U26" s="4"/>
      <c r="V26" s="4"/>
      <c r="W26" s="4"/>
      <c r="X26" s="4"/>
      <c r="Y26" s="4"/>
      <c r="Z26" s="4"/>
      <c r="AA26" s="4"/>
      <c r="AB26" s="4"/>
      <c r="AC26" s="4"/>
    </row>
    <row r="27" spans="1:29" ht="15.75" customHeight="1" x14ac:dyDescent="0.25">
      <c r="A27" s="4"/>
      <c r="B27" s="48">
        <v>12</v>
      </c>
      <c r="C27" s="239" t="str">
        <f>IF('INPUT DATA'!L22="","",'INPUT DATA'!L22)</f>
        <v/>
      </c>
      <c r="D27" s="240"/>
      <c r="E27" s="241"/>
      <c r="F27" s="242" t="str">
        <f>IF('INPUT DATA'!M22="","",'INPUT DATA'!M22)</f>
        <v/>
      </c>
      <c r="G27" s="241"/>
      <c r="H27" s="50" t="str">
        <f>IF('INPUT DATA'!N22="","",'INPUT DATA'!N22)</f>
        <v/>
      </c>
      <c r="I27" s="51" t="str">
        <f t="shared" ca="1" si="0"/>
        <v/>
      </c>
      <c r="J27" s="52"/>
      <c r="K27" s="53"/>
      <c r="L27" s="54"/>
      <c r="M27" s="54"/>
      <c r="N27" s="54"/>
      <c r="O27" s="54"/>
      <c r="P27" s="54"/>
      <c r="Q27" s="54"/>
      <c r="R27" s="54"/>
      <c r="S27" s="4"/>
      <c r="T27" s="4"/>
      <c r="U27" s="4"/>
      <c r="V27" s="4"/>
      <c r="W27" s="4"/>
      <c r="X27" s="4"/>
      <c r="Y27" s="4"/>
      <c r="Z27" s="4"/>
      <c r="AA27" s="4"/>
      <c r="AB27" s="4"/>
      <c r="AC27" s="4"/>
    </row>
    <row r="28" spans="1:29" ht="15.75" customHeight="1" x14ac:dyDescent="0.25">
      <c r="A28" s="4"/>
      <c r="B28" s="48">
        <v>13</v>
      </c>
      <c r="C28" s="239" t="str">
        <f>IF('INPUT DATA'!L23="","",'INPUT DATA'!L23)</f>
        <v/>
      </c>
      <c r="D28" s="240"/>
      <c r="E28" s="241"/>
      <c r="F28" s="242" t="str">
        <f>IF('INPUT DATA'!M23="","",'INPUT DATA'!M23)</f>
        <v/>
      </c>
      <c r="G28" s="241"/>
      <c r="H28" s="50" t="str">
        <f>IF('INPUT DATA'!N23="","",'INPUT DATA'!N23)</f>
        <v/>
      </c>
      <c r="I28" s="51" t="str">
        <f t="shared" ca="1" si="0"/>
        <v/>
      </c>
      <c r="J28" s="52"/>
      <c r="K28" s="53"/>
      <c r="L28" s="54"/>
      <c r="M28" s="54"/>
      <c r="N28" s="54"/>
      <c r="O28" s="54"/>
      <c r="P28" s="54"/>
      <c r="Q28" s="54"/>
      <c r="R28" s="54"/>
      <c r="S28" s="4"/>
      <c r="T28" s="4"/>
      <c r="U28" s="4"/>
      <c r="V28" s="4"/>
      <c r="W28" s="4"/>
      <c r="X28" s="4"/>
      <c r="Y28" s="4"/>
      <c r="Z28" s="4"/>
      <c r="AA28" s="4"/>
      <c r="AB28" s="4"/>
      <c r="AC28" s="4"/>
    </row>
    <row r="29" spans="1:29" ht="15.75" customHeight="1" x14ac:dyDescent="0.25">
      <c r="A29" s="4"/>
      <c r="B29" s="48">
        <v>14</v>
      </c>
      <c r="C29" s="239" t="str">
        <f>IF('INPUT DATA'!L24="","",'INPUT DATA'!L24)</f>
        <v/>
      </c>
      <c r="D29" s="240"/>
      <c r="E29" s="241"/>
      <c r="F29" s="242" t="str">
        <f>IF('INPUT DATA'!M24="","",'INPUT DATA'!M24)</f>
        <v/>
      </c>
      <c r="G29" s="241"/>
      <c r="H29" s="50" t="str">
        <f>IF('INPUT DATA'!N24="","",'INPUT DATA'!N24)</f>
        <v/>
      </c>
      <c r="I29" s="51" t="str">
        <f t="shared" ca="1" si="0"/>
        <v/>
      </c>
      <c r="J29" s="52"/>
      <c r="K29" s="53"/>
      <c r="L29" s="54"/>
      <c r="M29" s="54"/>
      <c r="N29" s="54"/>
      <c r="O29" s="54"/>
      <c r="P29" s="54"/>
      <c r="Q29" s="54"/>
      <c r="R29" s="54"/>
      <c r="S29" s="4"/>
      <c r="T29" s="4"/>
      <c r="U29" s="4"/>
      <c r="V29" s="4"/>
      <c r="W29" s="4"/>
      <c r="X29" s="4"/>
      <c r="Y29" s="4"/>
      <c r="Z29" s="4"/>
      <c r="AA29" s="4"/>
      <c r="AB29" s="4"/>
      <c r="AC29" s="4"/>
    </row>
    <row r="30" spans="1:29" ht="15.75" customHeight="1" x14ac:dyDescent="0.25">
      <c r="A30" s="4"/>
      <c r="B30" s="48">
        <v>15</v>
      </c>
      <c r="C30" s="239" t="str">
        <f>IF('INPUT DATA'!L25="","",'INPUT DATA'!L25)</f>
        <v/>
      </c>
      <c r="D30" s="240"/>
      <c r="E30" s="241"/>
      <c r="F30" s="242" t="str">
        <f>IF('INPUT DATA'!M25="","",'INPUT DATA'!M25)</f>
        <v/>
      </c>
      <c r="G30" s="241"/>
      <c r="H30" s="50" t="str">
        <f>IF('INPUT DATA'!N25="","",'INPUT DATA'!N25)</f>
        <v/>
      </c>
      <c r="I30" s="51" t="str">
        <f t="shared" ca="1" si="0"/>
        <v/>
      </c>
      <c r="J30" s="52"/>
      <c r="K30" s="53"/>
      <c r="L30" s="54"/>
      <c r="M30" s="54"/>
      <c r="N30" s="54"/>
      <c r="O30" s="54"/>
      <c r="P30" s="54"/>
      <c r="Q30" s="54"/>
      <c r="R30" s="54"/>
      <c r="S30" s="4"/>
      <c r="T30" s="4"/>
      <c r="U30" s="4"/>
      <c r="V30" s="4"/>
      <c r="W30" s="4"/>
      <c r="X30" s="4"/>
      <c r="Y30" s="4"/>
      <c r="Z30" s="4"/>
      <c r="AA30" s="4"/>
      <c r="AB30" s="4"/>
      <c r="AC30" s="4"/>
    </row>
    <row r="31" spans="1:29" ht="15.75" customHeight="1" x14ac:dyDescent="0.25">
      <c r="A31" s="4"/>
      <c r="B31" s="48">
        <v>16</v>
      </c>
      <c r="C31" s="239" t="str">
        <f>IF('INPUT DATA'!L26="","",'INPUT DATA'!L26)</f>
        <v/>
      </c>
      <c r="D31" s="240"/>
      <c r="E31" s="241"/>
      <c r="F31" s="242" t="str">
        <f>IF('INPUT DATA'!M26="","",'INPUT DATA'!M26)</f>
        <v/>
      </c>
      <c r="G31" s="241"/>
      <c r="H31" s="50" t="str">
        <f>IF('INPUT DATA'!N26="","",'INPUT DATA'!N26)</f>
        <v/>
      </c>
      <c r="I31" s="51" t="str">
        <f t="shared" ca="1" si="0"/>
        <v/>
      </c>
      <c r="J31" s="52"/>
      <c r="K31" s="53"/>
      <c r="L31" s="54"/>
      <c r="M31" s="54"/>
      <c r="N31" s="54"/>
      <c r="O31" s="54"/>
      <c r="P31" s="54"/>
      <c r="Q31" s="54"/>
      <c r="R31" s="54"/>
      <c r="S31" s="4"/>
      <c r="T31" s="4"/>
      <c r="U31" s="4"/>
      <c r="V31" s="4"/>
      <c r="W31" s="4"/>
      <c r="X31" s="4"/>
      <c r="Y31" s="4"/>
      <c r="Z31" s="4"/>
      <c r="AA31" s="4"/>
      <c r="AB31" s="4"/>
      <c r="AC31" s="4"/>
    </row>
    <row r="32" spans="1:29" ht="15.75" customHeight="1" x14ac:dyDescent="0.25">
      <c r="A32" s="4"/>
      <c r="B32" s="48">
        <v>17</v>
      </c>
      <c r="C32" s="239" t="str">
        <f>IF('INPUT DATA'!L27="","",'INPUT DATA'!L27)</f>
        <v/>
      </c>
      <c r="D32" s="240"/>
      <c r="E32" s="241"/>
      <c r="F32" s="242" t="str">
        <f>IF('INPUT DATA'!M27="","",'INPUT DATA'!M27)</f>
        <v/>
      </c>
      <c r="G32" s="241"/>
      <c r="H32" s="50" t="str">
        <f>IF('INPUT DATA'!N27="","",'INPUT DATA'!N27)</f>
        <v/>
      </c>
      <c r="I32" s="51" t="str">
        <f t="shared" ca="1" si="0"/>
        <v/>
      </c>
      <c r="J32" s="52"/>
      <c r="K32" s="53"/>
      <c r="L32" s="54"/>
      <c r="M32" s="54"/>
      <c r="N32" s="54"/>
      <c r="O32" s="54"/>
      <c r="P32" s="54"/>
      <c r="Q32" s="54"/>
      <c r="R32" s="54"/>
      <c r="S32" s="4"/>
      <c r="T32" s="4"/>
      <c r="U32" s="4"/>
      <c r="V32" s="4"/>
      <c r="W32" s="4"/>
      <c r="X32" s="4"/>
      <c r="Y32" s="4"/>
      <c r="Z32" s="4"/>
      <c r="AA32" s="4"/>
      <c r="AB32" s="4"/>
      <c r="AC32" s="4"/>
    </row>
    <row r="33" spans="1:29" ht="15.75" customHeight="1" x14ac:dyDescent="0.25">
      <c r="A33" s="4"/>
      <c r="B33" s="48">
        <v>18</v>
      </c>
      <c r="C33" s="239" t="str">
        <f>IF('INPUT DATA'!L28="","",'INPUT DATA'!L28)</f>
        <v/>
      </c>
      <c r="D33" s="240"/>
      <c r="E33" s="241"/>
      <c r="F33" s="242" t="str">
        <f>IF('INPUT DATA'!M28="","",'INPUT DATA'!M28)</f>
        <v/>
      </c>
      <c r="G33" s="241"/>
      <c r="H33" s="50" t="str">
        <f>IF('INPUT DATA'!N28="","",'INPUT DATA'!N28)</f>
        <v/>
      </c>
      <c r="I33" s="51" t="str">
        <f t="shared" ca="1" si="0"/>
        <v/>
      </c>
      <c r="J33" s="52"/>
      <c r="K33" s="53"/>
      <c r="L33" s="54"/>
      <c r="M33" s="54"/>
      <c r="N33" s="54"/>
      <c r="O33" s="54"/>
      <c r="P33" s="54"/>
      <c r="Q33" s="54"/>
      <c r="R33" s="54"/>
      <c r="S33" s="4"/>
      <c r="T33" s="4"/>
      <c r="U33" s="4"/>
      <c r="V33" s="4"/>
      <c r="W33" s="4"/>
      <c r="X33" s="4"/>
      <c r="Y33" s="4"/>
      <c r="Z33" s="4"/>
      <c r="AA33" s="4"/>
      <c r="AB33" s="4"/>
      <c r="AC33" s="4"/>
    </row>
    <row r="34" spans="1:29" ht="15.75" customHeight="1" x14ac:dyDescent="0.25">
      <c r="A34" s="4"/>
      <c r="B34" s="48">
        <v>19</v>
      </c>
      <c r="C34" s="239" t="str">
        <f>IF('INPUT DATA'!L29="","",'INPUT DATA'!L29)</f>
        <v/>
      </c>
      <c r="D34" s="240"/>
      <c r="E34" s="241"/>
      <c r="F34" s="242" t="str">
        <f>IF('INPUT DATA'!M29="","",'INPUT DATA'!M29)</f>
        <v/>
      </c>
      <c r="G34" s="241"/>
      <c r="H34" s="50" t="str">
        <f>IF('INPUT DATA'!N29="","",'INPUT DATA'!N29)</f>
        <v/>
      </c>
      <c r="I34" s="51" t="str">
        <f t="shared" ca="1" si="0"/>
        <v/>
      </c>
      <c r="J34" s="52"/>
      <c r="K34" s="53"/>
      <c r="L34" s="54"/>
      <c r="M34" s="54"/>
      <c r="N34" s="54"/>
      <c r="O34" s="54"/>
      <c r="P34" s="54"/>
      <c r="Q34" s="54"/>
      <c r="R34" s="54"/>
      <c r="S34" s="4"/>
      <c r="T34" s="4"/>
      <c r="U34" s="4"/>
      <c r="V34" s="4"/>
      <c r="W34" s="4"/>
      <c r="X34" s="4"/>
      <c r="Y34" s="4"/>
      <c r="Z34" s="4"/>
      <c r="AA34" s="4"/>
      <c r="AB34" s="4"/>
      <c r="AC34" s="4"/>
    </row>
    <row r="35" spans="1:29" ht="15.75" customHeight="1" x14ac:dyDescent="0.25">
      <c r="A35" s="4"/>
      <c r="B35" s="70">
        <v>20</v>
      </c>
      <c r="C35" s="239" t="str">
        <f>IF('INPUT DATA'!L30="","",'INPUT DATA'!L30)</f>
        <v/>
      </c>
      <c r="D35" s="240"/>
      <c r="E35" s="241"/>
      <c r="F35" s="242" t="str">
        <f>IF('INPUT DATA'!M30="","",'INPUT DATA'!M30)</f>
        <v/>
      </c>
      <c r="G35" s="241"/>
      <c r="H35" s="50" t="str">
        <f>IF('INPUT DATA'!N30="","",'INPUT DATA'!N30)</f>
        <v/>
      </c>
      <c r="I35" s="51" t="str">
        <f t="shared" ca="1" si="0"/>
        <v/>
      </c>
      <c r="J35" s="52"/>
      <c r="K35" s="71"/>
      <c r="L35" s="72"/>
      <c r="M35" s="72"/>
      <c r="N35" s="72"/>
      <c r="O35" s="72"/>
      <c r="P35" s="72"/>
      <c r="Q35" s="72"/>
      <c r="R35" s="72"/>
      <c r="S35" s="4"/>
      <c r="T35" s="4"/>
      <c r="U35" s="4"/>
      <c r="V35" s="4"/>
      <c r="W35" s="4"/>
      <c r="X35" s="4"/>
      <c r="Y35" s="4"/>
      <c r="Z35" s="4"/>
      <c r="AA35" s="4"/>
      <c r="AB35" s="4"/>
      <c r="AC35" s="4"/>
    </row>
    <row r="36" spans="1:29" ht="15.75" customHeight="1" x14ac:dyDescent="0.25">
      <c r="A36" s="4"/>
      <c r="B36" s="70">
        <v>21</v>
      </c>
      <c r="C36" s="239" t="str">
        <f>IF('INPUT DATA'!L31="","",'INPUT DATA'!L31)</f>
        <v/>
      </c>
      <c r="D36" s="240"/>
      <c r="E36" s="241"/>
      <c r="F36" s="242" t="str">
        <f>IF('INPUT DATA'!M31="","",'INPUT DATA'!M31)</f>
        <v/>
      </c>
      <c r="G36" s="241"/>
      <c r="H36" s="50" t="str">
        <f>IF('INPUT DATA'!N31="","",'INPUT DATA'!N31)</f>
        <v/>
      </c>
      <c r="I36" s="51" t="str">
        <f t="shared" ca="1" si="0"/>
        <v/>
      </c>
      <c r="J36" s="52"/>
      <c r="K36" s="53"/>
      <c r="L36" s="54"/>
      <c r="M36" s="54"/>
      <c r="N36" s="54"/>
      <c r="O36" s="54"/>
      <c r="P36" s="54"/>
      <c r="Q36" s="54"/>
      <c r="R36" s="54"/>
      <c r="S36" s="4"/>
      <c r="T36" s="4"/>
      <c r="U36" s="4"/>
      <c r="V36" s="4"/>
      <c r="W36" s="4"/>
      <c r="X36" s="4"/>
      <c r="Y36" s="4"/>
      <c r="Z36" s="4"/>
      <c r="AA36" s="4"/>
      <c r="AB36" s="4"/>
      <c r="AC36" s="4"/>
    </row>
    <row r="37" spans="1:29" ht="15.75" customHeight="1" x14ac:dyDescent="0.25">
      <c r="A37" s="4"/>
      <c r="B37" s="70">
        <v>22</v>
      </c>
      <c r="C37" s="239" t="str">
        <f>IF('INPUT DATA'!L32="","",'INPUT DATA'!L32)</f>
        <v/>
      </c>
      <c r="D37" s="240"/>
      <c r="E37" s="241"/>
      <c r="F37" s="242" t="str">
        <f>IF('INPUT DATA'!M32="","",'INPUT DATA'!M32)</f>
        <v/>
      </c>
      <c r="G37" s="241"/>
      <c r="H37" s="50" t="str">
        <f>IF('INPUT DATA'!N32="","",'INPUT DATA'!N32)</f>
        <v/>
      </c>
      <c r="I37" s="51" t="str">
        <f t="shared" ca="1" si="0"/>
        <v/>
      </c>
      <c r="J37" s="52"/>
      <c r="K37" s="53"/>
      <c r="L37" s="54"/>
      <c r="M37" s="54"/>
      <c r="N37" s="54"/>
      <c r="O37" s="54"/>
      <c r="P37" s="54"/>
      <c r="Q37" s="54"/>
      <c r="R37" s="54"/>
      <c r="S37" s="4"/>
      <c r="T37" s="4"/>
      <c r="U37" s="4"/>
      <c r="V37" s="4"/>
      <c r="W37" s="4"/>
      <c r="X37" s="4"/>
      <c r="Y37" s="4"/>
      <c r="Z37" s="4"/>
      <c r="AA37" s="4"/>
      <c r="AB37" s="4"/>
      <c r="AC37" s="4"/>
    </row>
    <row r="38" spans="1:29" ht="15.75" customHeight="1" x14ac:dyDescent="0.25">
      <c r="A38" s="4"/>
      <c r="B38" s="70">
        <v>23</v>
      </c>
      <c r="C38" s="239" t="str">
        <f>IF('INPUT DATA'!L33="","",'INPUT DATA'!L33)</f>
        <v/>
      </c>
      <c r="D38" s="240"/>
      <c r="E38" s="241"/>
      <c r="F38" s="242" t="str">
        <f>IF('INPUT DATA'!M33="","",'INPUT DATA'!M33)</f>
        <v/>
      </c>
      <c r="G38" s="241"/>
      <c r="H38" s="50" t="str">
        <f>IF('INPUT DATA'!N33="","",'INPUT DATA'!N33)</f>
        <v/>
      </c>
      <c r="I38" s="51" t="str">
        <f t="shared" ca="1" si="0"/>
        <v/>
      </c>
      <c r="J38" s="52"/>
      <c r="K38" s="53"/>
      <c r="L38" s="54"/>
      <c r="M38" s="54"/>
      <c r="N38" s="54"/>
      <c r="O38" s="54"/>
      <c r="P38" s="54"/>
      <c r="Q38" s="54"/>
      <c r="R38" s="54"/>
      <c r="S38" s="4"/>
      <c r="T38" s="4"/>
      <c r="U38" s="4"/>
      <c r="V38" s="4"/>
      <c r="W38" s="4"/>
      <c r="X38" s="4"/>
      <c r="Y38" s="4"/>
      <c r="Z38" s="4"/>
      <c r="AA38" s="4"/>
      <c r="AB38" s="4"/>
      <c r="AC38" s="4"/>
    </row>
    <row r="39" spans="1:29" ht="15.75" customHeight="1" x14ac:dyDescent="0.25">
      <c r="A39" s="4"/>
      <c r="B39" s="70">
        <v>24</v>
      </c>
      <c r="C39" s="239" t="str">
        <f>IF('INPUT DATA'!L34="","",'INPUT DATA'!L34)</f>
        <v/>
      </c>
      <c r="D39" s="240"/>
      <c r="E39" s="241"/>
      <c r="F39" s="242" t="str">
        <f>IF('INPUT DATA'!M34="","",'INPUT DATA'!M34)</f>
        <v/>
      </c>
      <c r="G39" s="241"/>
      <c r="H39" s="50" t="str">
        <f>IF('INPUT DATA'!N34="","",'INPUT DATA'!N34)</f>
        <v/>
      </c>
      <c r="I39" s="51" t="str">
        <f t="shared" ca="1" si="0"/>
        <v/>
      </c>
      <c r="J39" s="52"/>
      <c r="K39" s="53"/>
      <c r="L39" s="54"/>
      <c r="M39" s="54"/>
      <c r="N39" s="54"/>
      <c r="O39" s="54"/>
      <c r="P39" s="54"/>
      <c r="Q39" s="54"/>
      <c r="R39" s="54"/>
      <c r="S39" s="4"/>
      <c r="T39" s="4"/>
      <c r="U39" s="4"/>
      <c r="V39" s="4"/>
      <c r="W39" s="4"/>
      <c r="X39" s="4"/>
      <c r="Y39" s="4"/>
      <c r="Z39" s="4"/>
      <c r="AA39" s="4"/>
      <c r="AB39" s="4"/>
      <c r="AC39" s="4"/>
    </row>
    <row r="40" spans="1:29" ht="15.75" customHeight="1" x14ac:dyDescent="0.25">
      <c r="A40" s="4"/>
      <c r="B40" s="70">
        <v>25</v>
      </c>
      <c r="C40" s="239" t="str">
        <f>IF('INPUT DATA'!L35="","",'INPUT DATA'!L35)</f>
        <v/>
      </c>
      <c r="D40" s="240"/>
      <c r="E40" s="241"/>
      <c r="F40" s="242" t="str">
        <f>IF('INPUT DATA'!M35="","",'INPUT DATA'!M35)</f>
        <v/>
      </c>
      <c r="G40" s="241"/>
      <c r="H40" s="50" t="str">
        <f>IF('INPUT DATA'!N35="","",'INPUT DATA'!N35)</f>
        <v/>
      </c>
      <c r="I40" s="51" t="str">
        <f t="shared" ca="1" si="0"/>
        <v/>
      </c>
      <c r="J40" s="52"/>
      <c r="K40" s="53"/>
      <c r="L40" s="54"/>
      <c r="M40" s="54"/>
      <c r="N40" s="54"/>
      <c r="O40" s="54"/>
      <c r="P40" s="54"/>
      <c r="Q40" s="54"/>
      <c r="R40" s="54"/>
      <c r="S40" s="4"/>
      <c r="T40" s="4"/>
      <c r="U40" s="4"/>
      <c r="V40" s="4"/>
      <c r="W40" s="4"/>
      <c r="X40" s="4"/>
      <c r="Y40" s="4"/>
      <c r="Z40" s="4"/>
      <c r="AA40" s="4"/>
      <c r="AB40" s="4"/>
      <c r="AC40" s="4"/>
    </row>
    <row r="41" spans="1:29" ht="15.75" customHeight="1" x14ac:dyDescent="0.25">
      <c r="A41" s="4"/>
      <c r="B41" s="70">
        <v>26</v>
      </c>
      <c r="C41" s="239" t="str">
        <f>IF('INPUT DATA'!L36="","",'INPUT DATA'!L36)</f>
        <v/>
      </c>
      <c r="D41" s="240"/>
      <c r="E41" s="241"/>
      <c r="F41" s="242" t="str">
        <f>IF('INPUT DATA'!M36="","",'INPUT DATA'!M36)</f>
        <v/>
      </c>
      <c r="G41" s="241"/>
      <c r="H41" s="50" t="str">
        <f>IF('INPUT DATA'!N36="","",'INPUT DATA'!N36)</f>
        <v/>
      </c>
      <c r="I41" s="51" t="str">
        <f t="shared" ca="1" si="0"/>
        <v/>
      </c>
      <c r="J41" s="52"/>
      <c r="K41" s="53"/>
      <c r="L41" s="54"/>
      <c r="M41" s="54"/>
      <c r="N41" s="54"/>
      <c r="O41" s="54"/>
      <c r="P41" s="54"/>
      <c r="Q41" s="54"/>
      <c r="R41" s="54"/>
      <c r="S41" s="4"/>
      <c r="T41" s="4"/>
      <c r="U41" s="4"/>
      <c r="V41" s="4"/>
      <c r="W41" s="4"/>
      <c r="X41" s="4"/>
      <c r="Y41" s="4"/>
      <c r="Z41" s="4"/>
      <c r="AA41" s="4"/>
      <c r="AB41" s="4"/>
      <c r="AC41" s="4"/>
    </row>
    <row r="42" spans="1:29" ht="15.75" customHeight="1" x14ac:dyDescent="0.25">
      <c r="A42" s="4"/>
      <c r="B42" s="70">
        <v>27</v>
      </c>
      <c r="C42" s="239" t="str">
        <f>IF('INPUT DATA'!L37="","",'INPUT DATA'!L37)</f>
        <v/>
      </c>
      <c r="D42" s="240"/>
      <c r="E42" s="241"/>
      <c r="F42" s="242" t="str">
        <f>IF('INPUT DATA'!M37="","",'INPUT DATA'!M37)</f>
        <v/>
      </c>
      <c r="G42" s="241"/>
      <c r="H42" s="50" t="str">
        <f>IF('INPUT DATA'!N37="","",'INPUT DATA'!N37)</f>
        <v/>
      </c>
      <c r="I42" s="51" t="str">
        <f t="shared" ca="1" si="0"/>
        <v/>
      </c>
      <c r="J42" s="52"/>
      <c r="K42" s="53"/>
      <c r="L42" s="54"/>
      <c r="M42" s="54"/>
      <c r="N42" s="54"/>
      <c r="O42" s="54"/>
      <c r="P42" s="54"/>
      <c r="Q42" s="54"/>
      <c r="R42" s="54"/>
      <c r="S42" s="4"/>
      <c r="T42" s="4"/>
      <c r="U42" s="4"/>
      <c r="V42" s="4"/>
      <c r="W42" s="4"/>
      <c r="X42" s="4"/>
      <c r="Y42" s="4"/>
      <c r="Z42" s="4"/>
      <c r="AA42" s="4"/>
      <c r="AB42" s="4"/>
      <c r="AC42" s="4"/>
    </row>
    <row r="43" spans="1:29" ht="15.75" customHeight="1" x14ac:dyDescent="0.25">
      <c r="A43" s="4"/>
      <c r="B43" s="70">
        <v>28</v>
      </c>
      <c r="C43" s="239" t="str">
        <f>IF('INPUT DATA'!L38="","",'INPUT DATA'!L38)</f>
        <v/>
      </c>
      <c r="D43" s="240"/>
      <c r="E43" s="241"/>
      <c r="F43" s="242" t="str">
        <f>IF('INPUT DATA'!M38="","",'INPUT DATA'!M38)</f>
        <v/>
      </c>
      <c r="G43" s="241"/>
      <c r="H43" s="50" t="str">
        <f>IF('INPUT DATA'!N38="","",'INPUT DATA'!N38)</f>
        <v/>
      </c>
      <c r="I43" s="51" t="str">
        <f t="shared" ca="1" si="0"/>
        <v/>
      </c>
      <c r="J43" s="52"/>
      <c r="K43" s="53"/>
      <c r="L43" s="54"/>
      <c r="M43" s="54"/>
      <c r="N43" s="54"/>
      <c r="O43" s="54"/>
      <c r="P43" s="54"/>
      <c r="Q43" s="54"/>
      <c r="R43" s="54"/>
      <c r="S43" s="4"/>
      <c r="T43" s="4"/>
      <c r="U43" s="4"/>
      <c r="V43" s="4"/>
      <c r="W43" s="4"/>
      <c r="X43" s="4"/>
      <c r="Y43" s="4"/>
      <c r="Z43" s="4"/>
      <c r="AA43" s="4"/>
      <c r="AB43" s="4"/>
      <c r="AC43" s="4"/>
    </row>
    <row r="44" spans="1:29" ht="15.75" customHeight="1" x14ac:dyDescent="0.25">
      <c r="A44" s="4"/>
      <c r="B44" s="70">
        <v>29</v>
      </c>
      <c r="C44" s="239" t="str">
        <f>IF('INPUT DATA'!L39="","",'INPUT DATA'!L39)</f>
        <v/>
      </c>
      <c r="D44" s="240"/>
      <c r="E44" s="241"/>
      <c r="F44" s="242" t="str">
        <f>IF('INPUT DATA'!M39="","",'INPUT DATA'!M39)</f>
        <v/>
      </c>
      <c r="G44" s="241"/>
      <c r="H44" s="50" t="str">
        <f>IF('INPUT DATA'!N39="","",'INPUT DATA'!N39)</f>
        <v/>
      </c>
      <c r="I44" s="51" t="str">
        <f t="shared" ca="1" si="0"/>
        <v/>
      </c>
      <c r="J44" s="52"/>
      <c r="K44" s="53"/>
      <c r="L44" s="54"/>
      <c r="M44" s="54"/>
      <c r="N44" s="54"/>
      <c r="O44" s="54"/>
      <c r="P44" s="54"/>
      <c r="Q44" s="54"/>
      <c r="R44" s="54"/>
      <c r="S44" s="4"/>
      <c r="T44" s="4"/>
      <c r="U44" s="4"/>
      <c r="V44" s="4"/>
      <c r="W44" s="4"/>
      <c r="X44" s="4"/>
      <c r="Y44" s="4"/>
      <c r="Z44" s="4"/>
      <c r="AA44" s="4"/>
      <c r="AB44" s="4"/>
      <c r="AC44" s="4"/>
    </row>
    <row r="45" spans="1:29" ht="15.75" customHeight="1" x14ac:dyDescent="0.25">
      <c r="A45" s="4"/>
      <c r="B45" s="70">
        <v>30</v>
      </c>
      <c r="C45" s="239" t="str">
        <f>IF('INPUT DATA'!L40="","",'INPUT DATA'!L40)</f>
        <v/>
      </c>
      <c r="D45" s="240"/>
      <c r="E45" s="241"/>
      <c r="F45" s="242" t="str">
        <f>IF('INPUT DATA'!M40="","",'INPUT DATA'!M40)</f>
        <v/>
      </c>
      <c r="G45" s="241"/>
      <c r="H45" s="50" t="str">
        <f>IF('INPUT DATA'!N40="","",'INPUT DATA'!N40)</f>
        <v/>
      </c>
      <c r="I45" s="51" t="str">
        <f t="shared" ca="1" si="0"/>
        <v/>
      </c>
      <c r="J45" s="52"/>
      <c r="K45" s="53"/>
      <c r="L45" s="54"/>
      <c r="M45" s="54"/>
      <c r="N45" s="54"/>
      <c r="O45" s="54"/>
      <c r="P45" s="54"/>
      <c r="Q45" s="54"/>
      <c r="R45" s="54"/>
      <c r="S45" s="4"/>
      <c r="T45" s="4"/>
      <c r="U45" s="4"/>
      <c r="V45" s="4"/>
      <c r="W45" s="4"/>
      <c r="X45" s="4"/>
      <c r="Y45" s="4"/>
      <c r="Z45" s="4"/>
      <c r="AA45" s="4"/>
      <c r="AB45" s="4"/>
      <c r="AC45" s="4"/>
    </row>
    <row r="46" spans="1:29" ht="15.75" customHeight="1" x14ac:dyDescent="0.25">
      <c r="A46" s="4"/>
      <c r="B46" s="70">
        <v>31</v>
      </c>
      <c r="C46" s="239" t="str">
        <f>IF('INPUT DATA'!L41="","",'INPUT DATA'!L41)</f>
        <v/>
      </c>
      <c r="D46" s="240"/>
      <c r="E46" s="241"/>
      <c r="F46" s="242" t="str">
        <f>IF('INPUT DATA'!M41="","",'INPUT DATA'!M41)</f>
        <v/>
      </c>
      <c r="G46" s="241"/>
      <c r="H46" s="50" t="str">
        <f>IF('INPUT DATA'!N41="","",'INPUT DATA'!N41)</f>
        <v/>
      </c>
      <c r="I46" s="51" t="str">
        <f t="shared" ca="1" si="0"/>
        <v/>
      </c>
      <c r="J46" s="52"/>
      <c r="K46" s="53"/>
      <c r="L46" s="54"/>
      <c r="M46" s="54"/>
      <c r="N46" s="54"/>
      <c r="O46" s="54"/>
      <c r="P46" s="54"/>
      <c r="Q46" s="54"/>
      <c r="R46" s="54"/>
      <c r="S46" s="4"/>
      <c r="T46" s="4"/>
      <c r="U46" s="4"/>
      <c r="V46" s="4"/>
      <c r="W46" s="4"/>
      <c r="X46" s="4"/>
      <c r="Y46" s="4"/>
      <c r="Z46" s="4"/>
      <c r="AA46" s="4"/>
      <c r="AB46" s="4"/>
      <c r="AC46" s="4"/>
    </row>
    <row r="47" spans="1:29" ht="15.75" customHeight="1" x14ac:dyDescent="0.25">
      <c r="A47" s="4"/>
      <c r="B47" s="70">
        <v>32</v>
      </c>
      <c r="C47" s="239" t="str">
        <f>IF('INPUT DATA'!L42="","",'INPUT DATA'!L42)</f>
        <v/>
      </c>
      <c r="D47" s="240"/>
      <c r="E47" s="241"/>
      <c r="F47" s="242" t="str">
        <f>IF('INPUT DATA'!M42="","",'INPUT DATA'!M42)</f>
        <v/>
      </c>
      <c r="G47" s="241"/>
      <c r="H47" s="50" t="str">
        <f>IF('INPUT DATA'!N42="","",'INPUT DATA'!N42)</f>
        <v/>
      </c>
      <c r="I47" s="51" t="str">
        <f t="shared" ca="1" si="0"/>
        <v/>
      </c>
      <c r="J47" s="52"/>
      <c r="K47" s="53"/>
      <c r="L47" s="54"/>
      <c r="M47" s="54"/>
      <c r="N47" s="54"/>
      <c r="O47" s="54"/>
      <c r="P47" s="54"/>
      <c r="Q47" s="54"/>
      <c r="R47" s="54"/>
      <c r="S47" s="4"/>
      <c r="T47" s="4"/>
      <c r="U47" s="4"/>
      <c r="V47" s="4"/>
      <c r="W47" s="4"/>
      <c r="X47" s="4"/>
      <c r="Y47" s="4"/>
      <c r="Z47" s="4"/>
      <c r="AA47" s="4"/>
      <c r="AB47" s="4"/>
      <c r="AC47" s="4"/>
    </row>
    <row r="48" spans="1:29" ht="15.75" customHeight="1" x14ac:dyDescent="0.25">
      <c r="A48" s="4"/>
      <c r="B48" s="70">
        <v>33</v>
      </c>
      <c r="C48" s="239" t="str">
        <f>IF('INPUT DATA'!L43="","",'INPUT DATA'!L43)</f>
        <v/>
      </c>
      <c r="D48" s="240"/>
      <c r="E48" s="241"/>
      <c r="F48" s="242" t="str">
        <f>IF('INPUT DATA'!M43="","",'INPUT DATA'!M43)</f>
        <v/>
      </c>
      <c r="G48" s="241"/>
      <c r="H48" s="50" t="str">
        <f>IF('INPUT DATA'!N43="","",'INPUT DATA'!N43)</f>
        <v/>
      </c>
      <c r="I48" s="51" t="str">
        <f t="shared" ca="1" si="0"/>
        <v/>
      </c>
      <c r="J48" s="52"/>
      <c r="K48" s="53"/>
      <c r="L48" s="54"/>
      <c r="M48" s="54"/>
      <c r="N48" s="54"/>
      <c r="O48" s="54"/>
      <c r="P48" s="54"/>
      <c r="Q48" s="54"/>
      <c r="R48" s="54"/>
      <c r="S48" s="4"/>
      <c r="T48" s="4"/>
      <c r="U48" s="4"/>
      <c r="V48" s="4"/>
      <c r="W48" s="4"/>
      <c r="X48" s="4"/>
      <c r="Y48" s="4"/>
      <c r="Z48" s="4"/>
      <c r="AA48" s="4"/>
      <c r="AB48" s="4"/>
      <c r="AC48" s="4"/>
    </row>
    <row r="49" spans="1:29" ht="15.75" customHeight="1" x14ac:dyDescent="0.25">
      <c r="A49" s="4"/>
      <c r="B49" s="70">
        <v>34</v>
      </c>
      <c r="C49" s="239" t="str">
        <f>IF('INPUT DATA'!L44="","",'INPUT DATA'!L44)</f>
        <v/>
      </c>
      <c r="D49" s="240"/>
      <c r="E49" s="241"/>
      <c r="F49" s="242" t="str">
        <f>IF('INPUT DATA'!M44="","",'INPUT DATA'!M44)</f>
        <v/>
      </c>
      <c r="G49" s="241"/>
      <c r="H49" s="50" t="str">
        <f>IF('INPUT DATA'!N44="","",'INPUT DATA'!N44)</f>
        <v/>
      </c>
      <c r="I49" s="51" t="str">
        <f t="shared" ca="1" si="0"/>
        <v/>
      </c>
      <c r="J49" s="52"/>
      <c r="K49" s="53"/>
      <c r="L49" s="54"/>
      <c r="M49" s="54"/>
      <c r="N49" s="54"/>
      <c r="O49" s="54"/>
      <c r="P49" s="54"/>
      <c r="Q49" s="54"/>
      <c r="R49" s="54"/>
      <c r="S49" s="4"/>
      <c r="T49" s="4"/>
      <c r="U49" s="4"/>
      <c r="V49" s="4"/>
      <c r="W49" s="4"/>
      <c r="X49" s="4"/>
      <c r="Y49" s="4"/>
      <c r="Z49" s="4"/>
      <c r="AA49" s="4"/>
      <c r="AB49" s="4"/>
      <c r="AC49" s="4"/>
    </row>
    <row r="50" spans="1:29" ht="15.75" customHeight="1" x14ac:dyDescent="0.25">
      <c r="A50" s="4"/>
      <c r="B50" s="70">
        <v>35</v>
      </c>
      <c r="C50" s="239" t="str">
        <f>IF('INPUT DATA'!L45="","",'INPUT DATA'!L45)</f>
        <v/>
      </c>
      <c r="D50" s="240"/>
      <c r="E50" s="241"/>
      <c r="F50" s="242" t="str">
        <f>IF('INPUT DATA'!M45="","",'INPUT DATA'!M45)</f>
        <v/>
      </c>
      <c r="G50" s="241"/>
      <c r="H50" s="50" t="str">
        <f>IF('INPUT DATA'!N45="","",'INPUT DATA'!N45)</f>
        <v/>
      </c>
      <c r="I50" s="51" t="str">
        <f t="shared" ca="1" si="0"/>
        <v/>
      </c>
      <c r="J50" s="52"/>
      <c r="K50" s="53"/>
      <c r="L50" s="54"/>
      <c r="M50" s="54"/>
      <c r="N50" s="54"/>
      <c r="O50" s="54"/>
      <c r="P50" s="54"/>
      <c r="Q50" s="54"/>
      <c r="R50" s="54"/>
      <c r="S50" s="4"/>
      <c r="T50" s="4"/>
      <c r="U50" s="4"/>
      <c r="V50" s="4"/>
      <c r="W50" s="4"/>
      <c r="X50" s="4"/>
      <c r="Y50" s="4"/>
      <c r="Z50" s="4"/>
      <c r="AA50" s="4"/>
      <c r="AB50" s="4"/>
      <c r="AC50" s="4"/>
    </row>
    <row r="51" spans="1:29" ht="15.75" customHeight="1" x14ac:dyDescent="0.25">
      <c r="A51" s="4"/>
      <c r="B51" s="70">
        <v>36</v>
      </c>
      <c r="C51" s="239" t="str">
        <f>IF('INPUT DATA'!L46="","",'INPUT DATA'!L46)</f>
        <v/>
      </c>
      <c r="D51" s="240"/>
      <c r="E51" s="241"/>
      <c r="F51" s="242" t="str">
        <f>IF('INPUT DATA'!M46="","",'INPUT DATA'!M46)</f>
        <v/>
      </c>
      <c r="G51" s="241"/>
      <c r="H51" s="50" t="str">
        <f>IF('INPUT DATA'!N46="","",'INPUT DATA'!N46)</f>
        <v/>
      </c>
      <c r="I51" s="51" t="str">
        <f t="shared" ca="1" si="0"/>
        <v/>
      </c>
      <c r="J51" s="52"/>
      <c r="K51" s="53"/>
      <c r="L51" s="54"/>
      <c r="M51" s="54"/>
      <c r="N51" s="54"/>
      <c r="O51" s="54"/>
      <c r="P51" s="54"/>
      <c r="Q51" s="54"/>
      <c r="R51" s="54"/>
      <c r="S51" s="4"/>
      <c r="T51" s="4"/>
      <c r="U51" s="4"/>
      <c r="V51" s="4"/>
      <c r="W51" s="4"/>
      <c r="X51" s="4"/>
      <c r="Y51" s="4"/>
      <c r="Z51" s="4"/>
      <c r="AA51" s="4"/>
      <c r="AB51" s="4"/>
      <c r="AC51" s="4"/>
    </row>
    <row r="52" spans="1:29" ht="15.75" customHeight="1" x14ac:dyDescent="0.25">
      <c r="A52" s="4"/>
      <c r="B52" s="70">
        <v>37</v>
      </c>
      <c r="C52" s="239" t="str">
        <f>IF('INPUT DATA'!L47="","",'INPUT DATA'!L47)</f>
        <v/>
      </c>
      <c r="D52" s="240"/>
      <c r="E52" s="241"/>
      <c r="F52" s="242" t="str">
        <f>IF('INPUT DATA'!M47="","",'INPUT DATA'!M47)</f>
        <v/>
      </c>
      <c r="G52" s="241"/>
      <c r="H52" s="50" t="str">
        <f>IF('INPUT DATA'!N47="","",'INPUT DATA'!N47)</f>
        <v/>
      </c>
      <c r="I52" s="51" t="str">
        <f t="shared" ca="1" si="0"/>
        <v/>
      </c>
      <c r="J52" s="52"/>
      <c r="K52" s="53"/>
      <c r="L52" s="54"/>
      <c r="M52" s="54"/>
      <c r="N52" s="54"/>
      <c r="O52" s="54"/>
      <c r="P52" s="54"/>
      <c r="Q52" s="54"/>
      <c r="R52" s="54"/>
      <c r="S52" s="4"/>
      <c r="T52" s="4"/>
      <c r="U52" s="4"/>
      <c r="V52" s="4"/>
      <c r="W52" s="4"/>
      <c r="X52" s="4"/>
      <c r="Y52" s="4"/>
      <c r="Z52" s="4"/>
      <c r="AA52" s="4"/>
      <c r="AB52" s="4"/>
      <c r="AC52" s="4"/>
    </row>
    <row r="53" spans="1:29" ht="15.75" customHeight="1" x14ac:dyDescent="0.25">
      <c r="A53" s="4"/>
      <c r="B53" s="70">
        <v>38</v>
      </c>
      <c r="C53" s="239" t="str">
        <f>IF('INPUT DATA'!L48="","",'INPUT DATA'!L48)</f>
        <v/>
      </c>
      <c r="D53" s="240"/>
      <c r="E53" s="241"/>
      <c r="F53" s="242" t="str">
        <f>IF('INPUT DATA'!M48="","",'INPUT DATA'!M48)</f>
        <v/>
      </c>
      <c r="G53" s="241"/>
      <c r="H53" s="50" t="str">
        <f>IF('INPUT DATA'!N48="","",'INPUT DATA'!N48)</f>
        <v/>
      </c>
      <c r="I53" s="51" t="str">
        <f t="shared" ca="1" si="0"/>
        <v/>
      </c>
      <c r="J53" s="52"/>
      <c r="K53" s="53"/>
      <c r="L53" s="54"/>
      <c r="M53" s="54"/>
      <c r="N53" s="54"/>
      <c r="O53" s="54"/>
      <c r="P53" s="54"/>
      <c r="Q53" s="54"/>
      <c r="R53" s="54"/>
      <c r="S53" s="4"/>
      <c r="T53" s="4"/>
      <c r="U53" s="4"/>
      <c r="V53" s="4"/>
      <c r="W53" s="4"/>
      <c r="X53" s="4"/>
      <c r="Y53" s="4"/>
      <c r="Z53" s="4"/>
      <c r="AA53" s="4"/>
      <c r="AB53" s="4"/>
      <c r="AC53" s="4"/>
    </row>
    <row r="54" spans="1:29" ht="15.75" customHeight="1" x14ac:dyDescent="0.25">
      <c r="A54" s="4"/>
      <c r="B54" s="70">
        <v>39</v>
      </c>
      <c r="C54" s="239" t="str">
        <f>IF('INPUT DATA'!L49="","",'INPUT DATA'!L49)</f>
        <v/>
      </c>
      <c r="D54" s="240"/>
      <c r="E54" s="241"/>
      <c r="F54" s="242" t="str">
        <f>IF('INPUT DATA'!M49="","",'INPUT DATA'!M49)</f>
        <v/>
      </c>
      <c r="G54" s="241"/>
      <c r="H54" s="50" t="str">
        <f>IF('INPUT DATA'!N49="","",'INPUT DATA'!N49)</f>
        <v/>
      </c>
      <c r="I54" s="51" t="str">
        <f t="shared" ca="1" si="0"/>
        <v/>
      </c>
      <c r="J54" s="52"/>
      <c r="K54" s="53"/>
      <c r="L54" s="54"/>
      <c r="M54" s="54"/>
      <c r="N54" s="54"/>
      <c r="O54" s="54"/>
      <c r="P54" s="54"/>
      <c r="Q54" s="54"/>
      <c r="R54" s="54"/>
      <c r="S54" s="4"/>
      <c r="T54" s="4"/>
      <c r="U54" s="4"/>
      <c r="V54" s="4"/>
      <c r="W54" s="4"/>
      <c r="X54" s="4"/>
      <c r="Y54" s="4"/>
      <c r="Z54" s="4"/>
      <c r="AA54" s="4"/>
      <c r="AB54" s="4"/>
      <c r="AC54" s="4"/>
    </row>
    <row r="55" spans="1:29" ht="15.75" customHeight="1" x14ac:dyDescent="0.25">
      <c r="A55" s="4"/>
      <c r="B55" s="70">
        <v>40</v>
      </c>
      <c r="C55" s="239" t="str">
        <f>IF('INPUT DATA'!L50="","",'INPUT DATA'!L50)</f>
        <v/>
      </c>
      <c r="D55" s="240"/>
      <c r="E55" s="241"/>
      <c r="F55" s="242" t="str">
        <f>IF('INPUT DATA'!M50="","",'INPUT DATA'!M50)</f>
        <v/>
      </c>
      <c r="G55" s="241"/>
      <c r="H55" s="50" t="str">
        <f>IF('INPUT DATA'!N50="","",'INPUT DATA'!N50)</f>
        <v/>
      </c>
      <c r="I55" s="51" t="str">
        <f t="shared" ca="1" si="0"/>
        <v/>
      </c>
      <c r="J55" s="52"/>
      <c r="K55" s="53"/>
      <c r="L55" s="54"/>
      <c r="M55" s="54"/>
      <c r="N55" s="54"/>
      <c r="O55" s="54"/>
      <c r="P55" s="54"/>
      <c r="Q55" s="54"/>
      <c r="R55" s="54"/>
      <c r="S55" s="4"/>
      <c r="T55" s="4"/>
      <c r="U55" s="4"/>
      <c r="V55" s="4"/>
      <c r="W55" s="4"/>
      <c r="X55" s="4"/>
      <c r="Y55" s="4"/>
      <c r="Z55" s="4"/>
      <c r="AA55" s="4"/>
      <c r="AB55" s="4"/>
      <c r="AC55" s="4"/>
    </row>
    <row r="56" spans="1:29" ht="15.75" customHeight="1" x14ac:dyDescent="0.25">
      <c r="A56" s="4"/>
      <c r="B56" s="70">
        <v>41</v>
      </c>
      <c r="C56" s="239" t="str">
        <f>IF('INPUT DATA'!L51="","",'INPUT DATA'!L51)</f>
        <v/>
      </c>
      <c r="D56" s="240"/>
      <c r="E56" s="241"/>
      <c r="F56" s="242" t="str">
        <f>IF('INPUT DATA'!M51="","",'INPUT DATA'!M51)</f>
        <v/>
      </c>
      <c r="G56" s="241"/>
      <c r="H56" s="50" t="str">
        <f>IF('INPUT DATA'!N51="","",'INPUT DATA'!N51)</f>
        <v/>
      </c>
      <c r="I56" s="51" t="str">
        <f t="shared" ca="1" si="0"/>
        <v/>
      </c>
      <c r="J56" s="52"/>
      <c r="K56" s="53"/>
      <c r="L56" s="54"/>
      <c r="M56" s="54"/>
      <c r="N56" s="54"/>
      <c r="O56" s="54"/>
      <c r="P56" s="54"/>
      <c r="Q56" s="54"/>
      <c r="R56" s="54"/>
      <c r="S56" s="4"/>
      <c r="T56" s="4"/>
      <c r="U56" s="4"/>
      <c r="V56" s="4"/>
      <c r="W56" s="4"/>
      <c r="X56" s="4"/>
      <c r="Y56" s="4"/>
      <c r="Z56" s="4"/>
      <c r="AA56" s="4"/>
      <c r="AB56" s="4"/>
      <c r="AC56" s="4"/>
    </row>
    <row r="57" spans="1:29" ht="15.75" customHeight="1" x14ac:dyDescent="0.25">
      <c r="A57" s="4"/>
      <c r="B57" s="70">
        <v>42</v>
      </c>
      <c r="C57" s="239" t="str">
        <f>IF('INPUT DATA'!L52="","",'INPUT DATA'!L52)</f>
        <v/>
      </c>
      <c r="D57" s="240"/>
      <c r="E57" s="241"/>
      <c r="F57" s="242" t="str">
        <f>IF('INPUT DATA'!M52="","",'INPUT DATA'!M52)</f>
        <v/>
      </c>
      <c r="G57" s="241"/>
      <c r="H57" s="50" t="str">
        <f>IF('INPUT DATA'!N52="","",'INPUT DATA'!N52)</f>
        <v/>
      </c>
      <c r="I57" s="51" t="str">
        <f t="shared" ca="1" si="0"/>
        <v/>
      </c>
      <c r="J57" s="52"/>
      <c r="K57" s="53"/>
      <c r="L57" s="54"/>
      <c r="M57" s="54"/>
      <c r="N57" s="54"/>
      <c r="O57" s="54"/>
      <c r="P57" s="54"/>
      <c r="Q57" s="54"/>
      <c r="R57" s="54"/>
      <c r="S57" s="4"/>
      <c r="T57" s="4"/>
      <c r="U57" s="4"/>
      <c r="V57" s="4"/>
      <c r="W57" s="4"/>
      <c r="X57" s="4"/>
      <c r="Y57" s="4"/>
      <c r="Z57" s="4"/>
      <c r="AA57" s="4"/>
      <c r="AB57" s="4"/>
      <c r="AC57" s="4"/>
    </row>
    <row r="58" spans="1:29" ht="15.75" customHeight="1" x14ac:dyDescent="0.25">
      <c r="A58" s="4"/>
      <c r="B58" s="70">
        <v>43</v>
      </c>
      <c r="C58" s="239" t="str">
        <f>IF('INPUT DATA'!L53="","",'INPUT DATA'!L53)</f>
        <v/>
      </c>
      <c r="D58" s="240"/>
      <c r="E58" s="241"/>
      <c r="F58" s="242" t="str">
        <f>IF('INPUT DATA'!M53="","",'INPUT DATA'!M53)</f>
        <v/>
      </c>
      <c r="G58" s="241"/>
      <c r="H58" s="50" t="str">
        <f>IF('INPUT DATA'!N53="","",'INPUT DATA'!N53)</f>
        <v/>
      </c>
      <c r="I58" s="51" t="str">
        <f t="shared" ca="1" si="0"/>
        <v/>
      </c>
      <c r="J58" s="52"/>
      <c r="K58" s="53"/>
      <c r="L58" s="54"/>
      <c r="M58" s="54"/>
      <c r="N58" s="54"/>
      <c r="O58" s="54"/>
      <c r="P58" s="54"/>
      <c r="Q58" s="54"/>
      <c r="R58" s="54"/>
      <c r="S58" s="4"/>
      <c r="T58" s="4"/>
      <c r="U58" s="4"/>
      <c r="V58" s="4"/>
      <c r="W58" s="4"/>
      <c r="X58" s="4"/>
      <c r="Y58" s="4"/>
      <c r="Z58" s="4"/>
      <c r="AA58" s="4"/>
      <c r="AB58" s="4"/>
      <c r="AC58" s="4"/>
    </row>
    <row r="59" spans="1:29" ht="15.75" customHeight="1" x14ac:dyDescent="0.25">
      <c r="A59" s="4"/>
      <c r="B59" s="70">
        <v>44</v>
      </c>
      <c r="C59" s="239" t="str">
        <f>IF('INPUT DATA'!L54="","",'INPUT DATA'!L54)</f>
        <v/>
      </c>
      <c r="D59" s="240"/>
      <c r="E59" s="241"/>
      <c r="F59" s="242" t="str">
        <f>IF('INPUT DATA'!M54="","",'INPUT DATA'!M54)</f>
        <v/>
      </c>
      <c r="G59" s="241"/>
      <c r="H59" s="50" t="str">
        <f>IF('INPUT DATA'!N54="","",'INPUT DATA'!N54)</f>
        <v/>
      </c>
      <c r="I59" s="51" t="str">
        <f t="shared" ca="1" si="0"/>
        <v/>
      </c>
      <c r="J59" s="52"/>
      <c r="K59" s="53"/>
      <c r="L59" s="54"/>
      <c r="M59" s="54"/>
      <c r="N59" s="54"/>
      <c r="O59" s="54"/>
      <c r="P59" s="54"/>
      <c r="Q59" s="54"/>
      <c r="R59" s="54"/>
      <c r="S59" s="4"/>
      <c r="T59" s="4"/>
      <c r="U59" s="4"/>
      <c r="V59" s="4"/>
      <c r="W59" s="4"/>
      <c r="X59" s="4"/>
      <c r="Y59" s="4"/>
      <c r="Z59" s="4"/>
      <c r="AA59" s="4"/>
      <c r="AB59" s="4"/>
      <c r="AC59" s="4"/>
    </row>
    <row r="60" spans="1:29" ht="15.75" customHeight="1" x14ac:dyDescent="0.25">
      <c r="A60" s="4"/>
      <c r="B60" s="70">
        <v>45</v>
      </c>
      <c r="C60" s="239" t="str">
        <f>IF('INPUT DATA'!L55="","",'INPUT DATA'!L55)</f>
        <v/>
      </c>
      <c r="D60" s="240"/>
      <c r="E60" s="241"/>
      <c r="F60" s="242" t="str">
        <f>IF('INPUT DATA'!M55="","",'INPUT DATA'!M55)</f>
        <v/>
      </c>
      <c r="G60" s="241"/>
      <c r="H60" s="50" t="str">
        <f>IF('INPUT DATA'!N55="","",'INPUT DATA'!N55)</f>
        <v/>
      </c>
      <c r="I60" s="51" t="str">
        <f t="shared" ca="1" si="0"/>
        <v/>
      </c>
      <c r="J60" s="52"/>
      <c r="K60" s="71"/>
      <c r="L60" s="72"/>
      <c r="M60" s="72"/>
      <c r="N60" s="72"/>
      <c r="O60" s="72"/>
      <c r="P60" s="72"/>
      <c r="Q60" s="72"/>
      <c r="R60" s="72"/>
      <c r="S60" s="4"/>
      <c r="T60" s="4"/>
      <c r="U60" s="4"/>
      <c r="V60" s="4"/>
      <c r="W60" s="4"/>
      <c r="X60" s="4"/>
      <c r="Y60" s="4"/>
      <c r="Z60" s="4"/>
      <c r="AA60" s="4"/>
      <c r="AB60" s="4"/>
      <c r="AC60" s="4"/>
    </row>
    <row r="61" spans="1:29" ht="15.75" customHeight="1" x14ac:dyDescent="0.25">
      <c r="A61" s="4"/>
      <c r="B61" s="70">
        <v>46</v>
      </c>
      <c r="C61" s="239" t="str">
        <f>IF('INPUT DATA'!L56="","",'INPUT DATA'!L56)</f>
        <v/>
      </c>
      <c r="D61" s="240"/>
      <c r="E61" s="241"/>
      <c r="F61" s="242" t="str">
        <f>IF('INPUT DATA'!M56="","",'INPUT DATA'!M56)</f>
        <v/>
      </c>
      <c r="G61" s="241"/>
      <c r="H61" s="50" t="str">
        <f>IF('INPUT DATA'!N56="","",'INPUT DATA'!N56)</f>
        <v/>
      </c>
      <c r="I61" s="51" t="str">
        <f t="shared" ca="1" si="0"/>
        <v/>
      </c>
      <c r="J61" s="52" t="s">
        <v>38</v>
      </c>
      <c r="K61" s="53"/>
      <c r="L61" s="54"/>
      <c r="M61" s="54"/>
      <c r="N61" s="54"/>
      <c r="O61" s="54"/>
      <c r="P61" s="54"/>
      <c r="Q61" s="54"/>
      <c r="R61" s="54"/>
      <c r="S61" s="4"/>
      <c r="T61" s="4"/>
      <c r="U61" s="4"/>
      <c r="V61" s="4"/>
      <c r="W61" s="4"/>
      <c r="X61" s="4"/>
      <c r="Y61" s="4"/>
      <c r="Z61" s="4"/>
      <c r="AA61" s="4"/>
      <c r="AB61" s="4"/>
      <c r="AC61" s="4"/>
    </row>
    <row r="62" spans="1:29" ht="15.75" customHeight="1" x14ac:dyDescent="0.25">
      <c r="A62" s="4"/>
      <c r="B62" s="70">
        <v>47</v>
      </c>
      <c r="C62" s="239" t="str">
        <f>IF('INPUT DATA'!L57="","",'INPUT DATA'!L57)</f>
        <v/>
      </c>
      <c r="D62" s="240"/>
      <c r="E62" s="241"/>
      <c r="F62" s="242" t="str">
        <f>IF('INPUT DATA'!M57="","",'INPUT DATA'!M57)</f>
        <v/>
      </c>
      <c r="G62" s="241"/>
      <c r="H62" s="50" t="str">
        <f>IF('INPUT DATA'!N57="","",'INPUT DATA'!N57)</f>
        <v/>
      </c>
      <c r="I62" s="51" t="str">
        <f t="shared" ca="1" si="0"/>
        <v/>
      </c>
      <c r="J62" s="52"/>
      <c r="K62" s="53"/>
      <c r="L62" s="54"/>
      <c r="M62" s="54"/>
      <c r="N62" s="54"/>
      <c r="O62" s="54"/>
      <c r="P62" s="54"/>
      <c r="Q62" s="54"/>
      <c r="R62" s="54"/>
      <c r="S62" s="4"/>
      <c r="T62" s="4"/>
      <c r="U62" s="4"/>
      <c r="V62" s="4"/>
      <c r="W62" s="4"/>
      <c r="X62" s="4"/>
      <c r="Y62" s="4"/>
      <c r="Z62" s="4"/>
      <c r="AA62" s="4"/>
      <c r="AB62" s="4"/>
      <c r="AC62" s="4"/>
    </row>
    <row r="63" spans="1:29" ht="15.75" customHeight="1" x14ac:dyDescent="0.25">
      <c r="A63" s="4"/>
      <c r="B63" s="70">
        <v>48</v>
      </c>
      <c r="C63" s="239" t="str">
        <f>IF('INPUT DATA'!L58="","",'INPUT DATA'!L58)</f>
        <v/>
      </c>
      <c r="D63" s="240"/>
      <c r="E63" s="241"/>
      <c r="F63" s="242" t="str">
        <f>IF('INPUT DATA'!M58="","",'INPUT DATA'!M58)</f>
        <v/>
      </c>
      <c r="G63" s="241"/>
      <c r="H63" s="50" t="str">
        <f>IF('INPUT DATA'!N58="","",'INPUT DATA'!N58)</f>
        <v/>
      </c>
      <c r="I63" s="51" t="str">
        <f t="shared" ca="1" si="0"/>
        <v/>
      </c>
      <c r="J63" s="52"/>
      <c r="K63" s="53"/>
      <c r="L63" s="54"/>
      <c r="M63" s="54"/>
      <c r="N63" s="54"/>
      <c r="O63" s="54"/>
      <c r="P63" s="54"/>
      <c r="Q63" s="54"/>
      <c r="R63" s="54"/>
      <c r="S63" s="4"/>
      <c r="T63" s="4"/>
      <c r="U63" s="4"/>
      <c r="V63" s="4"/>
      <c r="W63" s="4"/>
      <c r="X63" s="4"/>
      <c r="Y63" s="4"/>
      <c r="Z63" s="4"/>
      <c r="AA63" s="4"/>
      <c r="AB63" s="4"/>
      <c r="AC63" s="4"/>
    </row>
    <row r="64" spans="1:29" ht="15.75" customHeight="1" x14ac:dyDescent="0.25">
      <c r="A64" s="4"/>
      <c r="B64" s="70">
        <v>49</v>
      </c>
      <c r="C64" s="239" t="str">
        <f>IF('INPUT DATA'!L59="","",'INPUT DATA'!L59)</f>
        <v/>
      </c>
      <c r="D64" s="240"/>
      <c r="E64" s="241"/>
      <c r="F64" s="242" t="str">
        <f>IF('INPUT DATA'!M59="","",'INPUT DATA'!M59)</f>
        <v/>
      </c>
      <c r="G64" s="241"/>
      <c r="H64" s="50" t="str">
        <f>IF('INPUT DATA'!N59="","",'INPUT DATA'!N59)</f>
        <v/>
      </c>
      <c r="I64" s="51" t="str">
        <f t="shared" ca="1" si="0"/>
        <v/>
      </c>
      <c r="J64" s="52"/>
      <c r="K64" s="53"/>
      <c r="L64" s="54"/>
      <c r="M64" s="54"/>
      <c r="N64" s="54"/>
      <c r="O64" s="54"/>
      <c r="P64" s="54"/>
      <c r="Q64" s="54"/>
      <c r="R64" s="54"/>
      <c r="S64" s="4"/>
      <c r="T64" s="4"/>
      <c r="U64" s="4"/>
      <c r="V64" s="4"/>
      <c r="W64" s="4"/>
      <c r="X64" s="4"/>
      <c r="Y64" s="4"/>
      <c r="Z64" s="4"/>
      <c r="AA64" s="4"/>
      <c r="AB64" s="4"/>
      <c r="AC64" s="4"/>
    </row>
    <row r="65" spans="1:29" ht="15.75" customHeight="1" x14ac:dyDescent="0.25">
      <c r="A65" s="4"/>
      <c r="B65" s="75">
        <v>50</v>
      </c>
      <c r="C65" s="243" t="str">
        <f>IF('INPUT DATA'!L60="","",'INPUT DATA'!L60)</f>
        <v/>
      </c>
      <c r="D65" s="244"/>
      <c r="E65" s="245"/>
      <c r="F65" s="246" t="str">
        <f>IF('INPUT DATA'!M60="","",'INPUT DATA'!M60)</f>
        <v/>
      </c>
      <c r="G65" s="245"/>
      <c r="H65" s="76" t="str">
        <f>IF('INPUT DATA'!N60="","",'INPUT DATA'!N60)</f>
        <v/>
      </c>
      <c r="I65" s="77" t="str">
        <f t="shared" ca="1" si="0"/>
        <v/>
      </c>
      <c r="J65" s="78"/>
      <c r="K65" s="79"/>
      <c r="L65" s="80"/>
      <c r="M65" s="80"/>
      <c r="N65" s="80"/>
      <c r="O65" s="80"/>
      <c r="P65" s="80"/>
      <c r="Q65" s="80"/>
      <c r="R65" s="80"/>
      <c r="S65" s="4"/>
      <c r="T65" s="4"/>
      <c r="U65" s="4"/>
      <c r="V65" s="4"/>
      <c r="W65" s="4"/>
      <c r="X65" s="4"/>
      <c r="Y65" s="4"/>
      <c r="Z65" s="4"/>
      <c r="AA65" s="4"/>
      <c r="AB65" s="4"/>
      <c r="AC65" s="4"/>
    </row>
    <row r="66" spans="1:29" ht="15.75" customHeight="1" x14ac:dyDescent="0.25">
      <c r="A66" s="4"/>
      <c r="B66" s="81" t="s">
        <v>13</v>
      </c>
      <c r="C66" s="82"/>
      <c r="D66" s="82"/>
      <c r="E66" s="82"/>
      <c r="F66" s="82"/>
      <c r="G66" s="82"/>
      <c r="H66" s="82"/>
      <c r="I66" s="82"/>
      <c r="J66" s="83"/>
      <c r="K66" s="84"/>
      <c r="L66" s="84"/>
      <c r="M66" s="84"/>
      <c r="N66" s="84"/>
      <c r="O66" s="84"/>
      <c r="P66" s="84"/>
      <c r="Q66" s="84"/>
      <c r="R66" s="85"/>
      <c r="S66" s="4"/>
      <c r="T66" s="4"/>
      <c r="U66" s="4"/>
      <c r="V66" s="4"/>
      <c r="W66" s="4"/>
      <c r="X66" s="4"/>
      <c r="Y66" s="4"/>
      <c r="Z66" s="4"/>
      <c r="AA66" s="4"/>
      <c r="AB66" s="4"/>
      <c r="AC66" s="4"/>
    </row>
    <row r="67" spans="1:29" ht="15.75" customHeight="1" x14ac:dyDescent="0.25">
      <c r="A67" s="4"/>
      <c r="B67" s="40">
        <v>1</v>
      </c>
      <c r="C67" s="247" t="str">
        <f>IF('INPUT DATA'!Q11="","",'INPUT DATA'!Q11)</f>
        <v/>
      </c>
      <c r="D67" s="248"/>
      <c r="E67" s="249"/>
      <c r="F67" s="250" t="str">
        <f>IF('INPUT DATA'!T11="","",'INPUT DATA'!T11)</f>
        <v/>
      </c>
      <c r="G67" s="251"/>
      <c r="H67" s="86" t="str">
        <f>IF('INPUT DATA'!S11="","",'INPUT DATA'!S11)</f>
        <v/>
      </c>
      <c r="I67" s="51" t="str">
        <f t="shared" ref="I67:I116" ca="1" si="1">IF(H67="","",DATEDIF(H67,TODAY(),"Y"))</f>
        <v/>
      </c>
      <c r="J67" s="44" t="s">
        <v>46</v>
      </c>
      <c r="K67" s="46"/>
      <c r="L67" s="47"/>
      <c r="M67" s="47"/>
      <c r="N67" s="47"/>
      <c r="O67" s="47"/>
      <c r="P67" s="47"/>
      <c r="Q67" s="47"/>
      <c r="R67" s="47"/>
      <c r="S67" s="4"/>
      <c r="T67" s="4"/>
      <c r="U67" s="4"/>
      <c r="V67" s="4"/>
      <c r="W67" s="4"/>
      <c r="X67" s="4"/>
      <c r="Y67" s="4"/>
      <c r="Z67" s="4"/>
      <c r="AA67" s="4"/>
      <c r="AB67" s="4"/>
      <c r="AC67" s="4"/>
    </row>
    <row r="68" spans="1:29" ht="15.75" customHeight="1" x14ac:dyDescent="0.25">
      <c r="A68" s="4"/>
      <c r="B68" s="48">
        <v>2</v>
      </c>
      <c r="C68" s="252" t="str">
        <f>IF('INPUT DATA'!Q12="","",'INPUT DATA'!Q12)</f>
        <v/>
      </c>
      <c r="D68" s="253"/>
      <c r="E68" s="251"/>
      <c r="F68" s="250" t="str">
        <f>IF('INPUT DATA'!T12="","",'INPUT DATA'!T12)</f>
        <v/>
      </c>
      <c r="G68" s="251"/>
      <c r="H68" s="87" t="str">
        <f>IF('INPUT DATA'!S12="","",'INPUT DATA'!S12)</f>
        <v/>
      </c>
      <c r="I68" s="51" t="str">
        <f t="shared" ca="1" si="1"/>
        <v/>
      </c>
      <c r="J68" s="51" t="s">
        <v>46</v>
      </c>
      <c r="K68" s="53"/>
      <c r="L68" s="54"/>
      <c r="M68" s="54"/>
      <c r="N68" s="54"/>
      <c r="O68" s="54"/>
      <c r="P68" s="54"/>
      <c r="Q68" s="54"/>
      <c r="R68" s="54"/>
      <c r="S68" s="4"/>
      <c r="T68" s="4"/>
      <c r="U68" s="4"/>
      <c r="V68" s="4"/>
      <c r="W68" s="4"/>
      <c r="X68" s="4"/>
      <c r="Y68" s="4"/>
      <c r="Z68" s="4"/>
      <c r="AA68" s="4"/>
      <c r="AB68" s="4"/>
      <c r="AC68" s="4"/>
    </row>
    <row r="69" spans="1:29" ht="15.75" customHeight="1" x14ac:dyDescent="0.25">
      <c r="A69" s="4"/>
      <c r="B69" s="48">
        <v>3</v>
      </c>
      <c r="C69" s="252" t="str">
        <f>IF('INPUT DATA'!Q13="","",'INPUT DATA'!Q13)</f>
        <v/>
      </c>
      <c r="D69" s="253"/>
      <c r="E69" s="251"/>
      <c r="F69" s="250" t="str">
        <f>IF('INPUT DATA'!T13="","",'INPUT DATA'!T13)</f>
        <v/>
      </c>
      <c r="G69" s="251"/>
      <c r="H69" s="87" t="str">
        <f>IF('INPUT DATA'!S13="","",'INPUT DATA'!S13)</f>
        <v/>
      </c>
      <c r="I69" s="51" t="str">
        <f t="shared" ca="1" si="1"/>
        <v/>
      </c>
      <c r="J69" s="51" t="s">
        <v>46</v>
      </c>
      <c r="K69" s="53"/>
      <c r="L69" s="54"/>
      <c r="M69" s="54"/>
      <c r="N69" s="54"/>
      <c r="O69" s="54"/>
      <c r="P69" s="54"/>
      <c r="Q69" s="54"/>
      <c r="R69" s="54"/>
      <c r="S69" s="4"/>
      <c r="T69" s="4"/>
      <c r="U69" s="4"/>
      <c r="V69" s="4"/>
      <c r="W69" s="4"/>
      <c r="X69" s="4"/>
      <c r="Y69" s="4"/>
      <c r="Z69" s="4"/>
      <c r="AA69" s="4"/>
      <c r="AB69" s="4"/>
      <c r="AC69" s="4"/>
    </row>
    <row r="70" spans="1:29" ht="15.75" customHeight="1" x14ac:dyDescent="0.25">
      <c r="A70" s="4"/>
      <c r="B70" s="48">
        <v>4</v>
      </c>
      <c r="C70" s="252" t="str">
        <f>IF('INPUT DATA'!Q14="","",'INPUT DATA'!Q14)</f>
        <v/>
      </c>
      <c r="D70" s="253"/>
      <c r="E70" s="251"/>
      <c r="F70" s="250" t="str">
        <f>IF('INPUT DATA'!T14="","",'INPUT DATA'!T14)</f>
        <v/>
      </c>
      <c r="G70" s="251"/>
      <c r="H70" s="87" t="str">
        <f>IF('INPUT DATA'!S14="","",'INPUT DATA'!S14)</f>
        <v/>
      </c>
      <c r="I70" s="51" t="str">
        <f t="shared" ca="1" si="1"/>
        <v/>
      </c>
      <c r="J70" s="51"/>
      <c r="K70" s="53"/>
      <c r="L70" s="54"/>
      <c r="M70" s="54"/>
      <c r="N70" s="54"/>
      <c r="O70" s="54"/>
      <c r="P70" s="54"/>
      <c r="Q70" s="88"/>
      <c r="R70" s="54"/>
      <c r="S70" s="4"/>
      <c r="T70" s="4"/>
      <c r="U70" s="4"/>
      <c r="V70" s="4"/>
      <c r="W70" s="4"/>
      <c r="X70" s="4"/>
      <c r="Y70" s="4"/>
      <c r="Z70" s="4"/>
      <c r="AA70" s="4"/>
      <c r="AB70" s="4"/>
      <c r="AC70" s="4"/>
    </row>
    <row r="71" spans="1:29" ht="15.75" customHeight="1" x14ac:dyDescent="0.25">
      <c r="A71" s="4"/>
      <c r="B71" s="48">
        <v>5</v>
      </c>
      <c r="C71" s="252" t="str">
        <f>IF('INPUT DATA'!Q15="","",'INPUT DATA'!Q15)</f>
        <v/>
      </c>
      <c r="D71" s="253"/>
      <c r="E71" s="251"/>
      <c r="F71" s="250" t="str">
        <f>IF('INPUT DATA'!T15="","",'INPUT DATA'!T15)</f>
        <v/>
      </c>
      <c r="G71" s="251"/>
      <c r="H71" s="87" t="str">
        <f>IF('INPUT DATA'!S15="","",'INPUT DATA'!S15)</f>
        <v/>
      </c>
      <c r="I71" s="51" t="str">
        <f t="shared" ca="1" si="1"/>
        <v/>
      </c>
      <c r="J71" s="51"/>
      <c r="K71" s="53"/>
      <c r="L71" s="54"/>
      <c r="M71" s="54"/>
      <c r="N71" s="54"/>
      <c r="O71" s="54"/>
      <c r="P71" s="54"/>
      <c r="Q71" s="88"/>
      <c r="R71" s="54"/>
      <c r="S71" s="4"/>
      <c r="T71" s="4"/>
      <c r="U71" s="4"/>
      <c r="V71" s="4"/>
      <c r="W71" s="4"/>
      <c r="X71" s="4"/>
      <c r="Y71" s="4"/>
      <c r="Z71" s="4"/>
      <c r="AA71" s="4"/>
      <c r="AB71" s="4"/>
      <c r="AC71" s="4"/>
    </row>
    <row r="72" spans="1:29" ht="15.75" customHeight="1" x14ac:dyDescent="0.25">
      <c r="A72" s="4"/>
      <c r="B72" s="48">
        <v>6</v>
      </c>
      <c r="C72" s="252" t="str">
        <f>IF('INPUT DATA'!Q16="","",'INPUT DATA'!Q16)</f>
        <v/>
      </c>
      <c r="D72" s="253"/>
      <c r="E72" s="251"/>
      <c r="F72" s="250" t="str">
        <f>IF('INPUT DATA'!T16="","",'INPUT DATA'!T16)</f>
        <v/>
      </c>
      <c r="G72" s="251"/>
      <c r="H72" s="87" t="str">
        <f>IF('INPUT DATA'!S16="","",'INPUT DATA'!S16)</f>
        <v/>
      </c>
      <c r="I72" s="51" t="str">
        <f t="shared" ca="1" si="1"/>
        <v/>
      </c>
      <c r="J72" s="51"/>
      <c r="K72" s="53"/>
      <c r="L72" s="54"/>
      <c r="M72" s="54"/>
      <c r="N72" s="54"/>
      <c r="O72" s="54"/>
      <c r="P72" s="54"/>
      <c r="Q72" s="88"/>
      <c r="R72" s="54"/>
      <c r="S72" s="4"/>
      <c r="T72" s="4"/>
      <c r="U72" s="4"/>
      <c r="V72" s="4"/>
      <c r="W72" s="4"/>
      <c r="X72" s="4"/>
      <c r="Y72" s="4"/>
      <c r="Z72" s="4"/>
      <c r="AA72" s="4"/>
      <c r="AB72" s="4"/>
      <c r="AC72" s="4"/>
    </row>
    <row r="73" spans="1:29" ht="15.75" customHeight="1" x14ac:dyDescent="0.25">
      <c r="A73" s="4"/>
      <c r="B73" s="48">
        <v>7</v>
      </c>
      <c r="C73" s="252" t="str">
        <f>IF('INPUT DATA'!Q17="","",'INPUT DATA'!Q17)</f>
        <v/>
      </c>
      <c r="D73" s="253"/>
      <c r="E73" s="251"/>
      <c r="F73" s="250" t="str">
        <f>IF('INPUT DATA'!T17="","",'INPUT DATA'!T17)</f>
        <v/>
      </c>
      <c r="G73" s="251"/>
      <c r="H73" s="87" t="str">
        <f>IF('INPUT DATA'!S17="","",'INPUT DATA'!S17)</f>
        <v/>
      </c>
      <c r="I73" s="51" t="str">
        <f t="shared" ca="1" si="1"/>
        <v/>
      </c>
      <c r="J73" s="51"/>
      <c r="K73" s="53"/>
      <c r="L73" s="54"/>
      <c r="M73" s="54"/>
      <c r="N73" s="54"/>
      <c r="O73" s="54"/>
      <c r="P73" s="54"/>
      <c r="Q73" s="88"/>
      <c r="R73" s="54"/>
      <c r="S73" s="4"/>
      <c r="T73" s="4"/>
      <c r="U73" s="4"/>
      <c r="V73" s="4"/>
      <c r="W73" s="4"/>
      <c r="X73" s="4"/>
      <c r="Y73" s="4"/>
      <c r="Z73" s="4"/>
      <c r="AA73" s="4"/>
      <c r="AB73" s="4"/>
      <c r="AC73" s="4"/>
    </row>
    <row r="74" spans="1:29" ht="15.75" customHeight="1" x14ac:dyDescent="0.25">
      <c r="A74" s="4"/>
      <c r="B74" s="48">
        <v>8</v>
      </c>
      <c r="C74" s="252" t="str">
        <f>IF('INPUT DATA'!Q18="","",'INPUT DATA'!Q18)</f>
        <v/>
      </c>
      <c r="D74" s="253"/>
      <c r="E74" s="251"/>
      <c r="F74" s="250" t="str">
        <f>IF('INPUT DATA'!T18="","",'INPUT DATA'!T18)</f>
        <v/>
      </c>
      <c r="G74" s="251"/>
      <c r="H74" s="87" t="str">
        <f>IF('INPUT DATA'!S18="","",'INPUT DATA'!S18)</f>
        <v/>
      </c>
      <c r="I74" s="51" t="str">
        <f t="shared" ca="1" si="1"/>
        <v/>
      </c>
      <c r="J74" s="51"/>
      <c r="K74" s="53"/>
      <c r="L74" s="54"/>
      <c r="M74" s="54"/>
      <c r="N74" s="54"/>
      <c r="O74" s="54"/>
      <c r="P74" s="54"/>
      <c r="Q74" s="88"/>
      <c r="R74" s="54"/>
      <c r="S74" s="4"/>
      <c r="T74" s="4"/>
      <c r="U74" s="4"/>
      <c r="V74" s="4"/>
      <c r="W74" s="4"/>
      <c r="X74" s="4"/>
      <c r="Y74" s="4"/>
      <c r="Z74" s="4"/>
      <c r="AA74" s="4"/>
      <c r="AB74" s="4"/>
      <c r="AC74" s="4"/>
    </row>
    <row r="75" spans="1:29" ht="15.75" customHeight="1" x14ac:dyDescent="0.25">
      <c r="A75" s="4"/>
      <c r="B75" s="48">
        <v>9</v>
      </c>
      <c r="C75" s="252" t="str">
        <f>IF('INPUT DATA'!Q19="","",'INPUT DATA'!Q19)</f>
        <v/>
      </c>
      <c r="D75" s="253"/>
      <c r="E75" s="251"/>
      <c r="F75" s="250" t="str">
        <f>IF('INPUT DATA'!T19="","",'INPUT DATA'!T19)</f>
        <v/>
      </c>
      <c r="G75" s="251"/>
      <c r="H75" s="87" t="str">
        <f>IF('INPUT DATA'!S19="","",'INPUT DATA'!S19)</f>
        <v/>
      </c>
      <c r="I75" s="51" t="str">
        <f t="shared" ca="1" si="1"/>
        <v/>
      </c>
      <c r="J75" s="51"/>
      <c r="K75" s="53"/>
      <c r="L75" s="54"/>
      <c r="M75" s="54"/>
      <c r="N75" s="54"/>
      <c r="O75" s="54"/>
      <c r="P75" s="54"/>
      <c r="Q75" s="88"/>
      <c r="R75" s="54"/>
      <c r="S75" s="4"/>
      <c r="T75" s="4"/>
      <c r="U75" s="4"/>
      <c r="V75" s="4"/>
      <c r="W75" s="4"/>
      <c r="X75" s="4"/>
      <c r="Y75" s="4"/>
      <c r="Z75" s="4"/>
      <c r="AA75" s="4"/>
      <c r="AB75" s="4"/>
      <c r="AC75" s="4"/>
    </row>
    <row r="76" spans="1:29" ht="15.75" customHeight="1" x14ac:dyDescent="0.25">
      <c r="A76" s="4"/>
      <c r="B76" s="48">
        <v>10</v>
      </c>
      <c r="C76" s="252" t="str">
        <f>IF('INPUT DATA'!Q20="","",'INPUT DATA'!Q20)</f>
        <v/>
      </c>
      <c r="D76" s="253"/>
      <c r="E76" s="251"/>
      <c r="F76" s="250" t="str">
        <f>IF('INPUT DATA'!T20="","",'INPUT DATA'!T20)</f>
        <v/>
      </c>
      <c r="G76" s="251"/>
      <c r="H76" s="87" t="str">
        <f>IF('INPUT DATA'!S20="","",'INPUT DATA'!S20)</f>
        <v/>
      </c>
      <c r="I76" s="51" t="str">
        <f t="shared" ca="1" si="1"/>
        <v/>
      </c>
      <c r="J76" s="51"/>
      <c r="K76" s="53"/>
      <c r="L76" s="54"/>
      <c r="M76" s="54"/>
      <c r="N76" s="54"/>
      <c r="O76" s="54"/>
      <c r="P76" s="54"/>
      <c r="Q76" s="88"/>
      <c r="R76" s="54"/>
      <c r="S76" s="4"/>
      <c r="T76" s="4"/>
      <c r="U76" s="4"/>
      <c r="V76" s="4"/>
      <c r="W76" s="4"/>
      <c r="X76" s="4"/>
      <c r="Y76" s="4"/>
      <c r="Z76" s="4"/>
      <c r="AA76" s="4"/>
      <c r="AB76" s="4"/>
      <c r="AC76" s="4"/>
    </row>
    <row r="77" spans="1:29" ht="15.75" customHeight="1" x14ac:dyDescent="0.25">
      <c r="A77" s="4"/>
      <c r="B77" s="48">
        <v>11</v>
      </c>
      <c r="C77" s="252" t="str">
        <f>IF('INPUT DATA'!Q21="","",'INPUT DATA'!Q21)</f>
        <v/>
      </c>
      <c r="D77" s="253"/>
      <c r="E77" s="251"/>
      <c r="F77" s="250" t="str">
        <f>IF('INPUT DATA'!T21="","",'INPUT DATA'!T21)</f>
        <v/>
      </c>
      <c r="G77" s="251"/>
      <c r="H77" s="87" t="str">
        <f>IF('INPUT DATA'!S21="","",'INPUT DATA'!S21)</f>
        <v/>
      </c>
      <c r="I77" s="51" t="str">
        <f t="shared" ca="1" si="1"/>
        <v/>
      </c>
      <c r="J77" s="51"/>
      <c r="K77" s="53"/>
      <c r="L77" s="54"/>
      <c r="M77" s="54"/>
      <c r="N77" s="54"/>
      <c r="O77" s="54"/>
      <c r="P77" s="54"/>
      <c r="Q77" s="88"/>
      <c r="R77" s="54"/>
      <c r="S77" s="4"/>
      <c r="T77" s="4"/>
      <c r="U77" s="4"/>
      <c r="V77" s="4"/>
      <c r="W77" s="4"/>
      <c r="X77" s="4"/>
      <c r="Y77" s="4"/>
      <c r="Z77" s="4"/>
      <c r="AA77" s="4"/>
      <c r="AB77" s="4"/>
      <c r="AC77" s="4"/>
    </row>
    <row r="78" spans="1:29" ht="15.75" customHeight="1" x14ac:dyDescent="0.25">
      <c r="A78" s="4"/>
      <c r="B78" s="48">
        <v>12</v>
      </c>
      <c r="C78" s="252" t="str">
        <f>IF('INPUT DATA'!Q22="","",'INPUT DATA'!Q22)</f>
        <v/>
      </c>
      <c r="D78" s="253"/>
      <c r="E78" s="251"/>
      <c r="F78" s="250" t="str">
        <f>IF('INPUT DATA'!T22="","",'INPUT DATA'!T22)</f>
        <v/>
      </c>
      <c r="G78" s="251"/>
      <c r="H78" s="87" t="str">
        <f>IF('INPUT DATA'!S22="","",'INPUT DATA'!S22)</f>
        <v/>
      </c>
      <c r="I78" s="51" t="str">
        <f t="shared" ca="1" si="1"/>
        <v/>
      </c>
      <c r="J78" s="51"/>
      <c r="K78" s="53"/>
      <c r="L78" s="54"/>
      <c r="M78" s="54"/>
      <c r="N78" s="54"/>
      <c r="O78" s="54"/>
      <c r="P78" s="54"/>
      <c r="Q78" s="88"/>
      <c r="R78" s="54"/>
      <c r="S78" s="4"/>
      <c r="T78" s="4"/>
      <c r="U78" s="4"/>
      <c r="V78" s="4"/>
      <c r="W78" s="4"/>
      <c r="X78" s="4"/>
      <c r="Y78" s="4"/>
      <c r="Z78" s="4"/>
      <c r="AA78" s="4"/>
      <c r="AB78" s="4"/>
      <c r="AC78" s="4"/>
    </row>
    <row r="79" spans="1:29" ht="15.75" customHeight="1" x14ac:dyDescent="0.25">
      <c r="A79" s="4"/>
      <c r="B79" s="48">
        <v>13</v>
      </c>
      <c r="C79" s="252" t="str">
        <f>IF('INPUT DATA'!Q23="","",'INPUT DATA'!Q23)</f>
        <v/>
      </c>
      <c r="D79" s="253"/>
      <c r="E79" s="251"/>
      <c r="F79" s="250" t="str">
        <f>IF('INPUT DATA'!T23="","",'INPUT DATA'!T23)</f>
        <v/>
      </c>
      <c r="G79" s="251"/>
      <c r="H79" s="87" t="str">
        <f>IF('INPUT DATA'!S23="","",'INPUT DATA'!S23)</f>
        <v/>
      </c>
      <c r="I79" s="51" t="str">
        <f t="shared" ca="1" si="1"/>
        <v/>
      </c>
      <c r="J79" s="51"/>
      <c r="K79" s="53"/>
      <c r="L79" s="54"/>
      <c r="M79" s="54"/>
      <c r="N79" s="54"/>
      <c r="O79" s="54"/>
      <c r="P79" s="54"/>
      <c r="Q79" s="88"/>
      <c r="R79" s="54"/>
      <c r="S79" s="4"/>
      <c r="T79" s="4"/>
      <c r="U79" s="4"/>
      <c r="V79" s="4"/>
      <c r="W79" s="4"/>
      <c r="X79" s="4"/>
      <c r="Y79" s="4"/>
      <c r="Z79" s="4"/>
      <c r="AA79" s="4"/>
      <c r="AB79" s="4"/>
      <c r="AC79" s="4"/>
    </row>
    <row r="80" spans="1:29" ht="15.75" customHeight="1" x14ac:dyDescent="0.25">
      <c r="A80" s="4"/>
      <c r="B80" s="48">
        <v>14</v>
      </c>
      <c r="C80" s="252" t="str">
        <f>IF('INPUT DATA'!Q24="","",'INPUT DATA'!Q24)</f>
        <v/>
      </c>
      <c r="D80" s="253"/>
      <c r="E80" s="251"/>
      <c r="F80" s="250" t="str">
        <f>IF('INPUT DATA'!T24="","",'INPUT DATA'!T24)</f>
        <v/>
      </c>
      <c r="G80" s="251"/>
      <c r="H80" s="87" t="str">
        <f>IF('INPUT DATA'!S24="","",'INPUT DATA'!S24)</f>
        <v/>
      </c>
      <c r="I80" s="51" t="str">
        <f t="shared" ca="1" si="1"/>
        <v/>
      </c>
      <c r="J80" s="51"/>
      <c r="K80" s="53"/>
      <c r="L80" s="54"/>
      <c r="M80" s="54"/>
      <c r="N80" s="54"/>
      <c r="O80" s="54"/>
      <c r="P80" s="54"/>
      <c r="Q80" s="88"/>
      <c r="R80" s="54"/>
      <c r="S80" s="4"/>
      <c r="T80" s="4"/>
      <c r="U80" s="4"/>
      <c r="V80" s="4"/>
      <c r="W80" s="4"/>
      <c r="X80" s="4"/>
      <c r="Y80" s="4"/>
      <c r="Z80" s="4"/>
      <c r="AA80" s="4"/>
      <c r="AB80" s="4"/>
      <c r="AC80" s="4"/>
    </row>
    <row r="81" spans="1:29" ht="15.75" customHeight="1" x14ac:dyDescent="0.25">
      <c r="A81" s="4"/>
      <c r="B81" s="48">
        <v>15</v>
      </c>
      <c r="C81" s="252" t="str">
        <f>IF('INPUT DATA'!Q25="","",'INPUT DATA'!Q25)</f>
        <v/>
      </c>
      <c r="D81" s="253"/>
      <c r="E81" s="251"/>
      <c r="F81" s="250" t="str">
        <f>IF('INPUT DATA'!T25="","",'INPUT DATA'!T25)</f>
        <v/>
      </c>
      <c r="G81" s="251"/>
      <c r="H81" s="87" t="str">
        <f>IF('INPUT DATA'!S25="","",'INPUT DATA'!S25)</f>
        <v/>
      </c>
      <c r="I81" s="51" t="str">
        <f t="shared" ca="1" si="1"/>
        <v/>
      </c>
      <c r="J81" s="51"/>
      <c r="K81" s="53"/>
      <c r="L81" s="54"/>
      <c r="M81" s="54"/>
      <c r="N81" s="54"/>
      <c r="O81" s="54"/>
      <c r="P81" s="54"/>
      <c r="Q81" s="88"/>
      <c r="R81" s="54"/>
      <c r="S81" s="4"/>
      <c r="T81" s="4"/>
      <c r="U81" s="4"/>
      <c r="V81" s="4"/>
      <c r="W81" s="4"/>
      <c r="X81" s="4"/>
      <c r="Y81" s="4"/>
      <c r="Z81" s="4"/>
      <c r="AA81" s="4"/>
      <c r="AB81" s="4"/>
      <c r="AC81" s="4"/>
    </row>
    <row r="82" spans="1:29" ht="15.75" customHeight="1" x14ac:dyDescent="0.25">
      <c r="A82" s="4"/>
      <c r="B82" s="48">
        <v>16</v>
      </c>
      <c r="C82" s="252" t="str">
        <f>IF('INPUT DATA'!Q26="","",'INPUT DATA'!Q26)</f>
        <v/>
      </c>
      <c r="D82" s="253"/>
      <c r="E82" s="251"/>
      <c r="F82" s="250" t="str">
        <f>IF('INPUT DATA'!T26="","",'INPUT DATA'!T26)</f>
        <v/>
      </c>
      <c r="G82" s="251"/>
      <c r="H82" s="87" t="str">
        <f>IF('INPUT DATA'!S26="","",'INPUT DATA'!S26)</f>
        <v/>
      </c>
      <c r="I82" s="51" t="str">
        <f t="shared" ca="1" si="1"/>
        <v/>
      </c>
      <c r="J82" s="51"/>
      <c r="K82" s="53"/>
      <c r="L82" s="54"/>
      <c r="M82" s="54"/>
      <c r="N82" s="54"/>
      <c r="O82" s="54"/>
      <c r="P82" s="54"/>
      <c r="Q82" s="88"/>
      <c r="R82" s="54"/>
      <c r="S82" s="4"/>
      <c r="T82" s="4"/>
      <c r="U82" s="4"/>
      <c r="V82" s="4"/>
      <c r="W82" s="4"/>
      <c r="X82" s="4"/>
      <c r="Y82" s="4"/>
      <c r="Z82" s="4"/>
      <c r="AA82" s="4"/>
      <c r="AB82" s="4"/>
      <c r="AC82" s="4"/>
    </row>
    <row r="83" spans="1:29" ht="15.75" customHeight="1" x14ac:dyDescent="0.25">
      <c r="A83" s="4"/>
      <c r="B83" s="48">
        <v>17</v>
      </c>
      <c r="C83" s="252" t="str">
        <f>IF('INPUT DATA'!Q27="","",'INPUT DATA'!Q27)</f>
        <v/>
      </c>
      <c r="D83" s="253"/>
      <c r="E83" s="251"/>
      <c r="F83" s="250" t="str">
        <f>IF('INPUT DATA'!T27="","",'INPUT DATA'!T27)</f>
        <v/>
      </c>
      <c r="G83" s="251"/>
      <c r="H83" s="87" t="str">
        <f>IF('INPUT DATA'!S27="","",'INPUT DATA'!S27)</f>
        <v/>
      </c>
      <c r="I83" s="51" t="str">
        <f t="shared" ca="1" si="1"/>
        <v/>
      </c>
      <c r="J83" s="51"/>
      <c r="K83" s="53"/>
      <c r="L83" s="54"/>
      <c r="M83" s="54"/>
      <c r="N83" s="54"/>
      <c r="O83" s="54"/>
      <c r="P83" s="54"/>
      <c r="Q83" s="88"/>
      <c r="R83" s="54"/>
      <c r="S83" s="4"/>
      <c r="T83" s="4"/>
      <c r="U83" s="4"/>
      <c r="V83" s="4"/>
      <c r="W83" s="4"/>
      <c r="X83" s="4"/>
      <c r="Y83" s="4"/>
      <c r="Z83" s="4"/>
      <c r="AA83" s="4"/>
      <c r="AB83" s="4"/>
      <c r="AC83" s="4"/>
    </row>
    <row r="84" spans="1:29" ht="15.75" customHeight="1" x14ac:dyDescent="0.25">
      <c r="A84" s="4"/>
      <c r="B84" s="48">
        <v>18</v>
      </c>
      <c r="C84" s="252" t="str">
        <f>IF('INPUT DATA'!Q28="","",'INPUT DATA'!Q28)</f>
        <v/>
      </c>
      <c r="D84" s="253"/>
      <c r="E84" s="251"/>
      <c r="F84" s="250" t="str">
        <f>IF('INPUT DATA'!T28="","",'INPUT DATA'!T28)</f>
        <v/>
      </c>
      <c r="G84" s="251"/>
      <c r="H84" s="87" t="str">
        <f>IF('INPUT DATA'!S28="","",'INPUT DATA'!S28)</f>
        <v/>
      </c>
      <c r="I84" s="51" t="str">
        <f t="shared" ca="1" si="1"/>
        <v/>
      </c>
      <c r="J84" s="51"/>
      <c r="K84" s="53"/>
      <c r="L84" s="54"/>
      <c r="M84" s="54"/>
      <c r="N84" s="54"/>
      <c r="O84" s="54"/>
      <c r="P84" s="54"/>
      <c r="Q84" s="88"/>
      <c r="R84" s="54"/>
      <c r="S84" s="4"/>
      <c r="T84" s="4"/>
      <c r="U84" s="4"/>
      <c r="V84" s="4"/>
      <c r="W84" s="4"/>
      <c r="X84" s="4"/>
      <c r="Y84" s="4"/>
      <c r="Z84" s="4"/>
      <c r="AA84" s="4"/>
      <c r="AB84" s="4"/>
      <c r="AC84" s="4"/>
    </row>
    <row r="85" spans="1:29" ht="15.75" customHeight="1" x14ac:dyDescent="0.25">
      <c r="A85" s="4"/>
      <c r="B85" s="48">
        <v>19</v>
      </c>
      <c r="C85" s="252" t="str">
        <f>IF('INPUT DATA'!Q29="","",'INPUT DATA'!Q29)</f>
        <v/>
      </c>
      <c r="D85" s="253"/>
      <c r="E85" s="251"/>
      <c r="F85" s="250" t="str">
        <f>IF('INPUT DATA'!T29="","",'INPUT DATA'!T29)</f>
        <v/>
      </c>
      <c r="G85" s="251"/>
      <c r="H85" s="87" t="str">
        <f>IF('INPUT DATA'!S29="","",'INPUT DATA'!S29)</f>
        <v/>
      </c>
      <c r="I85" s="51" t="str">
        <f t="shared" ca="1" si="1"/>
        <v/>
      </c>
      <c r="J85" s="51"/>
      <c r="K85" s="53"/>
      <c r="L85" s="54"/>
      <c r="M85" s="54"/>
      <c r="N85" s="54"/>
      <c r="O85" s="54"/>
      <c r="P85" s="54"/>
      <c r="Q85" s="88"/>
      <c r="R85" s="54"/>
      <c r="S85" s="4"/>
      <c r="T85" s="4"/>
      <c r="U85" s="4"/>
      <c r="V85" s="4"/>
      <c r="W85" s="4"/>
      <c r="X85" s="4"/>
      <c r="Y85" s="4"/>
      <c r="Z85" s="4"/>
      <c r="AA85" s="4"/>
      <c r="AB85" s="4"/>
      <c r="AC85" s="4"/>
    </row>
    <row r="86" spans="1:29" ht="15.75" customHeight="1" x14ac:dyDescent="0.25">
      <c r="A86" s="4"/>
      <c r="B86" s="70">
        <v>20</v>
      </c>
      <c r="C86" s="252" t="str">
        <f>IF('INPUT DATA'!Q30="","",'INPUT DATA'!Q30)</f>
        <v/>
      </c>
      <c r="D86" s="253"/>
      <c r="E86" s="251"/>
      <c r="F86" s="250" t="str">
        <f>IF('INPUT DATA'!T30="","",'INPUT DATA'!T30)</f>
        <v/>
      </c>
      <c r="G86" s="251"/>
      <c r="H86" s="87" t="str">
        <f>IF('INPUT DATA'!S30="","",'INPUT DATA'!S30)</f>
        <v/>
      </c>
      <c r="I86" s="51" t="str">
        <f t="shared" ca="1" si="1"/>
        <v/>
      </c>
      <c r="J86" s="51"/>
      <c r="K86" s="71"/>
      <c r="L86" s="72"/>
      <c r="M86" s="72"/>
      <c r="N86" s="72"/>
      <c r="O86" s="72"/>
      <c r="P86" s="72"/>
      <c r="Q86" s="89"/>
      <c r="R86" s="72"/>
      <c r="S86" s="4"/>
      <c r="T86" s="4"/>
      <c r="U86" s="4"/>
      <c r="V86" s="4"/>
      <c r="W86" s="4"/>
      <c r="X86" s="4"/>
      <c r="Y86" s="4"/>
      <c r="Z86" s="4"/>
      <c r="AA86" s="4"/>
      <c r="AB86" s="4"/>
      <c r="AC86" s="4"/>
    </row>
    <row r="87" spans="1:29" ht="15.75" customHeight="1" x14ac:dyDescent="0.25">
      <c r="A87" s="4"/>
      <c r="B87" s="70">
        <v>21</v>
      </c>
      <c r="C87" s="252" t="str">
        <f>IF('INPUT DATA'!Q31="","",'INPUT DATA'!Q31)</f>
        <v/>
      </c>
      <c r="D87" s="253"/>
      <c r="E87" s="251"/>
      <c r="F87" s="250" t="str">
        <f>IF('INPUT DATA'!T31="","",'INPUT DATA'!T31)</f>
        <v/>
      </c>
      <c r="G87" s="251"/>
      <c r="H87" s="87" t="str">
        <f>IF('INPUT DATA'!S31="","",'INPUT DATA'!S31)</f>
        <v/>
      </c>
      <c r="I87" s="51" t="str">
        <f t="shared" ca="1" si="1"/>
        <v/>
      </c>
      <c r="J87" s="51"/>
      <c r="K87" s="53"/>
      <c r="L87" s="54"/>
      <c r="M87" s="54"/>
      <c r="N87" s="54"/>
      <c r="O87" s="54"/>
      <c r="P87" s="54"/>
      <c r="Q87" s="88"/>
      <c r="R87" s="54"/>
      <c r="S87" s="4"/>
      <c r="T87" s="4"/>
      <c r="U87" s="4"/>
      <c r="V87" s="4"/>
      <c r="W87" s="4"/>
      <c r="X87" s="4"/>
      <c r="Y87" s="4"/>
      <c r="Z87" s="4"/>
      <c r="AA87" s="4"/>
      <c r="AB87" s="4"/>
      <c r="AC87" s="4"/>
    </row>
    <row r="88" spans="1:29" ht="15.75" customHeight="1" x14ac:dyDescent="0.25">
      <c r="A88" s="4"/>
      <c r="B88" s="70">
        <v>22</v>
      </c>
      <c r="C88" s="252" t="str">
        <f>IF('INPUT DATA'!Q32="","",'INPUT DATA'!Q32)</f>
        <v/>
      </c>
      <c r="D88" s="253"/>
      <c r="E88" s="251"/>
      <c r="F88" s="250" t="str">
        <f>IF('INPUT DATA'!T32="","",'INPUT DATA'!T32)</f>
        <v/>
      </c>
      <c r="G88" s="251"/>
      <c r="H88" s="87" t="str">
        <f>IF('INPUT DATA'!S32="","",'INPUT DATA'!S32)</f>
        <v/>
      </c>
      <c r="I88" s="51" t="str">
        <f t="shared" ca="1" si="1"/>
        <v/>
      </c>
      <c r="J88" s="51"/>
      <c r="K88" s="53"/>
      <c r="L88" s="54"/>
      <c r="M88" s="54"/>
      <c r="N88" s="54"/>
      <c r="O88" s="54"/>
      <c r="P88" s="54"/>
      <c r="Q88" s="88"/>
      <c r="R88" s="54"/>
      <c r="S88" s="4"/>
      <c r="T88" s="4"/>
      <c r="U88" s="4"/>
      <c r="V88" s="4"/>
      <c r="W88" s="4"/>
      <c r="X88" s="4"/>
      <c r="Y88" s="4"/>
      <c r="Z88" s="4"/>
      <c r="AA88" s="4"/>
      <c r="AB88" s="4"/>
      <c r="AC88" s="4"/>
    </row>
    <row r="89" spans="1:29" ht="15.75" customHeight="1" x14ac:dyDescent="0.25">
      <c r="A89" s="4"/>
      <c r="B89" s="70">
        <v>23</v>
      </c>
      <c r="C89" s="252" t="str">
        <f>IF('INPUT DATA'!Q33="","",'INPUT DATA'!Q33)</f>
        <v/>
      </c>
      <c r="D89" s="253"/>
      <c r="E89" s="251"/>
      <c r="F89" s="250" t="str">
        <f>IF('INPUT DATA'!T33="","",'INPUT DATA'!T33)</f>
        <v/>
      </c>
      <c r="G89" s="251"/>
      <c r="H89" s="87" t="str">
        <f>IF('INPUT DATA'!S33="","",'INPUT DATA'!S33)</f>
        <v/>
      </c>
      <c r="I89" s="51" t="str">
        <f t="shared" ca="1" si="1"/>
        <v/>
      </c>
      <c r="J89" s="51"/>
      <c r="K89" s="53"/>
      <c r="L89" s="54"/>
      <c r="M89" s="54"/>
      <c r="N89" s="54"/>
      <c r="O89" s="54"/>
      <c r="P89" s="54"/>
      <c r="Q89" s="88"/>
      <c r="R89" s="54"/>
      <c r="S89" s="4"/>
      <c r="T89" s="4"/>
      <c r="U89" s="4"/>
      <c r="V89" s="4"/>
      <c r="W89" s="4"/>
      <c r="X89" s="4"/>
      <c r="Y89" s="4"/>
      <c r="Z89" s="4"/>
      <c r="AA89" s="4"/>
      <c r="AB89" s="4"/>
      <c r="AC89" s="4"/>
    </row>
    <row r="90" spans="1:29" ht="15.75" customHeight="1" x14ac:dyDescent="0.25">
      <c r="A90" s="4"/>
      <c r="B90" s="70">
        <v>24</v>
      </c>
      <c r="C90" s="252" t="str">
        <f>IF('INPUT DATA'!Q34="","",'INPUT DATA'!Q34)</f>
        <v/>
      </c>
      <c r="D90" s="253"/>
      <c r="E90" s="251"/>
      <c r="F90" s="250" t="str">
        <f>IF('INPUT DATA'!T34="","",'INPUT DATA'!T34)</f>
        <v/>
      </c>
      <c r="G90" s="251"/>
      <c r="H90" s="87" t="str">
        <f>IF('INPUT DATA'!S34="","",'INPUT DATA'!S34)</f>
        <v/>
      </c>
      <c r="I90" s="51" t="str">
        <f t="shared" ca="1" si="1"/>
        <v/>
      </c>
      <c r="J90" s="51"/>
      <c r="K90" s="53"/>
      <c r="L90" s="54"/>
      <c r="M90" s="54"/>
      <c r="N90" s="54"/>
      <c r="O90" s="54"/>
      <c r="P90" s="54"/>
      <c r="Q90" s="88"/>
      <c r="R90" s="54"/>
      <c r="S90" s="4"/>
      <c r="T90" s="4"/>
      <c r="U90" s="4"/>
      <c r="V90" s="4"/>
      <c r="W90" s="4"/>
      <c r="X90" s="4"/>
      <c r="Y90" s="4"/>
      <c r="Z90" s="4"/>
      <c r="AA90" s="4"/>
      <c r="AB90" s="4"/>
      <c r="AC90" s="4"/>
    </row>
    <row r="91" spans="1:29" ht="15.75" customHeight="1" x14ac:dyDescent="0.25">
      <c r="A91" s="4"/>
      <c r="B91" s="70">
        <v>25</v>
      </c>
      <c r="C91" s="252" t="str">
        <f>IF('INPUT DATA'!Q35="","",'INPUT DATA'!Q35)</f>
        <v/>
      </c>
      <c r="D91" s="253"/>
      <c r="E91" s="251"/>
      <c r="F91" s="250" t="str">
        <f>IF('INPUT DATA'!T35="","",'INPUT DATA'!T35)</f>
        <v/>
      </c>
      <c r="G91" s="251"/>
      <c r="H91" s="87" t="str">
        <f>IF('INPUT DATA'!S35="","",'INPUT DATA'!S35)</f>
        <v/>
      </c>
      <c r="I91" s="51" t="str">
        <f t="shared" ca="1" si="1"/>
        <v/>
      </c>
      <c r="J91" s="51"/>
      <c r="K91" s="53"/>
      <c r="L91" s="54"/>
      <c r="M91" s="54"/>
      <c r="N91" s="54"/>
      <c r="O91" s="54"/>
      <c r="P91" s="54"/>
      <c r="Q91" s="88"/>
      <c r="R91" s="54"/>
      <c r="S91" s="4"/>
      <c r="T91" s="4"/>
      <c r="U91" s="4"/>
      <c r="V91" s="4"/>
      <c r="W91" s="4"/>
      <c r="X91" s="4"/>
      <c r="Y91" s="4"/>
      <c r="Z91" s="4"/>
      <c r="AA91" s="4"/>
      <c r="AB91" s="4"/>
      <c r="AC91" s="4"/>
    </row>
    <row r="92" spans="1:29" ht="15.75" customHeight="1" x14ac:dyDescent="0.25">
      <c r="A92" s="4"/>
      <c r="B92" s="70">
        <v>26</v>
      </c>
      <c r="C92" s="252" t="str">
        <f>IF('INPUT DATA'!Q36="","",'INPUT DATA'!Q36)</f>
        <v/>
      </c>
      <c r="D92" s="253"/>
      <c r="E92" s="251"/>
      <c r="F92" s="250" t="str">
        <f>IF('INPUT DATA'!T36="","",'INPUT DATA'!T36)</f>
        <v/>
      </c>
      <c r="G92" s="251"/>
      <c r="H92" s="87" t="str">
        <f>IF('INPUT DATA'!S36="","",'INPUT DATA'!S36)</f>
        <v/>
      </c>
      <c r="I92" s="51" t="str">
        <f t="shared" ca="1" si="1"/>
        <v/>
      </c>
      <c r="J92" s="51"/>
      <c r="K92" s="53"/>
      <c r="L92" s="54"/>
      <c r="M92" s="54"/>
      <c r="N92" s="54"/>
      <c r="O92" s="54"/>
      <c r="P92" s="54"/>
      <c r="Q92" s="88"/>
      <c r="R92" s="54"/>
      <c r="S92" s="4"/>
      <c r="T92" s="4"/>
      <c r="U92" s="4"/>
      <c r="V92" s="4"/>
      <c r="W92" s="4"/>
      <c r="X92" s="4"/>
      <c r="Y92" s="4"/>
      <c r="Z92" s="4"/>
      <c r="AA92" s="4"/>
      <c r="AB92" s="4"/>
      <c r="AC92" s="4"/>
    </row>
    <row r="93" spans="1:29" ht="15.75" customHeight="1" x14ac:dyDescent="0.25">
      <c r="A93" s="4"/>
      <c r="B93" s="70">
        <v>27</v>
      </c>
      <c r="C93" s="252" t="str">
        <f>IF('INPUT DATA'!Q37="","",'INPUT DATA'!Q37)</f>
        <v/>
      </c>
      <c r="D93" s="253"/>
      <c r="E93" s="251"/>
      <c r="F93" s="250" t="str">
        <f>IF('INPUT DATA'!T37="","",'INPUT DATA'!T37)</f>
        <v/>
      </c>
      <c r="G93" s="251"/>
      <c r="H93" s="87" t="str">
        <f>IF('INPUT DATA'!S37="","",'INPUT DATA'!S37)</f>
        <v/>
      </c>
      <c r="I93" s="51" t="str">
        <f t="shared" ca="1" si="1"/>
        <v/>
      </c>
      <c r="J93" s="51"/>
      <c r="K93" s="53"/>
      <c r="L93" s="54"/>
      <c r="M93" s="54"/>
      <c r="N93" s="54"/>
      <c r="O93" s="54"/>
      <c r="P93" s="54"/>
      <c r="Q93" s="88"/>
      <c r="R93" s="54"/>
      <c r="S93" s="4"/>
      <c r="T93" s="4"/>
      <c r="U93" s="4"/>
      <c r="V93" s="4"/>
      <c r="W93" s="4"/>
      <c r="X93" s="4"/>
      <c r="Y93" s="4"/>
      <c r="Z93" s="4"/>
      <c r="AA93" s="4"/>
      <c r="AB93" s="4"/>
      <c r="AC93" s="4"/>
    </row>
    <row r="94" spans="1:29" ht="15.75" customHeight="1" x14ac:dyDescent="0.25">
      <c r="A94" s="4"/>
      <c r="B94" s="70">
        <v>28</v>
      </c>
      <c r="C94" s="252" t="str">
        <f>IF('INPUT DATA'!Q38="","",'INPUT DATA'!Q38)</f>
        <v/>
      </c>
      <c r="D94" s="253"/>
      <c r="E94" s="251"/>
      <c r="F94" s="250" t="str">
        <f>IF('INPUT DATA'!T38="","",'INPUT DATA'!T38)</f>
        <v/>
      </c>
      <c r="G94" s="251"/>
      <c r="H94" s="87" t="str">
        <f>IF('INPUT DATA'!S38="","",'INPUT DATA'!S38)</f>
        <v/>
      </c>
      <c r="I94" s="51" t="str">
        <f t="shared" ca="1" si="1"/>
        <v/>
      </c>
      <c r="J94" s="51"/>
      <c r="K94" s="53"/>
      <c r="L94" s="54"/>
      <c r="M94" s="54"/>
      <c r="N94" s="54"/>
      <c r="O94" s="54"/>
      <c r="P94" s="54"/>
      <c r="Q94" s="88"/>
      <c r="R94" s="54"/>
      <c r="S94" s="4"/>
      <c r="T94" s="4"/>
      <c r="U94" s="4"/>
      <c r="V94" s="4"/>
      <c r="W94" s="4"/>
      <c r="X94" s="4"/>
      <c r="Y94" s="4"/>
      <c r="Z94" s="4"/>
      <c r="AA94" s="4"/>
      <c r="AB94" s="4"/>
      <c r="AC94" s="4"/>
    </row>
    <row r="95" spans="1:29" ht="15.75" customHeight="1" x14ac:dyDescent="0.25">
      <c r="A95" s="4"/>
      <c r="B95" s="70">
        <v>29</v>
      </c>
      <c r="C95" s="252" t="str">
        <f>IF('INPUT DATA'!Q39="","",'INPUT DATA'!Q39)</f>
        <v/>
      </c>
      <c r="D95" s="253"/>
      <c r="E95" s="251"/>
      <c r="F95" s="250" t="str">
        <f>IF('INPUT DATA'!T39="","",'INPUT DATA'!T39)</f>
        <v/>
      </c>
      <c r="G95" s="251"/>
      <c r="H95" s="87" t="str">
        <f>IF('INPUT DATA'!S39="","",'INPUT DATA'!S39)</f>
        <v/>
      </c>
      <c r="I95" s="51" t="str">
        <f t="shared" ca="1" si="1"/>
        <v/>
      </c>
      <c r="J95" s="51"/>
      <c r="K95" s="53"/>
      <c r="L95" s="54"/>
      <c r="M95" s="54"/>
      <c r="N95" s="54"/>
      <c r="O95" s="54"/>
      <c r="P95" s="54"/>
      <c r="Q95" s="88"/>
      <c r="R95" s="54"/>
      <c r="S95" s="4"/>
      <c r="T95" s="4"/>
      <c r="U95" s="4"/>
      <c r="V95" s="4"/>
      <c r="W95" s="4"/>
      <c r="X95" s="4"/>
      <c r="Y95" s="4"/>
      <c r="Z95" s="4"/>
      <c r="AA95" s="4"/>
      <c r="AB95" s="4"/>
      <c r="AC95" s="4"/>
    </row>
    <row r="96" spans="1:29" ht="15.75" customHeight="1" x14ac:dyDescent="0.25">
      <c r="A96" s="4"/>
      <c r="B96" s="70">
        <v>30</v>
      </c>
      <c r="C96" s="252" t="str">
        <f>IF('INPUT DATA'!Q40="","",'INPUT DATA'!Q40)</f>
        <v/>
      </c>
      <c r="D96" s="253"/>
      <c r="E96" s="251"/>
      <c r="F96" s="250" t="str">
        <f>IF('INPUT DATA'!T40="","",'INPUT DATA'!T40)</f>
        <v/>
      </c>
      <c r="G96" s="251"/>
      <c r="H96" s="87" t="str">
        <f>IF('INPUT DATA'!S40="","",'INPUT DATA'!S40)</f>
        <v/>
      </c>
      <c r="I96" s="51" t="str">
        <f t="shared" ca="1" si="1"/>
        <v/>
      </c>
      <c r="J96" s="51"/>
      <c r="K96" s="53"/>
      <c r="L96" s="54"/>
      <c r="M96" s="54"/>
      <c r="N96" s="54"/>
      <c r="O96" s="54"/>
      <c r="P96" s="54"/>
      <c r="Q96" s="88"/>
      <c r="R96" s="54"/>
      <c r="S96" s="4"/>
      <c r="T96" s="4"/>
      <c r="U96" s="4"/>
      <c r="V96" s="4"/>
      <c r="W96" s="4"/>
      <c r="X96" s="4"/>
      <c r="Y96" s="4"/>
      <c r="Z96" s="4"/>
      <c r="AA96" s="4"/>
      <c r="AB96" s="4"/>
      <c r="AC96" s="4"/>
    </row>
    <row r="97" spans="1:29" ht="15.75" customHeight="1" x14ac:dyDescent="0.25">
      <c r="A97" s="4"/>
      <c r="B97" s="70">
        <v>31</v>
      </c>
      <c r="C97" s="252" t="str">
        <f>IF('INPUT DATA'!Q41="","",'INPUT DATA'!Q41)</f>
        <v/>
      </c>
      <c r="D97" s="253"/>
      <c r="E97" s="251"/>
      <c r="F97" s="250" t="str">
        <f>IF('INPUT DATA'!T41="","",'INPUT DATA'!T41)</f>
        <v/>
      </c>
      <c r="G97" s="251"/>
      <c r="H97" s="87" t="str">
        <f>IF('INPUT DATA'!S41="","",'INPUT DATA'!S41)</f>
        <v/>
      </c>
      <c r="I97" s="51" t="str">
        <f t="shared" ca="1" si="1"/>
        <v/>
      </c>
      <c r="J97" s="51"/>
      <c r="K97" s="53"/>
      <c r="L97" s="54"/>
      <c r="M97" s="54"/>
      <c r="N97" s="54"/>
      <c r="O97" s="54"/>
      <c r="P97" s="54"/>
      <c r="Q97" s="88"/>
      <c r="R97" s="54"/>
      <c r="S97" s="4"/>
      <c r="T97" s="4"/>
      <c r="U97" s="4"/>
      <c r="V97" s="4"/>
      <c r="W97" s="4"/>
      <c r="X97" s="4"/>
      <c r="Y97" s="4"/>
      <c r="Z97" s="4"/>
      <c r="AA97" s="4"/>
      <c r="AB97" s="4"/>
      <c r="AC97" s="4"/>
    </row>
    <row r="98" spans="1:29" ht="15.75" customHeight="1" x14ac:dyDescent="0.25">
      <c r="A98" s="4"/>
      <c r="B98" s="70">
        <v>32</v>
      </c>
      <c r="C98" s="252" t="str">
        <f>IF('INPUT DATA'!Q42="","",'INPUT DATA'!Q42)</f>
        <v/>
      </c>
      <c r="D98" s="253"/>
      <c r="E98" s="251"/>
      <c r="F98" s="250" t="str">
        <f>IF('INPUT DATA'!T42="","",'INPUT DATA'!T42)</f>
        <v/>
      </c>
      <c r="G98" s="251"/>
      <c r="H98" s="87" t="str">
        <f>IF('INPUT DATA'!S42="","",'INPUT DATA'!S42)</f>
        <v/>
      </c>
      <c r="I98" s="51" t="str">
        <f t="shared" ca="1" si="1"/>
        <v/>
      </c>
      <c r="J98" s="51"/>
      <c r="K98" s="53"/>
      <c r="L98" s="54"/>
      <c r="M98" s="54"/>
      <c r="N98" s="54"/>
      <c r="O98" s="54"/>
      <c r="P98" s="54"/>
      <c r="Q98" s="88"/>
      <c r="R98" s="54"/>
      <c r="S98" s="4"/>
      <c r="T98" s="4"/>
      <c r="U98" s="4"/>
      <c r="V98" s="4"/>
      <c r="W98" s="4"/>
      <c r="X98" s="4"/>
      <c r="Y98" s="4"/>
      <c r="Z98" s="4"/>
      <c r="AA98" s="4"/>
      <c r="AB98" s="4"/>
      <c r="AC98" s="4"/>
    </row>
    <row r="99" spans="1:29" ht="15.75" customHeight="1" x14ac:dyDescent="0.25">
      <c r="A99" s="4"/>
      <c r="B99" s="70">
        <v>33</v>
      </c>
      <c r="C99" s="252" t="str">
        <f>IF('INPUT DATA'!Q43="","",'INPUT DATA'!Q43)</f>
        <v/>
      </c>
      <c r="D99" s="253"/>
      <c r="E99" s="251"/>
      <c r="F99" s="250" t="str">
        <f>IF('INPUT DATA'!T43="","",'INPUT DATA'!T43)</f>
        <v/>
      </c>
      <c r="G99" s="251"/>
      <c r="H99" s="87" t="str">
        <f>IF('INPUT DATA'!S43="","",'INPUT DATA'!S43)</f>
        <v/>
      </c>
      <c r="I99" s="51" t="str">
        <f t="shared" ca="1" si="1"/>
        <v/>
      </c>
      <c r="J99" s="51"/>
      <c r="K99" s="53"/>
      <c r="L99" s="54"/>
      <c r="M99" s="54"/>
      <c r="N99" s="54"/>
      <c r="O99" s="54"/>
      <c r="P99" s="54"/>
      <c r="Q99" s="88"/>
      <c r="R99" s="54"/>
      <c r="S99" s="4"/>
      <c r="T99" s="4"/>
      <c r="U99" s="4"/>
      <c r="V99" s="4"/>
      <c r="W99" s="4"/>
      <c r="X99" s="4"/>
      <c r="Y99" s="4"/>
      <c r="Z99" s="4"/>
      <c r="AA99" s="4"/>
      <c r="AB99" s="4"/>
      <c r="AC99" s="4"/>
    </row>
    <row r="100" spans="1:29" ht="15.75" customHeight="1" x14ac:dyDescent="0.25">
      <c r="A100" s="4"/>
      <c r="B100" s="70">
        <v>34</v>
      </c>
      <c r="C100" s="252" t="str">
        <f>IF('INPUT DATA'!Q44="","",'INPUT DATA'!Q44)</f>
        <v/>
      </c>
      <c r="D100" s="253"/>
      <c r="E100" s="251"/>
      <c r="F100" s="250" t="str">
        <f>IF('INPUT DATA'!T44="","",'INPUT DATA'!T44)</f>
        <v/>
      </c>
      <c r="G100" s="251"/>
      <c r="H100" s="87" t="str">
        <f>IF('INPUT DATA'!S44="","",'INPUT DATA'!S44)</f>
        <v/>
      </c>
      <c r="I100" s="51" t="str">
        <f t="shared" ca="1" si="1"/>
        <v/>
      </c>
      <c r="J100" s="51"/>
      <c r="K100" s="53"/>
      <c r="L100" s="54"/>
      <c r="M100" s="54"/>
      <c r="N100" s="54"/>
      <c r="O100" s="54"/>
      <c r="P100" s="54"/>
      <c r="Q100" s="88"/>
      <c r="R100" s="54"/>
      <c r="S100" s="4"/>
      <c r="T100" s="4"/>
      <c r="U100" s="4"/>
      <c r="V100" s="4"/>
      <c r="W100" s="4"/>
      <c r="X100" s="4"/>
      <c r="Y100" s="4"/>
      <c r="Z100" s="4"/>
      <c r="AA100" s="4"/>
      <c r="AB100" s="4"/>
      <c r="AC100" s="4"/>
    </row>
    <row r="101" spans="1:29" ht="15.75" customHeight="1" x14ac:dyDescent="0.25">
      <c r="A101" s="4"/>
      <c r="B101" s="70">
        <v>35</v>
      </c>
      <c r="C101" s="252" t="str">
        <f>IF('INPUT DATA'!Q45="","",'INPUT DATA'!Q45)</f>
        <v/>
      </c>
      <c r="D101" s="253"/>
      <c r="E101" s="251"/>
      <c r="F101" s="250" t="str">
        <f>IF('INPUT DATA'!T45="","",'INPUT DATA'!T45)</f>
        <v/>
      </c>
      <c r="G101" s="251"/>
      <c r="H101" s="87" t="str">
        <f>IF('INPUT DATA'!S45="","",'INPUT DATA'!S45)</f>
        <v/>
      </c>
      <c r="I101" s="51" t="str">
        <f t="shared" ca="1" si="1"/>
        <v/>
      </c>
      <c r="J101" s="51"/>
      <c r="K101" s="53"/>
      <c r="L101" s="54"/>
      <c r="M101" s="54"/>
      <c r="N101" s="54"/>
      <c r="O101" s="54"/>
      <c r="P101" s="54"/>
      <c r="Q101" s="88"/>
      <c r="R101" s="54"/>
      <c r="S101" s="4"/>
      <c r="T101" s="4"/>
      <c r="U101" s="4"/>
      <c r="V101" s="4"/>
      <c r="W101" s="4"/>
      <c r="X101" s="4"/>
      <c r="Y101" s="4"/>
      <c r="Z101" s="4"/>
      <c r="AA101" s="4"/>
      <c r="AB101" s="4"/>
      <c r="AC101" s="4"/>
    </row>
    <row r="102" spans="1:29" ht="15.75" customHeight="1" x14ac:dyDescent="0.25">
      <c r="A102" s="4"/>
      <c r="B102" s="70">
        <v>36</v>
      </c>
      <c r="C102" s="252" t="str">
        <f>IF('INPUT DATA'!Q46="","",'INPUT DATA'!Q46)</f>
        <v/>
      </c>
      <c r="D102" s="253"/>
      <c r="E102" s="251"/>
      <c r="F102" s="250" t="str">
        <f>IF('INPUT DATA'!T46="","",'INPUT DATA'!T46)</f>
        <v/>
      </c>
      <c r="G102" s="251"/>
      <c r="H102" s="87" t="str">
        <f>IF('INPUT DATA'!S46="","",'INPUT DATA'!S46)</f>
        <v/>
      </c>
      <c r="I102" s="51" t="str">
        <f t="shared" ca="1" si="1"/>
        <v/>
      </c>
      <c r="J102" s="51"/>
      <c r="K102" s="53"/>
      <c r="L102" s="54"/>
      <c r="M102" s="54"/>
      <c r="N102" s="54"/>
      <c r="O102" s="54"/>
      <c r="P102" s="54"/>
      <c r="Q102" s="88"/>
      <c r="R102" s="54"/>
      <c r="S102" s="4"/>
      <c r="T102" s="4"/>
      <c r="U102" s="4"/>
      <c r="V102" s="4"/>
      <c r="W102" s="4"/>
      <c r="X102" s="4"/>
      <c r="Y102" s="4"/>
      <c r="Z102" s="4"/>
      <c r="AA102" s="4"/>
      <c r="AB102" s="4"/>
      <c r="AC102" s="4"/>
    </row>
    <row r="103" spans="1:29" ht="15.75" customHeight="1" x14ac:dyDescent="0.25">
      <c r="A103" s="4"/>
      <c r="B103" s="70">
        <v>37</v>
      </c>
      <c r="C103" s="252" t="str">
        <f>IF('INPUT DATA'!Q47="","",'INPUT DATA'!Q47)</f>
        <v/>
      </c>
      <c r="D103" s="253"/>
      <c r="E103" s="251"/>
      <c r="F103" s="250" t="str">
        <f>IF('INPUT DATA'!T47="","",'INPUT DATA'!T47)</f>
        <v/>
      </c>
      <c r="G103" s="251"/>
      <c r="H103" s="87" t="str">
        <f>IF('INPUT DATA'!S47="","",'INPUT DATA'!S47)</f>
        <v/>
      </c>
      <c r="I103" s="51" t="str">
        <f t="shared" ca="1" si="1"/>
        <v/>
      </c>
      <c r="J103" s="51"/>
      <c r="K103" s="53"/>
      <c r="L103" s="54"/>
      <c r="M103" s="54"/>
      <c r="N103" s="54"/>
      <c r="O103" s="54"/>
      <c r="P103" s="54"/>
      <c r="Q103" s="88"/>
      <c r="R103" s="54"/>
      <c r="S103" s="4"/>
      <c r="T103" s="4"/>
      <c r="U103" s="4"/>
      <c r="V103" s="4"/>
      <c r="W103" s="4"/>
      <c r="X103" s="4"/>
      <c r="Y103" s="4"/>
      <c r="Z103" s="4"/>
      <c r="AA103" s="4"/>
      <c r="AB103" s="4"/>
      <c r="AC103" s="4"/>
    </row>
    <row r="104" spans="1:29" ht="15.75" customHeight="1" x14ac:dyDescent="0.25">
      <c r="A104" s="4"/>
      <c r="B104" s="70">
        <v>38</v>
      </c>
      <c r="C104" s="252" t="str">
        <f>IF('INPUT DATA'!Q48="","",'INPUT DATA'!Q48)</f>
        <v/>
      </c>
      <c r="D104" s="253"/>
      <c r="E104" s="251"/>
      <c r="F104" s="250" t="str">
        <f>IF('INPUT DATA'!T48="","",'INPUT DATA'!T48)</f>
        <v/>
      </c>
      <c r="G104" s="251"/>
      <c r="H104" s="87" t="str">
        <f>IF('INPUT DATA'!S48="","",'INPUT DATA'!S48)</f>
        <v/>
      </c>
      <c r="I104" s="51" t="str">
        <f t="shared" ca="1" si="1"/>
        <v/>
      </c>
      <c r="J104" s="51"/>
      <c r="K104" s="53"/>
      <c r="L104" s="54"/>
      <c r="M104" s="54"/>
      <c r="N104" s="54"/>
      <c r="O104" s="54"/>
      <c r="P104" s="54"/>
      <c r="Q104" s="88"/>
      <c r="R104" s="54"/>
      <c r="S104" s="4"/>
      <c r="T104" s="4"/>
      <c r="U104" s="4"/>
      <c r="V104" s="4"/>
      <c r="W104" s="4"/>
      <c r="X104" s="4"/>
      <c r="Y104" s="4"/>
      <c r="Z104" s="4"/>
      <c r="AA104" s="4"/>
      <c r="AB104" s="4"/>
      <c r="AC104" s="4"/>
    </row>
    <row r="105" spans="1:29" ht="15.75" customHeight="1" x14ac:dyDescent="0.25">
      <c r="A105" s="4"/>
      <c r="B105" s="70">
        <v>39</v>
      </c>
      <c r="C105" s="252" t="str">
        <f>IF('INPUT DATA'!Q49="","",'INPUT DATA'!Q49)</f>
        <v/>
      </c>
      <c r="D105" s="253"/>
      <c r="E105" s="251"/>
      <c r="F105" s="250" t="str">
        <f>IF('INPUT DATA'!T49="","",'INPUT DATA'!T49)</f>
        <v/>
      </c>
      <c r="G105" s="251"/>
      <c r="H105" s="87" t="str">
        <f>IF('INPUT DATA'!S49="","",'INPUT DATA'!S49)</f>
        <v/>
      </c>
      <c r="I105" s="51" t="str">
        <f t="shared" ca="1" si="1"/>
        <v/>
      </c>
      <c r="J105" s="51"/>
      <c r="K105" s="53"/>
      <c r="L105" s="54"/>
      <c r="M105" s="54"/>
      <c r="N105" s="54"/>
      <c r="O105" s="54"/>
      <c r="P105" s="54"/>
      <c r="Q105" s="88"/>
      <c r="R105" s="54"/>
      <c r="S105" s="4"/>
      <c r="T105" s="4"/>
      <c r="U105" s="4"/>
      <c r="V105" s="4"/>
      <c r="W105" s="4"/>
      <c r="X105" s="4"/>
      <c r="Y105" s="4"/>
      <c r="Z105" s="4"/>
      <c r="AA105" s="4"/>
      <c r="AB105" s="4"/>
      <c r="AC105" s="4"/>
    </row>
    <row r="106" spans="1:29" ht="15.75" customHeight="1" x14ac:dyDescent="0.25">
      <c r="A106" s="4"/>
      <c r="B106" s="70">
        <v>40</v>
      </c>
      <c r="C106" s="252" t="str">
        <f>IF('INPUT DATA'!Q50="","",'INPUT DATA'!Q50)</f>
        <v/>
      </c>
      <c r="D106" s="253"/>
      <c r="E106" s="251"/>
      <c r="F106" s="250" t="str">
        <f>IF('INPUT DATA'!T50="","",'INPUT DATA'!T50)</f>
        <v/>
      </c>
      <c r="G106" s="251"/>
      <c r="H106" s="87" t="str">
        <f>IF('INPUT DATA'!S50="","",'INPUT DATA'!S50)</f>
        <v/>
      </c>
      <c r="I106" s="51" t="str">
        <f t="shared" ca="1" si="1"/>
        <v/>
      </c>
      <c r="J106" s="51"/>
      <c r="K106" s="53"/>
      <c r="L106" s="54"/>
      <c r="M106" s="54"/>
      <c r="N106" s="54"/>
      <c r="O106" s="54"/>
      <c r="P106" s="54"/>
      <c r="Q106" s="88"/>
      <c r="R106" s="54"/>
      <c r="S106" s="4"/>
      <c r="T106" s="4"/>
      <c r="U106" s="4"/>
      <c r="V106" s="4"/>
      <c r="W106" s="4"/>
      <c r="X106" s="4"/>
      <c r="Y106" s="4"/>
      <c r="Z106" s="4"/>
      <c r="AA106" s="4"/>
      <c r="AB106" s="4"/>
      <c r="AC106" s="4"/>
    </row>
    <row r="107" spans="1:29" ht="15.75" customHeight="1" x14ac:dyDescent="0.25">
      <c r="A107" s="4"/>
      <c r="B107" s="70">
        <v>41</v>
      </c>
      <c r="C107" s="252" t="str">
        <f>IF('INPUT DATA'!Q51="","",'INPUT DATA'!Q51)</f>
        <v/>
      </c>
      <c r="D107" s="253"/>
      <c r="E107" s="251"/>
      <c r="F107" s="250" t="str">
        <f>IF('INPUT DATA'!T51="","",'INPUT DATA'!T51)</f>
        <v/>
      </c>
      <c r="G107" s="251"/>
      <c r="H107" s="87" t="str">
        <f>IF('INPUT DATA'!S51="","",'INPUT DATA'!S51)</f>
        <v/>
      </c>
      <c r="I107" s="51" t="str">
        <f t="shared" ca="1" si="1"/>
        <v/>
      </c>
      <c r="J107" s="51"/>
      <c r="K107" s="53"/>
      <c r="L107" s="54"/>
      <c r="M107" s="54"/>
      <c r="N107" s="54"/>
      <c r="O107" s="54"/>
      <c r="P107" s="54"/>
      <c r="Q107" s="88"/>
      <c r="R107" s="54"/>
      <c r="S107" s="4"/>
      <c r="T107" s="4"/>
      <c r="U107" s="4"/>
      <c r="V107" s="4"/>
      <c r="W107" s="4"/>
      <c r="X107" s="4"/>
      <c r="Y107" s="4"/>
      <c r="Z107" s="4"/>
      <c r="AA107" s="4"/>
      <c r="AB107" s="4"/>
      <c r="AC107" s="4"/>
    </row>
    <row r="108" spans="1:29" ht="15.75" customHeight="1" x14ac:dyDescent="0.25">
      <c r="A108" s="4"/>
      <c r="B108" s="70">
        <v>42</v>
      </c>
      <c r="C108" s="252" t="str">
        <f>IF('INPUT DATA'!Q52="","",'INPUT DATA'!Q52)</f>
        <v/>
      </c>
      <c r="D108" s="253"/>
      <c r="E108" s="251"/>
      <c r="F108" s="250" t="str">
        <f>IF('INPUT DATA'!T52="","",'INPUT DATA'!T52)</f>
        <v/>
      </c>
      <c r="G108" s="251"/>
      <c r="H108" s="87" t="str">
        <f>IF('INPUT DATA'!S52="","",'INPUT DATA'!S52)</f>
        <v/>
      </c>
      <c r="I108" s="51" t="str">
        <f t="shared" ca="1" si="1"/>
        <v/>
      </c>
      <c r="J108" s="51"/>
      <c r="K108" s="53"/>
      <c r="L108" s="54"/>
      <c r="M108" s="54"/>
      <c r="N108" s="54"/>
      <c r="O108" s="54"/>
      <c r="P108" s="54"/>
      <c r="Q108" s="88"/>
      <c r="R108" s="54"/>
      <c r="S108" s="4"/>
      <c r="T108" s="4"/>
      <c r="U108" s="4"/>
      <c r="V108" s="4"/>
      <c r="W108" s="4"/>
      <c r="X108" s="4"/>
      <c r="Y108" s="4"/>
      <c r="Z108" s="4"/>
      <c r="AA108" s="4"/>
      <c r="AB108" s="4"/>
      <c r="AC108" s="4"/>
    </row>
    <row r="109" spans="1:29" ht="15.75" customHeight="1" x14ac:dyDescent="0.25">
      <c r="A109" s="4"/>
      <c r="B109" s="70">
        <v>43</v>
      </c>
      <c r="C109" s="252" t="str">
        <f>IF('INPUT DATA'!Q53="","",'INPUT DATA'!Q53)</f>
        <v/>
      </c>
      <c r="D109" s="253"/>
      <c r="E109" s="251"/>
      <c r="F109" s="250" t="str">
        <f>IF('INPUT DATA'!T53="","",'INPUT DATA'!T53)</f>
        <v/>
      </c>
      <c r="G109" s="251"/>
      <c r="H109" s="87" t="str">
        <f>IF('INPUT DATA'!S53="","",'INPUT DATA'!S53)</f>
        <v/>
      </c>
      <c r="I109" s="51" t="str">
        <f t="shared" ca="1" si="1"/>
        <v/>
      </c>
      <c r="J109" s="51"/>
      <c r="K109" s="53"/>
      <c r="L109" s="54"/>
      <c r="M109" s="54"/>
      <c r="N109" s="54"/>
      <c r="O109" s="54"/>
      <c r="P109" s="54"/>
      <c r="Q109" s="88"/>
      <c r="R109" s="54"/>
      <c r="S109" s="4"/>
      <c r="T109" s="4"/>
      <c r="U109" s="4"/>
      <c r="V109" s="4"/>
      <c r="W109" s="4"/>
      <c r="X109" s="4"/>
      <c r="Y109" s="4"/>
      <c r="Z109" s="4"/>
      <c r="AA109" s="4"/>
      <c r="AB109" s="4"/>
      <c r="AC109" s="4"/>
    </row>
    <row r="110" spans="1:29" ht="15.75" customHeight="1" x14ac:dyDescent="0.25">
      <c r="A110" s="4"/>
      <c r="B110" s="70">
        <v>44</v>
      </c>
      <c r="C110" s="252" t="str">
        <f>IF('INPUT DATA'!Q54="","",'INPUT DATA'!Q54)</f>
        <v/>
      </c>
      <c r="D110" s="253"/>
      <c r="E110" s="251"/>
      <c r="F110" s="250" t="str">
        <f>IF('INPUT DATA'!T54="","",'INPUT DATA'!T54)</f>
        <v/>
      </c>
      <c r="G110" s="251"/>
      <c r="H110" s="87" t="str">
        <f>IF('INPUT DATA'!S54="","",'INPUT DATA'!S54)</f>
        <v/>
      </c>
      <c r="I110" s="51" t="str">
        <f t="shared" ca="1" si="1"/>
        <v/>
      </c>
      <c r="J110" s="51"/>
      <c r="K110" s="53"/>
      <c r="L110" s="54"/>
      <c r="M110" s="54"/>
      <c r="N110" s="54"/>
      <c r="O110" s="54"/>
      <c r="P110" s="54"/>
      <c r="Q110" s="88"/>
      <c r="R110" s="54"/>
      <c r="S110" s="4"/>
      <c r="T110" s="4"/>
      <c r="U110" s="4"/>
      <c r="V110" s="4"/>
      <c r="W110" s="4"/>
      <c r="X110" s="4"/>
      <c r="Y110" s="4"/>
      <c r="Z110" s="4"/>
      <c r="AA110" s="4"/>
      <c r="AB110" s="4"/>
      <c r="AC110" s="4"/>
    </row>
    <row r="111" spans="1:29" ht="15.75" customHeight="1" x14ac:dyDescent="0.25">
      <c r="A111" s="4"/>
      <c r="B111" s="70">
        <v>45</v>
      </c>
      <c r="C111" s="252" t="str">
        <f>IF('INPUT DATA'!Q55="","",'INPUT DATA'!Q55)</f>
        <v/>
      </c>
      <c r="D111" s="253"/>
      <c r="E111" s="251"/>
      <c r="F111" s="250" t="str">
        <f>IF('INPUT DATA'!T55="","",'INPUT DATA'!T55)</f>
        <v/>
      </c>
      <c r="G111" s="251"/>
      <c r="H111" s="87" t="str">
        <f>IF('INPUT DATA'!S55="","",'INPUT DATA'!S55)</f>
        <v/>
      </c>
      <c r="I111" s="51" t="str">
        <f t="shared" ca="1" si="1"/>
        <v/>
      </c>
      <c r="J111" s="51"/>
      <c r="K111" s="71"/>
      <c r="L111" s="72"/>
      <c r="M111" s="72"/>
      <c r="N111" s="72"/>
      <c r="O111" s="72"/>
      <c r="P111" s="72"/>
      <c r="Q111" s="89"/>
      <c r="R111" s="72"/>
      <c r="S111" s="4"/>
      <c r="T111" s="4"/>
      <c r="U111" s="4"/>
      <c r="V111" s="4"/>
      <c r="W111" s="4"/>
      <c r="X111" s="4"/>
      <c r="Y111" s="4"/>
      <c r="Z111" s="4"/>
      <c r="AA111" s="4"/>
      <c r="AB111" s="4"/>
      <c r="AC111" s="4"/>
    </row>
    <row r="112" spans="1:29" ht="15.75" customHeight="1" x14ac:dyDescent="0.25">
      <c r="A112" s="4"/>
      <c r="B112" s="70">
        <v>46</v>
      </c>
      <c r="C112" s="252" t="str">
        <f>IF('INPUT DATA'!Q56="","",'INPUT DATA'!Q56)</f>
        <v/>
      </c>
      <c r="D112" s="253"/>
      <c r="E112" s="251"/>
      <c r="F112" s="250" t="str">
        <f>IF('INPUT DATA'!T56="","",'INPUT DATA'!T56)</f>
        <v/>
      </c>
      <c r="G112" s="251"/>
      <c r="H112" s="87" t="str">
        <f>IF('INPUT DATA'!S56="","",'INPUT DATA'!S56)</f>
        <v/>
      </c>
      <c r="I112" s="51" t="str">
        <f t="shared" ca="1" si="1"/>
        <v/>
      </c>
      <c r="J112" s="51"/>
      <c r="K112" s="53"/>
      <c r="L112" s="54"/>
      <c r="M112" s="54"/>
      <c r="N112" s="54"/>
      <c r="O112" s="54"/>
      <c r="P112" s="54"/>
      <c r="Q112" s="88"/>
      <c r="R112" s="54"/>
      <c r="S112" s="4"/>
      <c r="T112" s="4"/>
      <c r="U112" s="4"/>
      <c r="V112" s="4"/>
      <c r="W112" s="4"/>
      <c r="X112" s="4"/>
      <c r="Y112" s="4"/>
      <c r="Z112" s="4"/>
      <c r="AA112" s="4"/>
      <c r="AB112" s="4"/>
      <c r="AC112" s="4"/>
    </row>
    <row r="113" spans="1:29" ht="15.75" customHeight="1" x14ac:dyDescent="0.25">
      <c r="A113" s="4"/>
      <c r="B113" s="70">
        <v>47</v>
      </c>
      <c r="C113" s="252" t="str">
        <f>IF('INPUT DATA'!Q57="","",'INPUT DATA'!Q57)</f>
        <v/>
      </c>
      <c r="D113" s="253"/>
      <c r="E113" s="251"/>
      <c r="F113" s="250" t="str">
        <f>IF('INPUT DATA'!T57="","",'INPUT DATA'!T57)</f>
        <v/>
      </c>
      <c r="G113" s="251"/>
      <c r="H113" s="87" t="str">
        <f>IF('INPUT DATA'!S57="","",'INPUT DATA'!S57)</f>
        <v/>
      </c>
      <c r="I113" s="51" t="str">
        <f t="shared" ca="1" si="1"/>
        <v/>
      </c>
      <c r="J113" s="51"/>
      <c r="K113" s="53"/>
      <c r="L113" s="54"/>
      <c r="M113" s="54"/>
      <c r="N113" s="54"/>
      <c r="O113" s="54"/>
      <c r="P113" s="54"/>
      <c r="Q113" s="88"/>
      <c r="R113" s="54"/>
      <c r="S113" s="4"/>
      <c r="T113" s="4"/>
      <c r="U113" s="4"/>
      <c r="V113" s="4"/>
      <c r="W113" s="4"/>
      <c r="X113" s="4"/>
      <c r="Y113" s="4"/>
      <c r="Z113" s="4"/>
      <c r="AA113" s="4"/>
      <c r="AB113" s="4"/>
      <c r="AC113" s="4"/>
    </row>
    <row r="114" spans="1:29" ht="15.75" customHeight="1" x14ac:dyDescent="0.25">
      <c r="A114" s="4"/>
      <c r="B114" s="70">
        <v>48</v>
      </c>
      <c r="C114" s="252" t="str">
        <f>IF('INPUT DATA'!Q58="","",'INPUT DATA'!Q58)</f>
        <v/>
      </c>
      <c r="D114" s="253"/>
      <c r="E114" s="251"/>
      <c r="F114" s="250" t="str">
        <f>IF('INPUT DATA'!T58="","",'INPUT DATA'!T58)</f>
        <v/>
      </c>
      <c r="G114" s="251"/>
      <c r="H114" s="87" t="str">
        <f>IF('INPUT DATA'!S58="","",'INPUT DATA'!S58)</f>
        <v/>
      </c>
      <c r="I114" s="51" t="str">
        <f t="shared" ca="1" si="1"/>
        <v/>
      </c>
      <c r="J114" s="51"/>
      <c r="K114" s="53"/>
      <c r="L114" s="54"/>
      <c r="M114" s="54"/>
      <c r="N114" s="54"/>
      <c r="O114" s="54"/>
      <c r="P114" s="54"/>
      <c r="Q114" s="88"/>
      <c r="R114" s="54"/>
      <c r="S114" s="4"/>
      <c r="T114" s="4"/>
      <c r="U114" s="4"/>
      <c r="V114" s="4"/>
      <c r="W114" s="4"/>
      <c r="X114" s="4"/>
      <c r="Y114" s="4"/>
      <c r="Z114" s="4"/>
      <c r="AA114" s="4"/>
      <c r="AB114" s="4"/>
      <c r="AC114" s="4"/>
    </row>
    <row r="115" spans="1:29" ht="15.75" customHeight="1" x14ac:dyDescent="0.25">
      <c r="A115" s="4"/>
      <c r="B115" s="70">
        <v>49</v>
      </c>
      <c r="C115" s="252" t="str">
        <f>IF('INPUT DATA'!Q59="","",'INPUT DATA'!Q59)</f>
        <v/>
      </c>
      <c r="D115" s="253"/>
      <c r="E115" s="251"/>
      <c r="F115" s="250" t="str">
        <f>IF('INPUT DATA'!T59="","",'INPUT DATA'!T59)</f>
        <v/>
      </c>
      <c r="G115" s="251"/>
      <c r="H115" s="87" t="str">
        <f>IF('INPUT DATA'!S59="","",'INPUT DATA'!S59)</f>
        <v/>
      </c>
      <c r="I115" s="51" t="str">
        <f t="shared" ca="1" si="1"/>
        <v/>
      </c>
      <c r="J115" s="51"/>
      <c r="K115" s="53"/>
      <c r="L115" s="54"/>
      <c r="M115" s="54"/>
      <c r="N115" s="54"/>
      <c r="O115" s="54"/>
      <c r="P115" s="54"/>
      <c r="Q115" s="88"/>
      <c r="R115" s="54"/>
      <c r="S115" s="4"/>
      <c r="T115" s="4"/>
      <c r="U115" s="4"/>
      <c r="V115" s="4"/>
      <c r="W115" s="4"/>
      <c r="X115" s="4"/>
      <c r="Y115" s="4"/>
      <c r="Z115" s="4"/>
      <c r="AA115" s="4"/>
      <c r="AB115" s="4"/>
      <c r="AC115" s="4"/>
    </row>
    <row r="116" spans="1:29" ht="15.75" customHeight="1" x14ac:dyDescent="0.25">
      <c r="A116" s="4"/>
      <c r="B116" s="75">
        <v>50</v>
      </c>
      <c r="C116" s="243" t="str">
        <f>IF('INPUT DATA'!Q60="","",'INPUT DATA'!Q60)</f>
        <v/>
      </c>
      <c r="D116" s="244"/>
      <c r="E116" s="245"/>
      <c r="F116" s="254" t="str">
        <f>IF('INPUT DATA'!T60="","",'INPUT DATA'!T60)</f>
        <v/>
      </c>
      <c r="G116" s="245"/>
      <c r="H116" s="90" t="str">
        <f>IF('INPUT DATA'!S60="","",'INPUT DATA'!S60)</f>
        <v/>
      </c>
      <c r="I116" s="51" t="str">
        <f t="shared" ca="1" si="1"/>
        <v/>
      </c>
      <c r="J116" s="77"/>
      <c r="K116" s="79"/>
      <c r="L116" s="80"/>
      <c r="M116" s="80"/>
      <c r="N116" s="80"/>
      <c r="O116" s="80"/>
      <c r="P116" s="80"/>
      <c r="Q116" s="91"/>
      <c r="R116" s="80"/>
      <c r="S116" s="4"/>
      <c r="T116" s="4"/>
      <c r="U116" s="4"/>
      <c r="V116" s="4"/>
      <c r="W116" s="4"/>
      <c r="X116" s="4"/>
      <c r="Y116" s="4"/>
      <c r="Z116" s="4"/>
      <c r="AA116" s="4"/>
      <c r="AB116" s="4"/>
      <c r="AC116" s="4"/>
    </row>
    <row r="117" spans="1:29" ht="15.75" customHeight="1" x14ac:dyDescent="0.25">
      <c r="A117" s="3"/>
      <c r="B117" s="3"/>
      <c r="C117" s="2"/>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spans="1:29" ht="15.75" customHeight="1" x14ac:dyDescent="0.25">
      <c r="A118" s="3"/>
      <c r="B118" s="3"/>
      <c r="C118" s="2"/>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spans="1:29" ht="15.75" customHeight="1" x14ac:dyDescent="0.25">
      <c r="A119" s="3"/>
      <c r="B119" s="3"/>
      <c r="C119" s="2"/>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spans="1:29" ht="15.75" customHeight="1" x14ac:dyDescent="0.25">
      <c r="A120" s="3"/>
      <c r="B120" s="3"/>
      <c r="C120" s="2"/>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spans="1:29" ht="15.75" customHeight="1" x14ac:dyDescent="0.25">
      <c r="A121" s="3"/>
      <c r="B121" s="3"/>
      <c r="C121" s="2"/>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spans="1:29" ht="15.75" customHeight="1" x14ac:dyDescent="0.25">
      <c r="A122" s="3"/>
      <c r="B122" s="3"/>
      <c r="C122" s="2"/>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spans="1:29" ht="15.75" customHeight="1" x14ac:dyDescent="0.25">
      <c r="A123" s="3"/>
      <c r="B123" s="3"/>
      <c r="C123" s="2"/>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spans="1:29" ht="15.75" customHeight="1" x14ac:dyDescent="0.25">
      <c r="A124" s="3"/>
      <c r="B124" s="3"/>
      <c r="C124" s="2"/>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spans="1:29" ht="15.75" customHeight="1" x14ac:dyDescent="0.25">
      <c r="A125" s="3"/>
      <c r="B125" s="3"/>
      <c r="C125" s="2"/>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spans="1:29" ht="15.75" customHeight="1" x14ac:dyDescent="0.25">
      <c r="A126" s="3"/>
      <c r="B126" s="3"/>
      <c r="C126" s="2"/>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spans="1:29" ht="15.75" customHeight="1" x14ac:dyDescent="0.25">
      <c r="A127" s="3"/>
      <c r="B127" s="3"/>
      <c r="C127" s="2"/>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spans="1:29" ht="15.75" customHeight="1" x14ac:dyDescent="0.2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row>
    <row r="129" spans="1:29" ht="15.75" customHeight="1" x14ac:dyDescent="0.2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row>
    <row r="130" spans="1:29" ht="15.75" customHeight="1" x14ac:dyDescent="0.2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row>
    <row r="131" spans="1:29" ht="15.75" customHeight="1" x14ac:dyDescent="0.2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row>
    <row r="132" spans="1:29" ht="15.75" customHeight="1" x14ac:dyDescent="0.2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row>
    <row r="133" spans="1:29" ht="15.75" customHeight="1" x14ac:dyDescent="0.2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row>
    <row r="134" spans="1:29" ht="15.75" customHeight="1" x14ac:dyDescent="0.2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row>
    <row r="135" spans="1:29" ht="15.75" customHeight="1" x14ac:dyDescent="0.2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row>
    <row r="136" spans="1:29" ht="15.75" customHeight="1" x14ac:dyDescent="0.2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row>
    <row r="137" spans="1:29" ht="15.75" customHeight="1" x14ac:dyDescent="0.2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row>
    <row r="138" spans="1:29" ht="15.75" customHeight="1" x14ac:dyDescent="0.2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row>
    <row r="139" spans="1:29" ht="15.75" customHeight="1" x14ac:dyDescent="0.2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row>
    <row r="140" spans="1:29" ht="15.75" customHeight="1" x14ac:dyDescent="0.2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row>
    <row r="141" spans="1:29" ht="15.75" customHeight="1" x14ac:dyDescent="0.2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row>
    <row r="142" spans="1:29" ht="15.75" customHeight="1" x14ac:dyDescent="0.2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row>
    <row r="143" spans="1:29" ht="15.75" customHeight="1" x14ac:dyDescent="0.2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row>
    <row r="144" spans="1:29" ht="15.75" customHeight="1" x14ac:dyDescent="0.2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row>
    <row r="145" spans="1:29" ht="15.75" customHeight="1" x14ac:dyDescent="0.2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row>
    <row r="146" spans="1:29" ht="15.75" customHeight="1" x14ac:dyDescent="0.2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row>
    <row r="147" spans="1:29" ht="15.75" customHeight="1" x14ac:dyDescent="0.2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row>
    <row r="148" spans="1:29" ht="15.75" customHeight="1" x14ac:dyDescent="0.2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row>
    <row r="149" spans="1:29" ht="15.75" customHeight="1" x14ac:dyDescent="0.2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row>
    <row r="150" spans="1:29" ht="15.75" customHeight="1" x14ac:dyDescent="0.2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row>
    <row r="151" spans="1:29" ht="15.75" customHeight="1" x14ac:dyDescent="0.2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row>
    <row r="152" spans="1:29" ht="15.75" customHeight="1" x14ac:dyDescent="0.2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row>
    <row r="153" spans="1:29" ht="15.75" customHeight="1" x14ac:dyDescent="0.2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row>
    <row r="154" spans="1:29" ht="15.75" customHeight="1" x14ac:dyDescent="0.2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row>
    <row r="155" spans="1:29" ht="15.75" customHeight="1" x14ac:dyDescent="0.2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row>
    <row r="156" spans="1:29" ht="15.75" customHeight="1" x14ac:dyDescent="0.2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spans="1:29" ht="15.75" customHeight="1" x14ac:dyDescent="0.2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row>
    <row r="158" spans="1:29" ht="15.75" customHeight="1" x14ac:dyDescent="0.2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row>
    <row r="159" spans="1:29" ht="15.75" customHeight="1" x14ac:dyDescent="0.2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row>
    <row r="160" spans="1:29" ht="15.75" customHeight="1" x14ac:dyDescent="0.2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row>
    <row r="161" spans="1:29" ht="15.75" customHeight="1" x14ac:dyDescent="0.2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row>
    <row r="162" spans="1:29" ht="15.75" customHeight="1" x14ac:dyDescent="0.2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row>
    <row r="163" spans="1:29" ht="15.75" customHeight="1" x14ac:dyDescent="0.2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row>
    <row r="164" spans="1:29" ht="15.75" customHeight="1" x14ac:dyDescent="0.2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row>
    <row r="165" spans="1:29" ht="15.75" customHeight="1" x14ac:dyDescent="0.2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row>
    <row r="166" spans="1:29" ht="15.75" customHeight="1" x14ac:dyDescent="0.2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row>
    <row r="167" spans="1:29" ht="15.75" customHeight="1" x14ac:dyDescent="0.2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row>
    <row r="168" spans="1:29" ht="15.75" customHeight="1" x14ac:dyDescent="0.2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row>
    <row r="169" spans="1:29" ht="15.75" customHeight="1" x14ac:dyDescent="0.2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row>
    <row r="170" spans="1:29" ht="15.75" customHeight="1" x14ac:dyDescent="0.2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row>
    <row r="171" spans="1:29" ht="15.75" customHeight="1" x14ac:dyDescent="0.2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row>
    <row r="172" spans="1:29" ht="15.75" customHeight="1" x14ac:dyDescent="0.2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row>
    <row r="173" spans="1:29" ht="15.75" customHeight="1" x14ac:dyDescent="0.2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row>
    <row r="174" spans="1:29" ht="15.75" customHeight="1" x14ac:dyDescent="0.2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row>
    <row r="175" spans="1:29" ht="15.75" customHeight="1" x14ac:dyDescent="0.2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row>
    <row r="176" spans="1:29" ht="15.75" customHeight="1" x14ac:dyDescent="0.2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row>
    <row r="177" spans="1:29" ht="15.75" customHeight="1" x14ac:dyDescent="0.2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row>
    <row r="178" spans="1:29" ht="15.75" customHeight="1" x14ac:dyDescent="0.2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row>
    <row r="179" spans="1:29" ht="15.75" customHeight="1" x14ac:dyDescent="0.2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row>
    <row r="180" spans="1:29" ht="15.75" customHeight="1" x14ac:dyDescent="0.2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row>
    <row r="181" spans="1:29" ht="15.75" customHeight="1" x14ac:dyDescent="0.2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row>
    <row r="182" spans="1:29" ht="15.75" customHeight="1" x14ac:dyDescent="0.2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row>
    <row r="183" spans="1:29" ht="15.75" customHeight="1" x14ac:dyDescent="0.2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row>
    <row r="184" spans="1:29" ht="15.75" customHeight="1" x14ac:dyDescent="0.2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row>
    <row r="185" spans="1:29" ht="15.75" customHeight="1" x14ac:dyDescent="0.2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row>
    <row r="186" spans="1:29" ht="15.75" customHeight="1" x14ac:dyDescent="0.2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row>
    <row r="187" spans="1:29" ht="15.75" customHeight="1" x14ac:dyDescent="0.2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row>
    <row r="188" spans="1:29" ht="15.75" customHeight="1" x14ac:dyDescent="0.2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row>
    <row r="189" spans="1:29" ht="15.75" customHeight="1" x14ac:dyDescent="0.2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row>
    <row r="190" spans="1:29" ht="15.75" customHeight="1" x14ac:dyDescent="0.2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row>
    <row r="191" spans="1:29" ht="15.75" customHeight="1" x14ac:dyDescent="0.2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row>
    <row r="192" spans="1:29" ht="15.75" customHeight="1" x14ac:dyDescent="0.2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row>
    <row r="193" spans="1:29" ht="15.75" customHeight="1" x14ac:dyDescent="0.2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row>
    <row r="194" spans="1:29" ht="15.75" customHeight="1" x14ac:dyDescent="0.2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row>
    <row r="195" spans="1:29" ht="15.75" customHeight="1" x14ac:dyDescent="0.2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row>
    <row r="196" spans="1:29" ht="15.75" customHeight="1" x14ac:dyDescent="0.2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row>
    <row r="197" spans="1:29" ht="15.75" customHeight="1" x14ac:dyDescent="0.2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row>
    <row r="198" spans="1:29" ht="15.75" customHeight="1" x14ac:dyDescent="0.2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row>
    <row r="199" spans="1:29" ht="15.75" customHeight="1" x14ac:dyDescent="0.2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row>
    <row r="200" spans="1:29" ht="15.75" customHeight="1" x14ac:dyDescent="0.2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row>
    <row r="201" spans="1:29" ht="15.75" customHeight="1" x14ac:dyDescent="0.2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row>
    <row r="202" spans="1:29" ht="15.75" customHeight="1" x14ac:dyDescent="0.2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row>
    <row r="203" spans="1:29" ht="15.75" customHeight="1" x14ac:dyDescent="0.2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row>
    <row r="204" spans="1:29" ht="15.75" customHeight="1" x14ac:dyDescent="0.2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row>
    <row r="205" spans="1:29" ht="15.75" customHeight="1" x14ac:dyDescent="0.2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row>
    <row r="206" spans="1:29" ht="15.75" customHeight="1" x14ac:dyDescent="0.2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row>
    <row r="207" spans="1:29" ht="15.75" customHeight="1" x14ac:dyDescent="0.2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row>
    <row r="208" spans="1:29" ht="15.75" customHeight="1" x14ac:dyDescent="0.2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row>
    <row r="209" spans="1:29" ht="15.75" customHeight="1" x14ac:dyDescent="0.2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row>
    <row r="210" spans="1:29" ht="15.75" customHeight="1" x14ac:dyDescent="0.2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row>
    <row r="211" spans="1:29" ht="15.75" customHeight="1" x14ac:dyDescent="0.2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row>
    <row r="212" spans="1:29" ht="15.75" customHeight="1" x14ac:dyDescent="0.2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row>
    <row r="213" spans="1:29" ht="15.75" customHeight="1" x14ac:dyDescent="0.2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row>
    <row r="214" spans="1:29" ht="15.75" customHeight="1" x14ac:dyDescent="0.2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row>
    <row r="215" spans="1:29" ht="15.75" customHeight="1" x14ac:dyDescent="0.2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spans="1:29" ht="15.75" customHeight="1" x14ac:dyDescent="0.2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row>
    <row r="217" spans="1:29" ht="15.75" customHeight="1" x14ac:dyDescent="0.2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spans="1:29" ht="15.75" customHeight="1" x14ac:dyDescent="0.2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spans="1:29" ht="15.75" customHeight="1" x14ac:dyDescent="0.2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spans="1:29" ht="15.75" customHeight="1" x14ac:dyDescent="0.2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spans="1:29" ht="15.75" customHeight="1" x14ac:dyDescent="0.2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spans="1:29" ht="15.75" customHeight="1" x14ac:dyDescent="0.2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spans="1:29" ht="15.75" customHeight="1" x14ac:dyDescent="0.2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spans="1:29" ht="15.75" customHeight="1" x14ac:dyDescent="0.2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spans="1:29" ht="15.75" customHeight="1" x14ac:dyDescent="0.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spans="1:29" ht="15.75" customHeight="1" x14ac:dyDescent="0.2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spans="1:29" ht="15.75" customHeight="1" x14ac:dyDescent="0.2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spans="1:29" ht="15.75" customHeight="1" x14ac:dyDescent="0.2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spans="1:29" ht="15.75" customHeight="1" x14ac:dyDescent="0.2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spans="1:29" ht="15.75" customHeight="1" x14ac:dyDescent="0.2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spans="1:29" ht="15.75" customHeight="1" x14ac:dyDescent="0.2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spans="1:29" ht="15.75" customHeight="1" x14ac:dyDescent="0.2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spans="1:29" ht="15.75" customHeight="1" x14ac:dyDescent="0.2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spans="1:29" ht="15.75" customHeight="1" x14ac:dyDescent="0.2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spans="1:29" ht="15.75" customHeight="1" x14ac:dyDescent="0.2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spans="1:29" ht="15.75" customHeight="1" x14ac:dyDescent="0.2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spans="1:29" ht="15.75" customHeight="1" x14ac:dyDescent="0.2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spans="1:29" ht="15.75" customHeight="1" x14ac:dyDescent="0.2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spans="1:29" ht="15.75" customHeight="1" x14ac:dyDescent="0.2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spans="1:29" ht="15.75" customHeight="1" x14ac:dyDescent="0.2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spans="1:29" ht="15.75" customHeight="1" x14ac:dyDescent="0.2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spans="1:29" ht="15.75" customHeight="1" x14ac:dyDescent="0.2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spans="1:29" ht="15.75" customHeight="1" x14ac:dyDescent="0.2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spans="1:29" ht="15.75" customHeight="1" x14ac:dyDescent="0.2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spans="1:29" ht="15.75" customHeight="1" x14ac:dyDescent="0.2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spans="1:29" ht="15.75" customHeight="1" x14ac:dyDescent="0.2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spans="1:29" ht="15.75" customHeight="1" x14ac:dyDescent="0.2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spans="1:29" ht="15.75" customHeight="1" x14ac:dyDescent="0.2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spans="1:29" ht="15.75" customHeight="1" x14ac:dyDescent="0.2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spans="1:29" ht="15.75" customHeight="1" x14ac:dyDescent="0.2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spans="1:29" ht="15.75" customHeight="1" x14ac:dyDescent="0.2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spans="1:29" ht="15.75" customHeight="1" x14ac:dyDescent="0.2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spans="1:29" ht="15.75" customHeight="1" x14ac:dyDescent="0.2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spans="1:29" ht="15.75" customHeight="1" x14ac:dyDescent="0.2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spans="1:29" ht="15.75" customHeight="1" x14ac:dyDescent="0.2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spans="1:29" ht="15.75" customHeight="1" x14ac:dyDescent="0.2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spans="1:29" ht="15.75" customHeight="1" x14ac:dyDescent="0.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spans="1:29" ht="15.75" customHeight="1" x14ac:dyDescent="0.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spans="1:29" ht="15.75" customHeight="1" x14ac:dyDescent="0.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spans="1:29" ht="15.75" customHeight="1" x14ac:dyDescent="0.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spans="1:29" ht="15.75" customHeight="1" x14ac:dyDescent="0.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spans="1:29" ht="15.75" customHeight="1" x14ac:dyDescent="0.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spans="1:29" ht="15.75" customHeight="1" x14ac:dyDescent="0.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spans="1:29" ht="15.75" customHeight="1" x14ac:dyDescent="0.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spans="1:29" ht="15.75" customHeight="1" x14ac:dyDescent="0.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spans="1:29" ht="15.75" customHeight="1" x14ac:dyDescent="0.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spans="1:29" ht="15.75" customHeight="1"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spans="1:29" ht="15.75" customHeight="1"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spans="1:29" ht="15.75" customHeight="1"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spans="1:29" ht="15.75" customHeight="1"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spans="1:29" ht="15.75" customHeight="1"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spans="1:29" ht="15.75" customHeight="1"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spans="1:29" ht="15.75" customHeight="1"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spans="1:29" ht="15.75" customHeight="1"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spans="1:29" ht="15.75" customHeight="1"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spans="1:29" ht="15.75" customHeight="1"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spans="1:29" ht="15.75" customHeight="1"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spans="1:29" ht="15.75" customHeight="1"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spans="1:29" ht="15.75" customHeight="1"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spans="1:29" ht="15.75" customHeight="1"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spans="1:29" ht="15.75" customHeight="1"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spans="1:29" ht="15.75" customHeight="1"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spans="1:29" ht="15.75" customHeight="1"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spans="1:29" ht="15.75" customHeight="1"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spans="1:29" ht="15.75" customHeight="1"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spans="1:29" ht="15.75" customHeight="1"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spans="1:29" ht="15.75" customHeight="1"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spans="1:29" ht="15.75" customHeight="1"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spans="1:29" ht="15.75" customHeight="1"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spans="1:29" ht="15.75" customHeight="1"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spans="1:29" ht="15.75" customHeight="1"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spans="1:29" ht="15.75" customHeight="1"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spans="1:29" ht="15.75" customHeight="1"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spans="1:29" ht="15.75" customHeight="1"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spans="1:29" ht="15.75" customHeight="1"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spans="1:29" ht="15.75" customHeight="1"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spans="1:29" ht="15.75" customHeight="1"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spans="1:29" ht="15.75" customHeight="1"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spans="1:29" ht="15.75" customHeight="1"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spans="1:29" ht="15.75" customHeight="1"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spans="1:29" ht="15.75" customHeight="1"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spans="1:29" ht="15.75" customHeight="1"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spans="1:29" ht="15.75" customHeight="1"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spans="1:29" ht="15.75" customHeight="1"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spans="1:29" ht="15.75" customHeight="1"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spans="1:29" ht="15.75" customHeight="1"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spans="1:29" ht="15.75" customHeight="1"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spans="1:29" ht="15.75" customHeight="1"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spans="1:29" ht="15.75" customHeight="1"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spans="1:29" ht="15.75" customHeight="1"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spans="1:29" ht="15.75" customHeight="1"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spans="1:29" ht="15.75" customHeight="1"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spans="1:29" ht="15.75" customHeight="1"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spans="1:29" ht="15.75" customHeight="1"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spans="1:29" ht="15.75" customHeight="1"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spans="1:29" ht="15.75" customHeight="1"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spans="1:29" ht="15.75" customHeight="1"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spans="1:29" ht="15.75" customHeight="1"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spans="1:29" ht="15.75" customHeight="1"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spans="1:29" ht="15.75" customHeight="1"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spans="1:29" ht="15.75" customHeight="1"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spans="1:29" ht="15.75" customHeight="1"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spans="1:29" ht="15.75" customHeight="1"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spans="1:29" ht="15.75" customHeight="1"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spans="1:29" ht="15.75" customHeight="1"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spans="1:29" ht="15.75" customHeight="1"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spans="1:29" ht="15.75" customHeight="1"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spans="1:29" ht="15.75" customHeight="1"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spans="1:29" ht="15.75" customHeight="1"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spans="1:29" ht="15.75" customHeight="1"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spans="1:29" ht="15.75" customHeight="1"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spans="1:29" ht="15.75" customHeight="1"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spans="1:29" ht="15.75" customHeight="1"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spans="1:29" ht="15.75" customHeight="1"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spans="1:29" ht="15.75" customHeight="1"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spans="1:29" ht="15.75" customHeight="1"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spans="1:29" ht="15.75" customHeight="1"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spans="1:29" ht="15.75" customHeight="1"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spans="1:29" ht="15.75" customHeight="1"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spans="1:29" ht="15.75" customHeight="1"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spans="1:29" ht="15.75" customHeight="1"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spans="1:29" ht="15.75" customHeight="1"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spans="1:29" ht="15.75" customHeight="1"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spans="1:29" ht="15.75" customHeight="1"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spans="1:29" ht="15.75" customHeight="1"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spans="1:29" ht="15.75" customHeight="1"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spans="1:29" ht="15.75" customHeight="1"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spans="1:29" ht="15.75" customHeight="1"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spans="1:29" ht="15.75" customHeight="1"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spans="1:29" ht="15.75" customHeight="1"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spans="1:29" ht="15.75" customHeight="1"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spans="1:29" ht="15.75" customHeight="1"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spans="1:29" ht="15.75" customHeight="1"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spans="1:29" ht="15.75" customHeight="1"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spans="1:29" ht="15.75" customHeight="1"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spans="1:29" ht="15.75" customHeight="1"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spans="1:29" ht="15.75" customHeight="1"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spans="1:29" ht="15.75" customHeight="1"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spans="1:29" ht="15.75" customHeight="1"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spans="1:29" ht="15.75" customHeight="1"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spans="1:29" ht="15.75" customHeight="1"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spans="1:29" ht="15.75" customHeight="1"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spans="1:29" ht="15.75" customHeight="1"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spans="1:29" ht="15.75" customHeight="1"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spans="1:29" ht="15.75" customHeight="1"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spans="1:29" ht="15.75" customHeight="1"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spans="1:29" ht="15.75" customHeight="1"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spans="1:29" ht="15.75" customHeight="1"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spans="1:29" ht="15.75" customHeight="1"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spans="1:29" ht="15.75" customHeight="1"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spans="1:29" ht="15.75" customHeight="1"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spans="1:29" ht="15.75" customHeight="1"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spans="1:29" ht="15.75" customHeight="1"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spans="1:29" ht="15.75" customHeight="1"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spans="1:29" ht="15.75" customHeight="1"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spans="1:29" ht="15.75" customHeight="1"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spans="1:29" ht="15.75" customHeight="1"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spans="1:29" ht="15.75" customHeight="1"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spans="1:29" ht="15.75" customHeight="1"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spans="1:29" ht="15.75" customHeight="1"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spans="1:29" ht="15.75" customHeight="1"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spans="1:29" ht="15.75" customHeight="1"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spans="1:29" ht="15.75" customHeight="1"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spans="1:29" ht="15.75" customHeight="1"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spans="1:29" ht="15.75" customHeight="1" x14ac:dyDescent="0.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spans="1:29" ht="15.75" customHeight="1" x14ac:dyDescent="0.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spans="1:29" ht="15.75" customHeight="1" x14ac:dyDescent="0.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spans="1:29" ht="15.75" customHeight="1" x14ac:dyDescent="0.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spans="1:29" ht="15.75" customHeight="1" x14ac:dyDescent="0.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spans="1:29" ht="15.75" customHeight="1" x14ac:dyDescent="0.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spans="1:29" ht="15.75" customHeight="1" x14ac:dyDescent="0.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spans="1:29" ht="15.75" customHeight="1" x14ac:dyDescent="0.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spans="1:29" ht="15.75" customHeight="1" x14ac:dyDescent="0.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spans="1:29" ht="15.75" customHeight="1" x14ac:dyDescent="0.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spans="1:29" ht="15.75" customHeight="1" x14ac:dyDescent="0.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spans="1:29" ht="15.75" customHeight="1" x14ac:dyDescent="0.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spans="1:29" ht="15.75" customHeight="1" x14ac:dyDescent="0.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spans="1:29" ht="15.75" customHeight="1" x14ac:dyDescent="0.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spans="1:29" ht="15.75" customHeight="1" x14ac:dyDescent="0.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spans="1:29" ht="15.75" customHeight="1" x14ac:dyDescent="0.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spans="1:29" ht="15.75" customHeight="1" x14ac:dyDescent="0.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spans="1:29" ht="15.75" customHeight="1" x14ac:dyDescent="0.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spans="1:29" ht="15.75" customHeight="1" x14ac:dyDescent="0.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spans="1:29" ht="15.75" customHeight="1" x14ac:dyDescent="0.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spans="1:29" ht="15.75" customHeight="1" x14ac:dyDescent="0.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spans="1:29" ht="15.75" customHeight="1" x14ac:dyDescent="0.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spans="1:29" ht="15.75" customHeight="1" x14ac:dyDescent="0.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spans="1:29" ht="15.75" customHeight="1" x14ac:dyDescent="0.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spans="1:29" ht="15.75" customHeight="1" x14ac:dyDescent="0.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spans="1:29" ht="15.75" customHeight="1" x14ac:dyDescent="0.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spans="1:29" ht="15.75" customHeight="1" x14ac:dyDescent="0.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spans="1:29" ht="15.75" customHeight="1" x14ac:dyDescent="0.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spans="1:29" ht="15.75" customHeight="1" x14ac:dyDescent="0.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spans="1:29" ht="15.75" customHeight="1" x14ac:dyDescent="0.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spans="1:29" ht="15.75" customHeight="1" x14ac:dyDescent="0.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spans="1:29" ht="15.75" customHeight="1" x14ac:dyDescent="0.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spans="1:29" ht="15.75" customHeight="1" x14ac:dyDescent="0.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spans="1:29" ht="15.75" customHeight="1" x14ac:dyDescent="0.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spans="1:29" ht="15.75" customHeight="1" x14ac:dyDescent="0.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spans="1:29" ht="15.75" customHeight="1" x14ac:dyDescent="0.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spans="1:29" ht="15.75" customHeight="1" x14ac:dyDescent="0.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spans="1:29" ht="15.75" customHeight="1" x14ac:dyDescent="0.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spans="1:29" ht="15.75" customHeight="1" x14ac:dyDescent="0.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spans="1:29" ht="15.75" customHeight="1" x14ac:dyDescent="0.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spans="1:29" ht="15.75" customHeight="1" x14ac:dyDescent="0.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spans="1:29" ht="15.75" customHeight="1" x14ac:dyDescent="0.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spans="1:29" ht="15.75" customHeight="1" x14ac:dyDescent="0.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spans="1:29" ht="15.75" customHeight="1" x14ac:dyDescent="0.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spans="1:29" ht="15.75" customHeight="1" x14ac:dyDescent="0.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spans="1:29" ht="15.75" customHeight="1" x14ac:dyDescent="0.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spans="1:29" ht="15.75" customHeight="1" x14ac:dyDescent="0.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spans="1:29" ht="15.75" customHeight="1" x14ac:dyDescent="0.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spans="1:29" ht="15.75" customHeight="1" x14ac:dyDescent="0.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spans="1:29" ht="15.75" customHeight="1" x14ac:dyDescent="0.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spans="1:29" ht="15.75" customHeight="1" x14ac:dyDescent="0.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spans="1:29" ht="15.75" customHeight="1" x14ac:dyDescent="0.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spans="1:29" ht="15.75" customHeight="1" x14ac:dyDescent="0.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spans="1:29" ht="15.75" customHeight="1" x14ac:dyDescent="0.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spans="1:29" ht="15.75" customHeight="1" x14ac:dyDescent="0.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spans="1:29" ht="15.75" customHeight="1" x14ac:dyDescent="0.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spans="1:29" ht="15.75" customHeight="1" x14ac:dyDescent="0.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spans="1:29" ht="15.75" customHeight="1" x14ac:dyDescent="0.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spans="1:29" ht="15.75" customHeight="1" x14ac:dyDescent="0.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spans="1:29" ht="15.75" customHeight="1" x14ac:dyDescent="0.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spans="1:29" ht="15.75" customHeight="1" x14ac:dyDescent="0.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spans="1:29" ht="15.75" customHeight="1" x14ac:dyDescent="0.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spans="1:29" ht="15.75" customHeight="1" x14ac:dyDescent="0.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spans="1:29" ht="15.75" customHeight="1" x14ac:dyDescent="0.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spans="1:29" ht="15.75" customHeight="1" x14ac:dyDescent="0.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spans="1:29" ht="15.75" customHeight="1" x14ac:dyDescent="0.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spans="1:29" ht="15.75" customHeight="1" x14ac:dyDescent="0.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spans="1:29" ht="15.75" customHeight="1" x14ac:dyDescent="0.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spans="1:29" ht="15.75" customHeight="1" x14ac:dyDescent="0.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spans="1:29" ht="15.75" customHeight="1" x14ac:dyDescent="0.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spans="1:29" ht="15.75" customHeight="1" x14ac:dyDescent="0.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spans="1:29" ht="15.75" customHeight="1" x14ac:dyDescent="0.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spans="1:29" ht="15.75" customHeight="1" x14ac:dyDescent="0.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spans="1:29" ht="15.75" customHeight="1" x14ac:dyDescent="0.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spans="1:29" ht="15.75" customHeight="1" x14ac:dyDescent="0.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spans="1:29" ht="15.75" customHeight="1" x14ac:dyDescent="0.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spans="1:29" ht="15.75" customHeight="1" x14ac:dyDescent="0.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spans="1:29" ht="15.75" customHeight="1" x14ac:dyDescent="0.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spans="1:29" ht="15.75" customHeight="1" x14ac:dyDescent="0.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spans="1:29" ht="15.75" customHeight="1" x14ac:dyDescent="0.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spans="1:29" ht="15.75" customHeight="1" x14ac:dyDescent="0.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spans="1:29" ht="15.75" customHeight="1" x14ac:dyDescent="0.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spans="1:29" ht="15.75" customHeight="1" x14ac:dyDescent="0.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spans="1:29" ht="15.75" customHeight="1" x14ac:dyDescent="0.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spans="1:29" ht="15.75" customHeight="1" x14ac:dyDescent="0.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spans="1:29" ht="15.75" customHeight="1" x14ac:dyDescent="0.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spans="1:29" ht="15.75" customHeight="1" x14ac:dyDescent="0.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spans="1:29" ht="15.75" customHeight="1" x14ac:dyDescent="0.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spans="1:29" ht="15.75" customHeight="1" x14ac:dyDescent="0.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spans="1:29" ht="15.75" customHeight="1" x14ac:dyDescent="0.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spans="1:29" ht="15.75" customHeight="1" x14ac:dyDescent="0.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spans="1:29" ht="15.75" customHeight="1" x14ac:dyDescent="0.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spans="1:29" ht="15.75" customHeight="1" x14ac:dyDescent="0.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spans="1:29" ht="15.75" customHeight="1" x14ac:dyDescent="0.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spans="1:29" ht="15.75" customHeight="1" x14ac:dyDescent="0.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spans="1:29" ht="15.75" customHeight="1" x14ac:dyDescent="0.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spans="1:29" ht="15.75" customHeight="1" x14ac:dyDescent="0.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spans="1:29" ht="15.75" customHeight="1" x14ac:dyDescent="0.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spans="1:29" ht="15.75" customHeight="1" x14ac:dyDescent="0.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spans="1:29" ht="15.75" customHeight="1" x14ac:dyDescent="0.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spans="1:29" ht="15.75" customHeight="1" x14ac:dyDescent="0.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spans="1:29" ht="15.75" customHeight="1" x14ac:dyDescent="0.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spans="1:29" ht="15.75" customHeight="1" x14ac:dyDescent="0.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spans="1:29" ht="15.75" customHeight="1" x14ac:dyDescent="0.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spans="1:29" ht="15.75" customHeight="1" x14ac:dyDescent="0.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spans="1:29" ht="15.75" customHeight="1" x14ac:dyDescent="0.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spans="1:29" ht="15.75" customHeight="1" x14ac:dyDescent="0.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spans="1:29" ht="15.75" customHeight="1" x14ac:dyDescent="0.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spans="1:29" ht="15.75" customHeight="1" x14ac:dyDescent="0.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spans="1:29" ht="15.75" customHeight="1" x14ac:dyDescent="0.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spans="1:29" ht="15.75" customHeight="1" x14ac:dyDescent="0.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spans="1:29" ht="15.75" customHeight="1" x14ac:dyDescent="0.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spans="1:29" ht="15.75" customHeight="1" x14ac:dyDescent="0.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spans="1:29" ht="15.75" customHeight="1" x14ac:dyDescent="0.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spans="1:29" ht="15.75" customHeight="1" x14ac:dyDescent="0.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spans="1:29" ht="15.75" customHeight="1" x14ac:dyDescent="0.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spans="1:29" ht="15.75" customHeight="1" x14ac:dyDescent="0.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spans="1:29" ht="15.75" customHeight="1" x14ac:dyDescent="0.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spans="1:29" ht="15.75" customHeight="1" x14ac:dyDescent="0.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spans="1:29" ht="15.75" customHeight="1" x14ac:dyDescent="0.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spans="1:29" ht="15.75" customHeight="1" x14ac:dyDescent="0.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spans="1:29" ht="15.75" customHeight="1" x14ac:dyDescent="0.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spans="1:29" ht="15.75" customHeight="1" x14ac:dyDescent="0.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spans="1:29" ht="15.75" customHeight="1" x14ac:dyDescent="0.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spans="1:29" ht="15.75" customHeight="1" x14ac:dyDescent="0.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spans="1:29" ht="15.75" customHeight="1" x14ac:dyDescent="0.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spans="1:29" ht="15.75" customHeight="1" x14ac:dyDescent="0.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spans="1:29" ht="15.75" customHeight="1" x14ac:dyDescent="0.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spans="1:29" ht="15.75" customHeight="1" x14ac:dyDescent="0.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spans="1:29" ht="15.75" customHeight="1" x14ac:dyDescent="0.2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spans="1:29" ht="15.75" customHeight="1" x14ac:dyDescent="0.2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spans="1:29" ht="15.75" customHeight="1" x14ac:dyDescent="0.2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spans="1:29" ht="15.75" customHeight="1" x14ac:dyDescent="0.2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spans="1:29" ht="15.75" customHeight="1" x14ac:dyDescent="0.2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spans="1:29" ht="15.75" customHeight="1" x14ac:dyDescent="0.2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spans="1:29" ht="15.75" customHeight="1" x14ac:dyDescent="0.2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spans="1:29" ht="15.75" customHeight="1" x14ac:dyDescent="0.2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spans="1:29" ht="15.75" customHeight="1" x14ac:dyDescent="0.2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spans="1:29" ht="15.75" customHeight="1" x14ac:dyDescent="0.2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spans="1:29" ht="15.75" customHeight="1" x14ac:dyDescent="0.2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spans="1:29" ht="15.75" customHeight="1" x14ac:dyDescent="0.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spans="1:29" ht="15.75" customHeight="1" x14ac:dyDescent="0.2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spans="1:29" ht="15.75" customHeight="1" x14ac:dyDescent="0.2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spans="1:29" ht="15.75" customHeight="1" x14ac:dyDescent="0.2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spans="1:29" ht="15.75" customHeight="1" x14ac:dyDescent="0.2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spans="1:29" ht="15.75" customHeight="1" x14ac:dyDescent="0.2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spans="1:29" ht="15.75" customHeight="1" x14ac:dyDescent="0.2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spans="1:29" ht="15.75" customHeight="1" x14ac:dyDescent="0.2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spans="1:29" ht="15.75" customHeight="1" x14ac:dyDescent="0.2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spans="1:29" ht="15.75" customHeight="1" x14ac:dyDescent="0.2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spans="1:29" ht="15.75" customHeight="1" x14ac:dyDescent="0.2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spans="1:29" ht="15.75" customHeight="1" x14ac:dyDescent="0.2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spans="1:29" ht="15.75" customHeight="1" x14ac:dyDescent="0.2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spans="1:29" ht="15.75" customHeight="1" x14ac:dyDescent="0.2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spans="1:29" ht="15.75" customHeight="1" x14ac:dyDescent="0.2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spans="1:29" ht="15.75" customHeight="1" x14ac:dyDescent="0.2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spans="1:29" ht="15.75" customHeight="1" x14ac:dyDescent="0.2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spans="1:29" ht="15.75" customHeight="1" x14ac:dyDescent="0.2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spans="1:29" ht="15.75" customHeight="1" x14ac:dyDescent="0.2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spans="1:29" ht="15.75" customHeight="1" x14ac:dyDescent="0.2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spans="1:29" ht="15.75" customHeight="1" x14ac:dyDescent="0.2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spans="1:29" ht="15.75" customHeight="1" x14ac:dyDescent="0.2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spans="1:29" ht="15.75" customHeight="1" x14ac:dyDescent="0.2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spans="1:29" ht="15.75" customHeight="1" x14ac:dyDescent="0.2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spans="1:29" ht="15.75" customHeight="1" x14ac:dyDescent="0.2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spans="1:29" ht="15.75" customHeight="1" x14ac:dyDescent="0.2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spans="1:29" ht="15.75" customHeight="1" x14ac:dyDescent="0.2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spans="1:29" ht="15.75" customHeight="1" x14ac:dyDescent="0.2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spans="1:29" ht="15.75" customHeight="1" x14ac:dyDescent="0.2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spans="1:29" ht="15.75" customHeight="1" x14ac:dyDescent="0.2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spans="1:29" ht="15.75" customHeight="1" x14ac:dyDescent="0.2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spans="1:29" ht="15.75" customHeight="1" x14ac:dyDescent="0.2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spans="1:29" ht="15.75" customHeight="1" x14ac:dyDescent="0.2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spans="1:29" ht="15.75" customHeight="1" x14ac:dyDescent="0.2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spans="1:29" ht="15.75" customHeight="1" x14ac:dyDescent="0.2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spans="1:29" ht="15.75" customHeight="1" x14ac:dyDescent="0.2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spans="1:29" ht="15.75" customHeight="1" x14ac:dyDescent="0.2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spans="1:29" ht="15.75" customHeight="1" x14ac:dyDescent="0.2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spans="1:29" ht="15.75" customHeight="1" x14ac:dyDescent="0.2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spans="1:29" ht="15.75" customHeight="1" x14ac:dyDescent="0.2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spans="1:29" ht="15.75" customHeight="1" x14ac:dyDescent="0.2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spans="1:29" ht="15.75" customHeight="1" x14ac:dyDescent="0.2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spans="1:29" ht="15.75" customHeight="1" x14ac:dyDescent="0.2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spans="1:29" ht="15.75" customHeight="1" x14ac:dyDescent="0.2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spans="1:29" ht="15.75" customHeight="1" x14ac:dyDescent="0.2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spans="1:29" ht="15.75" customHeight="1" x14ac:dyDescent="0.2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spans="1:29" ht="15.75" customHeight="1" x14ac:dyDescent="0.2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spans="1:29" ht="15.75" customHeight="1" x14ac:dyDescent="0.2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spans="1:29" ht="15.75" customHeight="1" x14ac:dyDescent="0.2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spans="1:29" ht="15.75" customHeight="1" x14ac:dyDescent="0.2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spans="1:29" ht="15.75" customHeight="1" x14ac:dyDescent="0.2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spans="1:29" ht="15.75" customHeight="1" x14ac:dyDescent="0.2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spans="1:29" ht="15.75" customHeight="1" x14ac:dyDescent="0.2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spans="1:29" ht="15.75" customHeight="1" x14ac:dyDescent="0.2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spans="1:29" ht="15.75" customHeight="1" x14ac:dyDescent="0.2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spans="1:29" ht="15.75" customHeight="1" x14ac:dyDescent="0.2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spans="1:29" ht="15.75" customHeight="1" x14ac:dyDescent="0.2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spans="1:29" ht="15.75" customHeight="1" x14ac:dyDescent="0.2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spans="1:29" ht="15.75" customHeight="1" x14ac:dyDescent="0.2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spans="1:29" ht="15.75" customHeight="1" x14ac:dyDescent="0.2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spans="1:29" ht="15.75" customHeight="1" x14ac:dyDescent="0.2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spans="1:29" ht="15.75" customHeight="1" x14ac:dyDescent="0.2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spans="1:29" ht="15.75" customHeight="1" x14ac:dyDescent="0.2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spans="1:29" ht="15.75" customHeight="1" x14ac:dyDescent="0.2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spans="1:29" ht="15.75" customHeight="1" x14ac:dyDescent="0.2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spans="1:29" ht="15.75" customHeight="1" x14ac:dyDescent="0.2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spans="1:29" ht="15.75" customHeight="1" x14ac:dyDescent="0.2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spans="1:29" ht="15.75" customHeight="1" x14ac:dyDescent="0.2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spans="1:29" ht="15.75" customHeight="1" x14ac:dyDescent="0.2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spans="1:29" ht="15.75" customHeight="1" x14ac:dyDescent="0.2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spans="1:29" ht="15.75" customHeight="1" x14ac:dyDescent="0.2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spans="1:29" ht="15.75" customHeight="1" x14ac:dyDescent="0.2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spans="1:29" ht="15.75" customHeight="1" x14ac:dyDescent="0.2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spans="1:29" ht="15.75" customHeight="1" x14ac:dyDescent="0.2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spans="1:29" ht="15.75" customHeight="1" x14ac:dyDescent="0.2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spans="1:29" ht="15.75" customHeight="1" x14ac:dyDescent="0.2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spans="1:29" ht="15.75" customHeight="1" x14ac:dyDescent="0.2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spans="1:29" ht="15.75" customHeight="1" x14ac:dyDescent="0.2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spans="1:29" ht="15.75" customHeight="1" x14ac:dyDescent="0.2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spans="1:29" ht="15.75" customHeight="1" x14ac:dyDescent="0.2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spans="1:29" ht="15.75" customHeight="1" x14ac:dyDescent="0.2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spans="1:29" ht="15.75" customHeight="1" x14ac:dyDescent="0.2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spans="1:29" ht="15.75" customHeight="1" x14ac:dyDescent="0.2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spans="1:29" ht="15.75" customHeight="1" x14ac:dyDescent="0.2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spans="1:29" ht="15.75" customHeight="1" x14ac:dyDescent="0.2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spans="1:29" ht="15.75" customHeight="1" x14ac:dyDescent="0.2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spans="1:29" ht="15.75" customHeight="1" x14ac:dyDescent="0.2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spans="1:29" ht="15.75" customHeight="1" x14ac:dyDescent="0.2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spans="1:29" ht="15.75" customHeight="1" x14ac:dyDescent="0.2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spans="1:29" ht="15.75" customHeight="1" x14ac:dyDescent="0.2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spans="1:29" ht="15.75" customHeight="1" x14ac:dyDescent="0.2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spans="1:29" ht="15.75" customHeight="1" x14ac:dyDescent="0.2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spans="1:29" ht="15.75" customHeight="1" x14ac:dyDescent="0.2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spans="1:29" ht="15.75" customHeight="1" x14ac:dyDescent="0.2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spans="1:29" ht="15.75" customHeight="1" x14ac:dyDescent="0.2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spans="1:29" ht="15.75" customHeight="1" x14ac:dyDescent="0.2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spans="1:29" ht="15.75" customHeight="1" x14ac:dyDescent="0.2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spans="1:29" ht="15.75" customHeight="1" x14ac:dyDescent="0.2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spans="1:29" ht="15.75" customHeight="1" x14ac:dyDescent="0.2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spans="1:29" ht="15.75" customHeight="1" x14ac:dyDescent="0.2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spans="1:29" ht="15.75" customHeight="1" x14ac:dyDescent="0.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spans="1:29" ht="15.75" customHeight="1" x14ac:dyDescent="0.2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spans="1:29" ht="15.75" customHeight="1" x14ac:dyDescent="0.2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spans="1:29" ht="15.75" customHeight="1" x14ac:dyDescent="0.2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spans="1:29" ht="15.75" customHeight="1" x14ac:dyDescent="0.2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spans="1:29" ht="15.75" customHeight="1" x14ac:dyDescent="0.2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spans="1:29" ht="15.75" customHeight="1" x14ac:dyDescent="0.2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spans="1:29" ht="15.75" customHeight="1" x14ac:dyDescent="0.2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spans="1:29" ht="15.75" customHeight="1" x14ac:dyDescent="0.2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spans="1:29" ht="15.75" customHeight="1" x14ac:dyDescent="0.2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spans="1:29" ht="15.75" customHeight="1" x14ac:dyDescent="0.2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spans="1:29" ht="15.75" customHeight="1" x14ac:dyDescent="0.2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spans="1:29" ht="15.75" customHeight="1" x14ac:dyDescent="0.2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spans="1:29" ht="15.75" customHeight="1" x14ac:dyDescent="0.2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spans="1:29" ht="15.75" customHeight="1" x14ac:dyDescent="0.2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spans="1:29" ht="15.75" customHeight="1" x14ac:dyDescent="0.2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spans="1:29" ht="15.75" customHeight="1" x14ac:dyDescent="0.2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spans="1:29" ht="15.75" customHeight="1" x14ac:dyDescent="0.2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spans="1:29" ht="15.75" customHeight="1" x14ac:dyDescent="0.2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spans="1:29" ht="15.75" customHeight="1" x14ac:dyDescent="0.2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spans="1:29" ht="15.75" customHeight="1" x14ac:dyDescent="0.2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spans="1:29" ht="15.75" customHeight="1" x14ac:dyDescent="0.2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spans="1:29" ht="15.75" customHeight="1" x14ac:dyDescent="0.2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spans="1:29" ht="15.75" customHeight="1" x14ac:dyDescent="0.2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spans="1:29" ht="15.75" customHeight="1" x14ac:dyDescent="0.2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spans="1:29" ht="15.75" customHeight="1" x14ac:dyDescent="0.2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spans="1:29" ht="15.75" customHeight="1" x14ac:dyDescent="0.2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spans="1:29" ht="15.75" customHeight="1" x14ac:dyDescent="0.2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spans="1:29" ht="15.75" customHeight="1" x14ac:dyDescent="0.2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spans="1:29" ht="15.75" customHeight="1" x14ac:dyDescent="0.2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spans="1:29" ht="15.75" customHeight="1" x14ac:dyDescent="0.2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spans="1:29" ht="15.75" customHeight="1" x14ac:dyDescent="0.2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spans="1:29" ht="15.75" customHeight="1" x14ac:dyDescent="0.2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spans="1:29" ht="15.75" customHeight="1" x14ac:dyDescent="0.2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spans="1:29" ht="15.75" customHeight="1" x14ac:dyDescent="0.2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spans="1:29" ht="15.75" customHeight="1" x14ac:dyDescent="0.2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spans="1:29" ht="15.75" customHeight="1" x14ac:dyDescent="0.2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spans="1:29" ht="15.75" customHeight="1" x14ac:dyDescent="0.2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spans="1:29" ht="15.75" customHeight="1" x14ac:dyDescent="0.2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spans="1:29" ht="15.75" customHeight="1" x14ac:dyDescent="0.2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spans="1:29" ht="15.75" customHeight="1" x14ac:dyDescent="0.2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spans="1:29" ht="15.75" customHeight="1" x14ac:dyDescent="0.2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spans="1:29" ht="15.75" customHeight="1" x14ac:dyDescent="0.2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spans="1:29" ht="15.75" customHeight="1" x14ac:dyDescent="0.2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spans="1:29" ht="15.75" customHeight="1" x14ac:dyDescent="0.2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spans="1:29" ht="15.75" customHeight="1" x14ac:dyDescent="0.2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spans="1:29" ht="15.75" customHeight="1" x14ac:dyDescent="0.2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spans="1:29" ht="15.75" customHeight="1" x14ac:dyDescent="0.2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spans="1:29" ht="15.75" customHeight="1" x14ac:dyDescent="0.2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spans="1:29" ht="15.75" customHeight="1" x14ac:dyDescent="0.2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spans="1:29" ht="15.75" customHeight="1" x14ac:dyDescent="0.2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spans="1:29" ht="15.75" customHeight="1" x14ac:dyDescent="0.2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spans="1:29" ht="15.75" customHeight="1" x14ac:dyDescent="0.2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spans="1:29" ht="15.75" customHeight="1" x14ac:dyDescent="0.2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spans="1:29" ht="15.75" customHeight="1" x14ac:dyDescent="0.2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spans="1:29" ht="15.75" customHeight="1" x14ac:dyDescent="0.2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spans="1:29" ht="15.75" customHeight="1" x14ac:dyDescent="0.2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spans="1:29" ht="15.75" customHeight="1" x14ac:dyDescent="0.2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spans="1:29" ht="15.75" customHeight="1" x14ac:dyDescent="0.2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spans="1:29" ht="15.75" customHeight="1" x14ac:dyDescent="0.2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spans="1:29" ht="15.75" customHeight="1" x14ac:dyDescent="0.2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spans="1:29" ht="15.75" customHeight="1" x14ac:dyDescent="0.2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spans="1:29" ht="15.75" customHeight="1" x14ac:dyDescent="0.2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spans="1:29" ht="15.75" customHeight="1" x14ac:dyDescent="0.2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spans="1:29" ht="15.75" customHeight="1" x14ac:dyDescent="0.2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spans="1:29" ht="15.75" customHeight="1" x14ac:dyDescent="0.2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spans="1:29" ht="15.75" customHeight="1" x14ac:dyDescent="0.2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spans="1:29" ht="15.75" customHeight="1" x14ac:dyDescent="0.2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spans="1:29" ht="15.75" customHeight="1" x14ac:dyDescent="0.2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spans="1:29" ht="15.75" customHeight="1" x14ac:dyDescent="0.2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spans="1:29" ht="15.75" customHeight="1" x14ac:dyDescent="0.2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spans="1:29" ht="15.75" customHeight="1" x14ac:dyDescent="0.2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spans="1:29" ht="15.75" customHeight="1" x14ac:dyDescent="0.2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spans="1:29" ht="15.75" customHeight="1" x14ac:dyDescent="0.2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spans="1:29" ht="15.75" customHeight="1" x14ac:dyDescent="0.2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spans="1:29" ht="15.75" customHeight="1" x14ac:dyDescent="0.2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spans="1:29" ht="15.75" customHeight="1" x14ac:dyDescent="0.2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spans="1:29" ht="15.75" customHeight="1" x14ac:dyDescent="0.2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spans="1:29" ht="15.75" customHeight="1" x14ac:dyDescent="0.2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spans="1:29" ht="15.75" customHeight="1" x14ac:dyDescent="0.2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spans="1:29" ht="15.75" customHeight="1" x14ac:dyDescent="0.2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spans="1:29" ht="15.75" customHeight="1" x14ac:dyDescent="0.2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spans="1:29" ht="15.75" customHeight="1" x14ac:dyDescent="0.2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spans="1:29" ht="15.75" customHeight="1" x14ac:dyDescent="0.2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spans="1:29" ht="15.75" customHeight="1" x14ac:dyDescent="0.2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spans="1:29" ht="15.75" customHeight="1" x14ac:dyDescent="0.2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spans="1:29" ht="15.75" customHeight="1" x14ac:dyDescent="0.2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spans="1:29" ht="15.75" customHeight="1" x14ac:dyDescent="0.2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spans="1:29" ht="15.75" customHeight="1" x14ac:dyDescent="0.2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spans="1:29" ht="15.75" customHeight="1" x14ac:dyDescent="0.2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spans="1:29" ht="15.75" customHeight="1" x14ac:dyDescent="0.2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spans="1:29" ht="15.75" customHeight="1" x14ac:dyDescent="0.2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spans="1:29" ht="15.75" customHeight="1" x14ac:dyDescent="0.2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spans="1:29" ht="15.75" customHeight="1" x14ac:dyDescent="0.2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spans="1:29" ht="15.75" customHeight="1" x14ac:dyDescent="0.2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spans="1:29" ht="15.75" customHeight="1" x14ac:dyDescent="0.2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spans="1:29" ht="15.75" customHeight="1" x14ac:dyDescent="0.2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spans="1:29" ht="15.75" customHeight="1" x14ac:dyDescent="0.2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spans="1:29" ht="15.75" customHeight="1" x14ac:dyDescent="0.2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spans="1:29" ht="15.75" customHeight="1" x14ac:dyDescent="0.2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spans="1:29" ht="15.75" customHeight="1" x14ac:dyDescent="0.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spans="1:29" ht="15.75" customHeight="1" x14ac:dyDescent="0.2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spans="1:29" ht="15.75" customHeight="1" x14ac:dyDescent="0.2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spans="1:29" ht="15.75" customHeight="1" x14ac:dyDescent="0.2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spans="1:29" ht="15.75" customHeight="1" x14ac:dyDescent="0.2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spans="1:29" ht="15.75" customHeight="1" x14ac:dyDescent="0.2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spans="1:29" ht="15.75" customHeight="1" x14ac:dyDescent="0.2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spans="1:29" ht="15.75" customHeight="1" x14ac:dyDescent="0.2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spans="1:29" ht="15.75" customHeight="1" x14ac:dyDescent="0.2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spans="1:29" ht="15.75" customHeight="1" x14ac:dyDescent="0.2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spans="1:29" ht="15.75" customHeight="1" x14ac:dyDescent="0.2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spans="1:29" ht="15.75" customHeight="1" x14ac:dyDescent="0.2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spans="1:29" ht="15.75" customHeight="1" x14ac:dyDescent="0.2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spans="1:29" ht="15.75" customHeight="1" x14ac:dyDescent="0.2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spans="1:29" ht="15.75" customHeight="1" x14ac:dyDescent="0.2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spans="1:29" ht="15.75" customHeight="1" x14ac:dyDescent="0.2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spans="1:29" ht="15.75" customHeight="1" x14ac:dyDescent="0.2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spans="1:29" ht="15.75" customHeight="1" x14ac:dyDescent="0.2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spans="1:29" ht="15.75" customHeight="1" x14ac:dyDescent="0.2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spans="1:29" ht="15.75" customHeight="1" x14ac:dyDescent="0.2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spans="1:29" ht="15.75" customHeight="1" x14ac:dyDescent="0.2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spans="1:29" ht="15.75" customHeight="1" x14ac:dyDescent="0.2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spans="1:29" ht="15.75" customHeight="1" x14ac:dyDescent="0.2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spans="1:29" ht="15.75" customHeight="1" x14ac:dyDescent="0.2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spans="1:29" ht="15.75" customHeight="1" x14ac:dyDescent="0.2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spans="1:29" ht="15.75" customHeight="1" x14ac:dyDescent="0.2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spans="1:29" ht="15.75" customHeight="1" x14ac:dyDescent="0.2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spans="1:29" ht="15.75" customHeight="1" x14ac:dyDescent="0.2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spans="1:29" ht="15.75" customHeight="1" x14ac:dyDescent="0.2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spans="1:29" ht="15.75" customHeight="1" x14ac:dyDescent="0.2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spans="1:29" ht="15.75" customHeight="1" x14ac:dyDescent="0.2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spans="1:29" ht="15.75" customHeight="1" x14ac:dyDescent="0.2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spans="1:29" ht="15.75" customHeight="1" x14ac:dyDescent="0.2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spans="1:29" ht="15.75" customHeight="1" x14ac:dyDescent="0.2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spans="1:29" ht="15.75" customHeight="1" x14ac:dyDescent="0.2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spans="1:29" ht="15.75" customHeight="1" x14ac:dyDescent="0.2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spans="1:29" ht="15.75" customHeight="1" x14ac:dyDescent="0.2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spans="1:29" ht="15.75" customHeight="1" x14ac:dyDescent="0.2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spans="1:29" ht="15.75" customHeight="1" x14ac:dyDescent="0.2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spans="1:29" ht="15.75" customHeight="1" x14ac:dyDescent="0.2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spans="1:29" ht="15.75" customHeight="1" x14ac:dyDescent="0.2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spans="1:29" ht="15.75" customHeight="1" x14ac:dyDescent="0.2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spans="1:29" ht="15.75" customHeight="1" x14ac:dyDescent="0.2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spans="1:29" ht="15.75" customHeight="1" x14ac:dyDescent="0.2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spans="1:29" ht="15.75" customHeight="1" x14ac:dyDescent="0.2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spans="1:29" ht="15.75" customHeight="1" x14ac:dyDescent="0.2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spans="1:29" ht="15.75" customHeight="1" x14ac:dyDescent="0.2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spans="1:29" ht="15.75" customHeight="1" x14ac:dyDescent="0.2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spans="1:29" ht="15.75" customHeight="1" x14ac:dyDescent="0.2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spans="1:29" ht="15.75" customHeight="1" x14ac:dyDescent="0.2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spans="1:29" ht="15.75" customHeight="1" x14ac:dyDescent="0.2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spans="1:29" ht="15.75" customHeight="1" x14ac:dyDescent="0.2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spans="1:29" ht="15.75" customHeight="1" x14ac:dyDescent="0.2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spans="1:29" ht="15.75" customHeight="1" x14ac:dyDescent="0.2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spans="1:29" ht="15.75" customHeight="1" x14ac:dyDescent="0.2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spans="1:29" ht="15.75" customHeight="1" x14ac:dyDescent="0.2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spans="1:29" ht="15.75" customHeight="1" x14ac:dyDescent="0.2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spans="1:29" ht="15.75" customHeight="1" x14ac:dyDescent="0.2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spans="1:29" ht="15.75" customHeight="1" x14ac:dyDescent="0.2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spans="1:29" ht="15.75" customHeight="1" x14ac:dyDescent="0.2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spans="1:29" ht="15.75" customHeight="1" x14ac:dyDescent="0.2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spans="1:29" ht="15.75" customHeight="1" x14ac:dyDescent="0.2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spans="1:29" ht="15.75" customHeight="1" x14ac:dyDescent="0.2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spans="1:29" ht="15.75" customHeight="1" x14ac:dyDescent="0.2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spans="1:29" ht="15.75" customHeight="1" x14ac:dyDescent="0.2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spans="1:29" ht="15.75" customHeight="1" x14ac:dyDescent="0.2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spans="1:29" ht="15.75" customHeight="1" x14ac:dyDescent="0.2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spans="1:29" ht="15.75" customHeight="1" x14ac:dyDescent="0.2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spans="1:29" ht="15.75" customHeight="1" x14ac:dyDescent="0.2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spans="1:29" ht="15.75" customHeight="1" x14ac:dyDescent="0.2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spans="1:29" ht="15.75" customHeight="1" x14ac:dyDescent="0.2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spans="1:29" ht="15.75" customHeight="1" x14ac:dyDescent="0.2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spans="1:29" ht="15.75" customHeight="1" x14ac:dyDescent="0.2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spans="1:29" ht="15.75" customHeight="1" x14ac:dyDescent="0.2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spans="1:29" ht="15.75" customHeight="1" x14ac:dyDescent="0.2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spans="1:29" ht="15.75" customHeight="1" x14ac:dyDescent="0.2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spans="1:29" ht="15.75" customHeight="1" x14ac:dyDescent="0.2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spans="1:29" ht="15.75" customHeight="1" x14ac:dyDescent="0.2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spans="1:29" ht="15.75" customHeight="1" x14ac:dyDescent="0.2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spans="1:29" ht="15.75" customHeight="1" x14ac:dyDescent="0.2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spans="1:29" ht="15.75" customHeight="1" x14ac:dyDescent="0.2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spans="1:29" ht="15.75" customHeight="1" x14ac:dyDescent="0.2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spans="1:29" ht="15.75" customHeight="1" x14ac:dyDescent="0.2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spans="1:29" ht="15.75" customHeight="1" x14ac:dyDescent="0.2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spans="1:29" ht="15.75" customHeight="1" x14ac:dyDescent="0.2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spans="1:29" ht="15.75" customHeight="1" x14ac:dyDescent="0.2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spans="1:29" ht="15.75" customHeight="1" x14ac:dyDescent="0.2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spans="1:29" ht="15.75" customHeight="1" x14ac:dyDescent="0.2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spans="1:29" ht="15.75" customHeight="1" x14ac:dyDescent="0.2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spans="1:29" ht="15.75" customHeight="1" x14ac:dyDescent="0.2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spans="1:29" ht="15.75" customHeight="1" x14ac:dyDescent="0.2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spans="1:29" ht="15.75" customHeight="1" x14ac:dyDescent="0.2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spans="1:29" ht="15.75" customHeight="1" x14ac:dyDescent="0.2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spans="1:29" ht="15.75" customHeight="1" x14ac:dyDescent="0.2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spans="1:29" ht="15.75" customHeight="1" x14ac:dyDescent="0.2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spans="1:29" ht="15.75" customHeight="1" x14ac:dyDescent="0.2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spans="1:29" ht="15.75" customHeight="1" x14ac:dyDescent="0.2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spans="1:29" ht="15.75" customHeight="1" x14ac:dyDescent="0.2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spans="1:29" ht="15.75" customHeight="1" x14ac:dyDescent="0.2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spans="1:29" ht="15.75" customHeight="1" x14ac:dyDescent="0.2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spans="1:29" ht="15.75" customHeight="1" x14ac:dyDescent="0.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spans="1:29" ht="15.75" customHeight="1" x14ac:dyDescent="0.2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spans="1:29" ht="15.75" customHeight="1" x14ac:dyDescent="0.2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spans="1:29" ht="15.75" customHeight="1" x14ac:dyDescent="0.2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spans="1:29" ht="15.75" customHeight="1" x14ac:dyDescent="0.2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spans="1:29" ht="15.75" customHeight="1" x14ac:dyDescent="0.2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spans="1:29" ht="15.75" customHeight="1" x14ac:dyDescent="0.2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spans="1:29" ht="15.75" customHeight="1" x14ac:dyDescent="0.2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spans="1:29" ht="15.75" customHeight="1" x14ac:dyDescent="0.2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spans="1:29" ht="15.75" customHeight="1" x14ac:dyDescent="0.2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spans="1:29" ht="15.75" customHeight="1" x14ac:dyDescent="0.2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spans="1:29" ht="15.75" customHeight="1" x14ac:dyDescent="0.2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spans="1:29" ht="15.75" customHeight="1" x14ac:dyDescent="0.2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spans="1:29" ht="15.75" customHeight="1" x14ac:dyDescent="0.2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spans="1:29" ht="15.75" customHeight="1" x14ac:dyDescent="0.2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spans="1:29" ht="15.75" customHeight="1" x14ac:dyDescent="0.2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spans="1:29" ht="15.75" customHeight="1" x14ac:dyDescent="0.2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spans="1:29" ht="15.75" customHeight="1" x14ac:dyDescent="0.2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spans="1:29" ht="15.75" customHeight="1" x14ac:dyDescent="0.2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spans="1:29" ht="15.75" customHeight="1" x14ac:dyDescent="0.2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spans="1:29" ht="15.75" customHeight="1" x14ac:dyDescent="0.2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spans="1:29" ht="15.75" customHeight="1" x14ac:dyDescent="0.2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spans="1:29" ht="15.75" customHeight="1" x14ac:dyDescent="0.2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spans="1:29" ht="15.75" customHeight="1" x14ac:dyDescent="0.2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spans="1:29" ht="15.75" customHeight="1" x14ac:dyDescent="0.2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spans="1:29" ht="15.75" customHeight="1" x14ac:dyDescent="0.2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spans="1:29" ht="15.75" customHeight="1" x14ac:dyDescent="0.2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spans="1:29" ht="15.75" customHeight="1" x14ac:dyDescent="0.2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spans="1:29" ht="15.75" customHeight="1" x14ac:dyDescent="0.2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spans="1:29" ht="15.75" customHeight="1" x14ac:dyDescent="0.2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spans="1:29" ht="15.75" customHeight="1" x14ac:dyDescent="0.2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spans="1:29" ht="15.75" customHeight="1" x14ac:dyDescent="0.2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spans="1:29" ht="15.75" customHeight="1" x14ac:dyDescent="0.2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spans="1:29" ht="15.75" customHeight="1" x14ac:dyDescent="0.2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spans="1:29" ht="15.75" customHeight="1" x14ac:dyDescent="0.2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spans="1:29" ht="15.75" customHeight="1" x14ac:dyDescent="0.2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spans="1:29" ht="15.75" customHeight="1" x14ac:dyDescent="0.2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spans="1:29" ht="15.75" customHeight="1" x14ac:dyDescent="0.2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spans="1:29" ht="15.75" customHeight="1" x14ac:dyDescent="0.2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spans="1:29" ht="15.75" customHeight="1" x14ac:dyDescent="0.2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spans="1:29" ht="15.75" customHeight="1" x14ac:dyDescent="0.2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spans="1:29" ht="15.75" customHeight="1" x14ac:dyDescent="0.2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spans="1:29" ht="15.75" customHeight="1" x14ac:dyDescent="0.2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spans="1:29" ht="15.75" customHeight="1" x14ac:dyDescent="0.2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spans="1:29" ht="15.75" customHeight="1" x14ac:dyDescent="0.2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spans="1:29" ht="15.75" customHeight="1" x14ac:dyDescent="0.2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spans="1:29" ht="15.75" customHeight="1" x14ac:dyDescent="0.2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spans="1:29" ht="15.75" customHeight="1" x14ac:dyDescent="0.2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spans="1:29" ht="15.75" customHeight="1" x14ac:dyDescent="0.2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spans="1:29" ht="15.75" customHeight="1" x14ac:dyDescent="0.2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spans="1:29" ht="15.75" customHeight="1" x14ac:dyDescent="0.2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spans="1:29" ht="15.75" customHeight="1" x14ac:dyDescent="0.2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spans="1:29" ht="15.75" customHeight="1" x14ac:dyDescent="0.2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spans="1:29" ht="15.75" customHeight="1" x14ac:dyDescent="0.2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spans="1:29" ht="15.75" customHeight="1" x14ac:dyDescent="0.2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spans="1:29" ht="15.75" customHeight="1" x14ac:dyDescent="0.2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spans="1:29" ht="15.75" customHeight="1" x14ac:dyDescent="0.2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spans="1:29" ht="15.75" customHeight="1" x14ac:dyDescent="0.2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spans="1:29" ht="15.75" customHeight="1" x14ac:dyDescent="0.2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spans="1:29" ht="15.75" customHeight="1" x14ac:dyDescent="0.2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spans="1:29" ht="15.75" customHeight="1" x14ac:dyDescent="0.2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spans="1:29" ht="15.75" customHeight="1" x14ac:dyDescent="0.2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spans="1:29" ht="15.75" customHeight="1" x14ac:dyDescent="0.2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spans="1:29" ht="15.75" customHeight="1" x14ac:dyDescent="0.2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spans="1:29" ht="15.75" customHeight="1" x14ac:dyDescent="0.2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spans="1:29" ht="15.75" customHeight="1" x14ac:dyDescent="0.2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spans="1:29" ht="15.75" customHeight="1" x14ac:dyDescent="0.2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spans="1:29" ht="15.75" customHeight="1" x14ac:dyDescent="0.2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spans="1:29" ht="15.75" customHeight="1" x14ac:dyDescent="0.2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spans="1:29" ht="15.75" customHeight="1" x14ac:dyDescent="0.2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spans="1:29" ht="15.75" customHeight="1" x14ac:dyDescent="0.2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spans="1:29" ht="15.75" customHeight="1" x14ac:dyDescent="0.2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spans="1:29" ht="15.75" customHeight="1" x14ac:dyDescent="0.2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spans="1:29" ht="15.75" customHeight="1" x14ac:dyDescent="0.2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spans="1:29" ht="15.75" customHeight="1" x14ac:dyDescent="0.2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spans="1:29" ht="15.75" customHeight="1" x14ac:dyDescent="0.2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spans="1:29" ht="15.75" customHeight="1" x14ac:dyDescent="0.2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spans="1:29" ht="15.75" customHeight="1" x14ac:dyDescent="0.2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spans="1:29" ht="15.75" customHeight="1" x14ac:dyDescent="0.2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spans="1:29" ht="15.75" customHeight="1" x14ac:dyDescent="0.2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spans="1:29" ht="15.75" customHeight="1" x14ac:dyDescent="0.2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spans="1:29" ht="15.75" customHeight="1" x14ac:dyDescent="0.2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spans="1:29" ht="15.75" customHeight="1" x14ac:dyDescent="0.2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spans="1:29" ht="15.75" customHeight="1" x14ac:dyDescent="0.2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spans="1:29" ht="15.75" customHeight="1" x14ac:dyDescent="0.2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spans="1:29" ht="15.75" customHeight="1" x14ac:dyDescent="0.2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spans="1:29" ht="15.75" customHeight="1" x14ac:dyDescent="0.2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spans="1:29" ht="15.75" customHeight="1" x14ac:dyDescent="0.2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spans="1:29" ht="15.75" customHeight="1" x14ac:dyDescent="0.2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spans="1:29" ht="15.75" customHeight="1" x14ac:dyDescent="0.2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spans="1:29" ht="15.75" customHeight="1" x14ac:dyDescent="0.2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spans="1:29" ht="15.75" customHeight="1" x14ac:dyDescent="0.2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spans="1:29" ht="15.75" customHeight="1" x14ac:dyDescent="0.2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spans="1:29" ht="15.75" customHeight="1" x14ac:dyDescent="0.2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spans="1:29" ht="15.75" customHeight="1" x14ac:dyDescent="0.2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spans="1:29" ht="15.75" customHeight="1" x14ac:dyDescent="0.2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spans="1:29" ht="15.75" customHeight="1" x14ac:dyDescent="0.2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spans="1:29" ht="15.75" customHeight="1" x14ac:dyDescent="0.2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spans="1:29" ht="15.75" customHeight="1" x14ac:dyDescent="0.2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spans="1:29" ht="15.75" customHeight="1" x14ac:dyDescent="0.2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spans="1:29" ht="15.75" customHeight="1" x14ac:dyDescent="0.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spans="1:29" ht="15.75" customHeight="1" x14ac:dyDescent="0.2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spans="1:29" ht="15.75" customHeight="1" x14ac:dyDescent="0.2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spans="1:29" ht="15.75" customHeight="1" x14ac:dyDescent="0.2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spans="1:29" ht="15.75" customHeight="1" x14ac:dyDescent="0.2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spans="1:29" ht="15.75" customHeight="1" x14ac:dyDescent="0.2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spans="1:29" ht="15.75" customHeight="1" x14ac:dyDescent="0.2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spans="1:29" ht="15.75" customHeight="1" x14ac:dyDescent="0.2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spans="1:29" ht="15.75" customHeight="1" x14ac:dyDescent="0.2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spans="1:29" ht="15.75" customHeight="1" x14ac:dyDescent="0.2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spans="1:29" ht="15.75" customHeight="1" x14ac:dyDescent="0.2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spans="1:29" ht="15.75" customHeight="1" x14ac:dyDescent="0.2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spans="1:29" ht="15.75" customHeight="1" x14ac:dyDescent="0.2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spans="1:29" ht="15.75" customHeight="1" x14ac:dyDescent="0.2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spans="1:29" ht="15.75" customHeight="1" x14ac:dyDescent="0.2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spans="1:29" ht="15.75" customHeight="1" x14ac:dyDescent="0.2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spans="1:29" ht="15.75" customHeight="1" x14ac:dyDescent="0.2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spans="1:29" ht="15.75" customHeight="1" x14ac:dyDescent="0.2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spans="1:29" ht="15.75" customHeight="1" x14ac:dyDescent="0.2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spans="1:29" ht="15.75" customHeight="1" x14ac:dyDescent="0.2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spans="1:29" ht="15.75" customHeight="1" x14ac:dyDescent="0.2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spans="1:29" ht="15.75" customHeight="1" x14ac:dyDescent="0.2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spans="1:29" ht="15.75" customHeight="1" x14ac:dyDescent="0.2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spans="1:29" ht="15.75" customHeight="1" x14ac:dyDescent="0.2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spans="1:29" ht="15.75" customHeight="1" x14ac:dyDescent="0.2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spans="1:29" ht="15.75" customHeight="1" x14ac:dyDescent="0.2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spans="1:29" ht="15.75" customHeight="1" x14ac:dyDescent="0.2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spans="1:29" ht="15.75" customHeight="1" x14ac:dyDescent="0.2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spans="1:29" ht="15.75" customHeight="1" x14ac:dyDescent="0.2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spans="1:29" ht="15.75" customHeight="1" x14ac:dyDescent="0.2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spans="1:29" ht="15.75" customHeight="1" x14ac:dyDescent="0.2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spans="1:29" ht="15.75" customHeight="1" x14ac:dyDescent="0.2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spans="1:29" ht="15.75" customHeight="1" x14ac:dyDescent="0.2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spans="1:29" ht="15.75" customHeight="1" x14ac:dyDescent="0.2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spans="1:29" ht="15.75" customHeight="1" x14ac:dyDescent="0.2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spans="1:29" ht="15.75" customHeight="1" x14ac:dyDescent="0.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spans="1:29" ht="15.75" customHeight="1" x14ac:dyDescent="0.2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spans="1:29" ht="15.75" customHeight="1" x14ac:dyDescent="0.2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spans="1:29" ht="15.75" customHeight="1" x14ac:dyDescent="0.2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spans="1:29" ht="15.75" customHeight="1" x14ac:dyDescent="0.2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spans="1:29" ht="15.75" customHeight="1" x14ac:dyDescent="0.2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spans="1:29" ht="15.75" customHeight="1" x14ac:dyDescent="0.2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spans="1:29" ht="15.75" customHeight="1" x14ac:dyDescent="0.2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spans="1:29" ht="15.75" customHeight="1" x14ac:dyDescent="0.2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spans="1:29" ht="15.75" customHeight="1" x14ac:dyDescent="0.2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spans="1:29" ht="15.75" customHeight="1" x14ac:dyDescent="0.2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spans="1:29" ht="15.75" customHeight="1" x14ac:dyDescent="0.2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spans="1:29" ht="15.75" customHeight="1" x14ac:dyDescent="0.2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spans="1:29" ht="15.75" customHeight="1" x14ac:dyDescent="0.2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spans="1:29" ht="15.75" customHeight="1" x14ac:dyDescent="0.2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spans="1:29" ht="15.75" customHeight="1" x14ac:dyDescent="0.2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spans="1:29" ht="15.75" customHeight="1" x14ac:dyDescent="0.2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spans="1:29" ht="15.75" customHeight="1" x14ac:dyDescent="0.2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spans="1:29" ht="15.75" customHeight="1" x14ac:dyDescent="0.2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spans="1:29" ht="15.75" customHeight="1" x14ac:dyDescent="0.2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spans="1:29" ht="15.75" customHeight="1" x14ac:dyDescent="0.2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spans="1:29" ht="15.75" customHeight="1" x14ac:dyDescent="0.2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spans="1:29" ht="15.75" customHeight="1" x14ac:dyDescent="0.2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spans="1:29" ht="15.75" customHeight="1" x14ac:dyDescent="0.2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spans="1:29" ht="15.75" customHeight="1" x14ac:dyDescent="0.2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spans="1:29" ht="15.75" customHeight="1" x14ac:dyDescent="0.2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spans="1:29" ht="15.75" customHeight="1" x14ac:dyDescent="0.2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spans="1:29" ht="15.75" customHeight="1" x14ac:dyDescent="0.2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spans="1:29" ht="15.75" customHeight="1" x14ac:dyDescent="0.2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spans="1:29" ht="15.75" customHeight="1" x14ac:dyDescent="0.2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spans="1:29" ht="15.75" customHeight="1" x14ac:dyDescent="0.2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spans="1:29" ht="15.75" customHeight="1" x14ac:dyDescent="0.2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spans="1:29" ht="15.75" customHeight="1" x14ac:dyDescent="0.2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spans="1:29" ht="15.75" customHeight="1" x14ac:dyDescent="0.2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spans="1:29" ht="15.75" customHeight="1" x14ac:dyDescent="0.2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spans="1:29" ht="15.75" customHeight="1" x14ac:dyDescent="0.2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spans="1:29" ht="15.75" customHeight="1" x14ac:dyDescent="0.2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row>
    <row r="997" spans="1:29" ht="15.75" customHeight="1" x14ac:dyDescent="0.2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spans="1:29" ht="15.75" customHeight="1" x14ac:dyDescent="0.2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row>
    <row r="999" spans="1:29" ht="15.75" customHeight="1" x14ac:dyDescent="0.2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spans="1:29" ht="15.75" customHeight="1" x14ac:dyDescent="0.2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row>
  </sheetData>
  <mergeCells count="229">
    <mergeCell ref="C94:E94"/>
    <mergeCell ref="F94:G94"/>
    <mergeCell ref="C95:E95"/>
    <mergeCell ref="F95:G95"/>
    <mergeCell ref="C96:E96"/>
    <mergeCell ref="F96:G96"/>
    <mergeCell ref="C89:E89"/>
    <mergeCell ref="F89:G89"/>
    <mergeCell ref="C90:E90"/>
    <mergeCell ref="F90:G90"/>
    <mergeCell ref="C91:E91"/>
    <mergeCell ref="F91:G91"/>
    <mergeCell ref="C92:E92"/>
    <mergeCell ref="F92:G92"/>
    <mergeCell ref="F93:G93"/>
    <mergeCell ref="C93:E93"/>
    <mergeCell ref="C84:E84"/>
    <mergeCell ref="F84:G84"/>
    <mergeCell ref="C85:E85"/>
    <mergeCell ref="F85:G85"/>
    <mergeCell ref="F86:G86"/>
    <mergeCell ref="C86:E86"/>
    <mergeCell ref="C87:E87"/>
    <mergeCell ref="F87:G87"/>
    <mergeCell ref="C88:E88"/>
    <mergeCell ref="F88:G88"/>
    <mergeCell ref="F79:G79"/>
    <mergeCell ref="C79:E79"/>
    <mergeCell ref="C80:E80"/>
    <mergeCell ref="F80:G80"/>
    <mergeCell ref="C81:E81"/>
    <mergeCell ref="F81:G81"/>
    <mergeCell ref="C82:E82"/>
    <mergeCell ref="F82:G82"/>
    <mergeCell ref="C83:E83"/>
    <mergeCell ref="F83:G83"/>
    <mergeCell ref="C59:E59"/>
    <mergeCell ref="F59:G59"/>
    <mergeCell ref="C60:E60"/>
    <mergeCell ref="F60:G60"/>
    <mergeCell ref="C69:E69"/>
    <mergeCell ref="F69:G69"/>
    <mergeCell ref="C70:E70"/>
    <mergeCell ref="F70:G70"/>
    <mergeCell ref="C71:E71"/>
    <mergeCell ref="F71:G71"/>
    <mergeCell ref="C54:E54"/>
    <mergeCell ref="F54:G54"/>
    <mergeCell ref="C55:E55"/>
    <mergeCell ref="F55:G55"/>
    <mergeCell ref="C56:E56"/>
    <mergeCell ref="F56:G56"/>
    <mergeCell ref="F57:G57"/>
    <mergeCell ref="C57:E57"/>
    <mergeCell ref="C58:E58"/>
    <mergeCell ref="F58:G58"/>
    <mergeCell ref="C49:E49"/>
    <mergeCell ref="F49:G49"/>
    <mergeCell ref="F50:G50"/>
    <mergeCell ref="C50:E50"/>
    <mergeCell ref="C51:E51"/>
    <mergeCell ref="F51:G51"/>
    <mergeCell ref="C52:E52"/>
    <mergeCell ref="F52:G52"/>
    <mergeCell ref="C53:E53"/>
    <mergeCell ref="F53:G53"/>
    <mergeCell ref="C23:E23"/>
    <mergeCell ref="F23:G23"/>
    <mergeCell ref="C24:E24"/>
    <mergeCell ref="F24:G24"/>
    <mergeCell ref="C25:E25"/>
    <mergeCell ref="F25:G25"/>
    <mergeCell ref="C47:E47"/>
    <mergeCell ref="F47:G47"/>
    <mergeCell ref="C48:E48"/>
    <mergeCell ref="F48:G48"/>
    <mergeCell ref="C18:E18"/>
    <mergeCell ref="F18:G18"/>
    <mergeCell ref="C19:E19"/>
    <mergeCell ref="F19:G19"/>
    <mergeCell ref="C20:E20"/>
    <mergeCell ref="F20:G20"/>
    <mergeCell ref="C21:E21"/>
    <mergeCell ref="F21:G21"/>
    <mergeCell ref="F22:G22"/>
    <mergeCell ref="C22:E22"/>
    <mergeCell ref="O13:O14"/>
    <mergeCell ref="P13:P14"/>
    <mergeCell ref="Q13:Q14"/>
    <mergeCell ref="R13:R14"/>
    <mergeCell ref="B15:R15"/>
    <mergeCell ref="C16:E16"/>
    <mergeCell ref="F16:G16"/>
    <mergeCell ref="C17:E17"/>
    <mergeCell ref="F17:G17"/>
    <mergeCell ref="E6:G6"/>
    <mergeCell ref="B9:E10"/>
    <mergeCell ref="B11:E14"/>
    <mergeCell ref="F11:G14"/>
    <mergeCell ref="H11:H14"/>
    <mergeCell ref="I11:I14"/>
    <mergeCell ref="J11:J14"/>
    <mergeCell ref="A1:S4"/>
    <mergeCell ref="E5:G5"/>
    <mergeCell ref="J5:M5"/>
    <mergeCell ref="J6:L6"/>
    <mergeCell ref="M6:N6"/>
    <mergeCell ref="O6:P6"/>
    <mergeCell ref="B8:R8"/>
    <mergeCell ref="G9:K9"/>
    <mergeCell ref="L9:N9"/>
    <mergeCell ref="O9:R9"/>
    <mergeCell ref="G10:K10"/>
    <mergeCell ref="L10:N10"/>
    <mergeCell ref="O10:R10"/>
    <mergeCell ref="K11:R11"/>
    <mergeCell ref="K12:Q12"/>
    <mergeCell ref="K13:M13"/>
    <mergeCell ref="N13:N14"/>
    <mergeCell ref="C114:E114"/>
    <mergeCell ref="C115:E115"/>
    <mergeCell ref="F115:G115"/>
    <mergeCell ref="C116:E116"/>
    <mergeCell ref="F116:G116"/>
    <mergeCell ref="C111:E111"/>
    <mergeCell ref="F111:G111"/>
    <mergeCell ref="C112:E112"/>
    <mergeCell ref="F112:G112"/>
    <mergeCell ref="C113:E113"/>
    <mergeCell ref="F113:G113"/>
    <mergeCell ref="F114:G114"/>
    <mergeCell ref="C42:E42"/>
    <mergeCell ref="F42:G42"/>
    <mergeCell ref="F43:G43"/>
    <mergeCell ref="C43:E43"/>
    <mergeCell ref="C44:E44"/>
    <mergeCell ref="F44:G44"/>
    <mergeCell ref="C45:E45"/>
    <mergeCell ref="F45:G45"/>
    <mergeCell ref="C46:E46"/>
    <mergeCell ref="F46:G46"/>
    <mergeCell ref="C37:E37"/>
    <mergeCell ref="F37:G37"/>
    <mergeCell ref="C38:E38"/>
    <mergeCell ref="F38:G38"/>
    <mergeCell ref="C39:E39"/>
    <mergeCell ref="F39:G39"/>
    <mergeCell ref="C40:E40"/>
    <mergeCell ref="F40:G40"/>
    <mergeCell ref="C41:E41"/>
    <mergeCell ref="F41:G41"/>
    <mergeCell ref="C110:E110"/>
    <mergeCell ref="F110:G110"/>
    <mergeCell ref="C26:E26"/>
    <mergeCell ref="F26:G26"/>
    <mergeCell ref="C27:E27"/>
    <mergeCell ref="F27:G27"/>
    <mergeCell ref="C28:E28"/>
    <mergeCell ref="F28:G28"/>
    <mergeCell ref="F29:G29"/>
    <mergeCell ref="C29:E29"/>
    <mergeCell ref="C30:E30"/>
    <mergeCell ref="F30:G30"/>
    <mergeCell ref="C31:E31"/>
    <mergeCell ref="F31:G31"/>
    <mergeCell ref="C32:E32"/>
    <mergeCell ref="F32:G32"/>
    <mergeCell ref="C33:E33"/>
    <mergeCell ref="F33:G33"/>
    <mergeCell ref="C34:E34"/>
    <mergeCell ref="F34:G34"/>
    <mergeCell ref="C35:E35"/>
    <mergeCell ref="F35:G35"/>
    <mergeCell ref="F36:G36"/>
    <mergeCell ref="C36:E36"/>
    <mergeCell ref="C105:E105"/>
    <mergeCell ref="F105:G105"/>
    <mergeCell ref="C106:E106"/>
    <mergeCell ref="F106:G106"/>
    <mergeCell ref="F107:G107"/>
    <mergeCell ref="C107:E107"/>
    <mergeCell ref="C108:E108"/>
    <mergeCell ref="F108:G108"/>
    <mergeCell ref="C109:E109"/>
    <mergeCell ref="F109:G109"/>
    <mergeCell ref="F100:G100"/>
    <mergeCell ref="C100:E100"/>
    <mergeCell ref="C101:E101"/>
    <mergeCell ref="F101:G101"/>
    <mergeCell ref="C102:E102"/>
    <mergeCell ref="F102:G102"/>
    <mergeCell ref="C103:E103"/>
    <mergeCell ref="F103:G103"/>
    <mergeCell ref="C104:E104"/>
    <mergeCell ref="F104:G104"/>
    <mergeCell ref="C67:E67"/>
    <mergeCell ref="F67:G67"/>
    <mergeCell ref="C68:E68"/>
    <mergeCell ref="F68:G68"/>
    <mergeCell ref="C97:E97"/>
    <mergeCell ref="F97:G97"/>
    <mergeCell ref="C98:E98"/>
    <mergeCell ref="F98:G98"/>
    <mergeCell ref="C99:E99"/>
    <mergeCell ref="F99:G99"/>
    <mergeCell ref="F72:G72"/>
    <mergeCell ref="C72:E72"/>
    <mergeCell ref="C73:E73"/>
    <mergeCell ref="F73:G73"/>
    <mergeCell ref="C74:E74"/>
    <mergeCell ref="F74:G74"/>
    <mergeCell ref="C75:E75"/>
    <mergeCell ref="F75:G75"/>
    <mergeCell ref="C76:E76"/>
    <mergeCell ref="F76:G76"/>
    <mergeCell ref="C77:E77"/>
    <mergeCell ref="F77:G77"/>
    <mergeCell ref="C78:E78"/>
    <mergeCell ref="F78:G78"/>
    <mergeCell ref="C61:E61"/>
    <mergeCell ref="F61:G61"/>
    <mergeCell ref="C62:E62"/>
    <mergeCell ref="F62:G62"/>
    <mergeCell ref="C63:E63"/>
    <mergeCell ref="F63:G63"/>
    <mergeCell ref="F64:G64"/>
    <mergeCell ref="C64:E64"/>
    <mergeCell ref="C65:E65"/>
    <mergeCell ref="F65:G65"/>
  </mergeCells>
  <dataValidations count="1">
    <dataValidation type="list" allowBlank="1" showErrorMessage="1" sqref="J16:J65 J67:J116" xr:uid="{00000000-0002-0000-0200-000000000000}">
      <formula1>"M,F"</formula1>
    </dataValidation>
  </dataValidations>
  <pageMargins left="0.7" right="0.7" top="0.75" bottom="0.75" header="0" footer="0"/>
  <pageSetup paperSize="9"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outlinePr summaryBelow="0" summaryRight="0"/>
    <pageSetUpPr fitToPage="1"/>
  </sheetPr>
  <dimension ref="A1:AC1000"/>
  <sheetViews>
    <sheetView showGridLines="0" workbookViewId="0"/>
  </sheetViews>
  <sheetFormatPr defaultColWidth="12.6328125" defaultRowHeight="15" customHeight="1" x14ac:dyDescent="0.25"/>
  <cols>
    <col min="1" max="2" width="3.90625" customWidth="1"/>
    <col min="3" max="3" width="13.08984375" customWidth="1"/>
    <col min="4" max="5" width="12.6328125" customWidth="1"/>
    <col min="6" max="6" width="16.26953125" customWidth="1"/>
    <col min="7" max="7" width="19.453125" customWidth="1"/>
    <col min="8" max="8" width="12.6328125" customWidth="1"/>
    <col min="9" max="10" width="5.08984375" customWidth="1"/>
    <col min="11" max="11" width="13.90625" customWidth="1"/>
    <col min="12" max="13" width="13.7265625" customWidth="1"/>
    <col min="14" max="14" width="12.7265625" customWidth="1"/>
    <col min="15" max="15" width="11.36328125" customWidth="1"/>
    <col min="16" max="16" width="13.453125" customWidth="1"/>
    <col min="17" max="18" width="9.453125" customWidth="1"/>
    <col min="19" max="19" width="3.90625" customWidth="1"/>
    <col min="20" max="29" width="12.6328125" customWidth="1"/>
  </cols>
  <sheetData>
    <row r="1" spans="1:29" ht="15.75" customHeight="1" x14ac:dyDescent="0.25">
      <c r="A1" s="265" t="s">
        <v>1</v>
      </c>
      <c r="B1" s="207"/>
      <c r="C1" s="207"/>
      <c r="D1" s="207"/>
      <c r="E1" s="207"/>
      <c r="F1" s="207"/>
      <c r="G1" s="207"/>
      <c r="H1" s="207"/>
      <c r="I1" s="207"/>
      <c r="J1" s="207"/>
      <c r="K1" s="207"/>
      <c r="L1" s="207"/>
      <c r="M1" s="207"/>
      <c r="N1" s="207"/>
      <c r="O1" s="207"/>
      <c r="P1" s="207"/>
      <c r="Q1" s="207"/>
      <c r="R1" s="207"/>
      <c r="S1" s="207"/>
      <c r="T1" s="2"/>
      <c r="U1" s="2"/>
      <c r="V1" s="2"/>
      <c r="W1" s="2"/>
      <c r="X1" s="2"/>
      <c r="Y1" s="2"/>
      <c r="Z1" s="2"/>
      <c r="AA1" s="2"/>
      <c r="AB1" s="2"/>
      <c r="AC1" s="2"/>
    </row>
    <row r="2" spans="1:29" ht="15.75" customHeight="1" x14ac:dyDescent="0.25">
      <c r="A2" s="207"/>
      <c r="B2" s="207"/>
      <c r="C2" s="207"/>
      <c r="D2" s="207"/>
      <c r="E2" s="207"/>
      <c r="F2" s="207"/>
      <c r="G2" s="207"/>
      <c r="H2" s="207"/>
      <c r="I2" s="207"/>
      <c r="J2" s="207"/>
      <c r="K2" s="207"/>
      <c r="L2" s="207"/>
      <c r="M2" s="207"/>
      <c r="N2" s="207"/>
      <c r="O2" s="207"/>
      <c r="P2" s="207"/>
      <c r="Q2" s="207"/>
      <c r="R2" s="207"/>
      <c r="S2" s="207"/>
      <c r="T2" s="2"/>
      <c r="U2" s="2"/>
      <c r="V2" s="2"/>
      <c r="W2" s="2"/>
      <c r="X2" s="2"/>
      <c r="Y2" s="2"/>
      <c r="Z2" s="2"/>
      <c r="AA2" s="2"/>
      <c r="AB2" s="2"/>
      <c r="AC2" s="2"/>
    </row>
    <row r="3" spans="1:29" ht="15.75" customHeight="1" x14ac:dyDescent="0.25">
      <c r="A3" s="207"/>
      <c r="B3" s="207"/>
      <c r="C3" s="207"/>
      <c r="D3" s="207"/>
      <c r="E3" s="207"/>
      <c r="F3" s="207"/>
      <c r="G3" s="207"/>
      <c r="H3" s="207"/>
      <c r="I3" s="207"/>
      <c r="J3" s="207"/>
      <c r="K3" s="207"/>
      <c r="L3" s="207"/>
      <c r="M3" s="207"/>
      <c r="N3" s="207"/>
      <c r="O3" s="207"/>
      <c r="P3" s="207"/>
      <c r="Q3" s="207"/>
      <c r="R3" s="207"/>
      <c r="S3" s="207"/>
      <c r="T3" s="2"/>
      <c r="U3" s="2"/>
      <c r="V3" s="2"/>
      <c r="W3" s="2"/>
      <c r="X3" s="2"/>
      <c r="Y3" s="2"/>
      <c r="Z3" s="2"/>
      <c r="AA3" s="2"/>
      <c r="AB3" s="2"/>
      <c r="AC3" s="2"/>
    </row>
    <row r="4" spans="1:29" ht="15.75" customHeight="1" x14ac:dyDescent="0.25">
      <c r="A4" s="207"/>
      <c r="B4" s="207"/>
      <c r="C4" s="207"/>
      <c r="D4" s="207"/>
      <c r="E4" s="207"/>
      <c r="F4" s="207"/>
      <c r="G4" s="207"/>
      <c r="H4" s="207"/>
      <c r="I4" s="207"/>
      <c r="J4" s="207"/>
      <c r="K4" s="207"/>
      <c r="L4" s="207"/>
      <c r="M4" s="207"/>
      <c r="N4" s="207"/>
      <c r="O4" s="207"/>
      <c r="P4" s="207"/>
      <c r="Q4" s="207"/>
      <c r="R4" s="207"/>
      <c r="S4" s="207"/>
      <c r="T4" s="3"/>
      <c r="U4" s="3"/>
      <c r="V4" s="3"/>
      <c r="W4" s="3"/>
      <c r="X4" s="3"/>
      <c r="Y4" s="3"/>
      <c r="Z4" s="3"/>
      <c r="AA4" s="3"/>
      <c r="AB4" s="3"/>
      <c r="AC4" s="3"/>
    </row>
    <row r="5" spans="1:29" ht="15.75" customHeight="1" x14ac:dyDescent="0.35">
      <c r="A5" s="4"/>
      <c r="B5" s="5"/>
      <c r="C5" s="6"/>
      <c r="D5" s="7" t="s">
        <v>4</v>
      </c>
      <c r="E5" s="255" t="str">
        <f>IF('INPUT DATA'!F10="","",'INPUT DATA'!F10)</f>
        <v/>
      </c>
      <c r="F5" s="256"/>
      <c r="G5" s="257"/>
      <c r="H5" s="10"/>
      <c r="I5" s="7" t="s">
        <v>5</v>
      </c>
      <c r="J5" s="255" t="str">
        <f>IF('INPUT DATA'!F11="","",'INPUT DATA'!F11)</f>
        <v/>
      </c>
      <c r="K5" s="256"/>
      <c r="L5" s="256"/>
      <c r="M5" s="257"/>
      <c r="N5" s="1"/>
      <c r="O5" s="12"/>
      <c r="P5" s="10"/>
      <c r="Q5" s="10"/>
      <c r="R5" s="10"/>
      <c r="S5" s="4"/>
      <c r="T5" s="4"/>
      <c r="U5" s="4"/>
      <c r="V5" s="4"/>
      <c r="W5" s="4"/>
      <c r="X5" s="4"/>
      <c r="Y5" s="4"/>
      <c r="Z5" s="4"/>
      <c r="AA5" s="4"/>
      <c r="AB5" s="4"/>
      <c r="AC5" s="4"/>
    </row>
    <row r="6" spans="1:29" ht="15.75" customHeight="1" x14ac:dyDescent="0.35">
      <c r="A6" s="4"/>
      <c r="B6" s="5"/>
      <c r="C6" s="14"/>
      <c r="D6" s="7" t="s">
        <v>7</v>
      </c>
      <c r="E6" s="255" t="str">
        <f>IF('INPUT DATA'!F16="","",'INPUT DATA'!F16)</f>
        <v/>
      </c>
      <c r="F6" s="256"/>
      <c r="G6" s="257"/>
      <c r="H6" s="10"/>
      <c r="I6" s="7" t="s">
        <v>8</v>
      </c>
      <c r="J6" s="266" t="str">
        <f>IF('INPUT DATA'!F15="","",'INPUT DATA'!F15)</f>
        <v/>
      </c>
      <c r="K6" s="256"/>
      <c r="L6" s="257"/>
      <c r="M6" s="267" t="s">
        <v>10</v>
      </c>
      <c r="N6" s="207"/>
      <c r="O6" s="266" t="str">
        <f>IF('INPUT DATA'!F18="","",'INPUT DATA'!F18)</f>
        <v/>
      </c>
      <c r="P6" s="257"/>
      <c r="Q6" s="24"/>
      <c r="R6" s="26"/>
      <c r="S6" s="4"/>
      <c r="T6" s="4"/>
      <c r="U6" s="4"/>
      <c r="V6" s="4"/>
      <c r="W6" s="4"/>
      <c r="X6" s="4"/>
      <c r="Y6" s="4"/>
      <c r="Z6" s="4"/>
      <c r="AA6" s="4"/>
      <c r="AB6" s="4"/>
      <c r="AC6" s="4"/>
    </row>
    <row r="7" spans="1:29" ht="15.75" customHeight="1" x14ac:dyDescent="0.25">
      <c r="A7" s="3"/>
      <c r="B7" s="20"/>
      <c r="C7" s="21"/>
      <c r="D7" s="21"/>
      <c r="E7" s="3"/>
      <c r="F7" s="3"/>
      <c r="G7" s="22"/>
      <c r="H7" s="19"/>
      <c r="I7" s="3"/>
      <c r="J7" s="3"/>
      <c r="K7" s="3"/>
      <c r="L7" s="21"/>
      <c r="M7" s="21"/>
      <c r="N7" s="3"/>
      <c r="O7" s="3"/>
      <c r="P7" s="21"/>
      <c r="Q7" s="21"/>
      <c r="R7" s="21"/>
      <c r="S7" s="3"/>
      <c r="T7" s="3"/>
      <c r="U7" s="3"/>
      <c r="V7" s="3"/>
      <c r="W7" s="3"/>
      <c r="X7" s="3"/>
      <c r="Y7" s="3"/>
      <c r="Z7" s="3"/>
      <c r="AA7" s="3"/>
      <c r="AB7" s="3"/>
      <c r="AC7" s="3"/>
    </row>
    <row r="8" spans="1:29" ht="15.75" customHeight="1" x14ac:dyDescent="0.25">
      <c r="A8" s="3"/>
      <c r="B8" s="268"/>
      <c r="C8" s="256"/>
      <c r="D8" s="256"/>
      <c r="E8" s="256"/>
      <c r="F8" s="256"/>
      <c r="G8" s="256"/>
      <c r="H8" s="256"/>
      <c r="I8" s="256"/>
      <c r="J8" s="256"/>
      <c r="K8" s="256"/>
      <c r="L8" s="256"/>
      <c r="M8" s="256"/>
      <c r="N8" s="256"/>
      <c r="O8" s="256"/>
      <c r="P8" s="256"/>
      <c r="Q8" s="256"/>
      <c r="R8" s="257"/>
      <c r="S8" s="3"/>
      <c r="T8" s="3"/>
      <c r="U8" s="3"/>
      <c r="V8" s="3"/>
      <c r="W8" s="3"/>
      <c r="X8" s="3"/>
      <c r="Y8" s="3"/>
      <c r="Z8" s="3"/>
      <c r="AA8" s="3"/>
      <c r="AB8" s="3"/>
      <c r="AC8" s="3"/>
    </row>
    <row r="9" spans="1:29" ht="15.75" customHeight="1" x14ac:dyDescent="0.3">
      <c r="A9" s="2"/>
      <c r="B9" s="258" t="s">
        <v>14</v>
      </c>
      <c r="C9" s="207"/>
      <c r="D9" s="207"/>
      <c r="E9" s="234"/>
      <c r="F9" s="31" t="s">
        <v>15</v>
      </c>
      <c r="G9" s="269" t="str">
        <f>IF('INPUT DATA'!F27="","",'INPUT DATA'!F27)</f>
        <v/>
      </c>
      <c r="H9" s="236"/>
      <c r="I9" s="236"/>
      <c r="J9" s="236"/>
      <c r="K9" s="237"/>
      <c r="L9" s="270" t="s">
        <v>16</v>
      </c>
      <c r="M9" s="256"/>
      <c r="N9" s="257"/>
      <c r="O9" s="271" t="str">
        <f>IF('INPUT DATA'!F29="","",'INPUT DATA'!F29)</f>
        <v/>
      </c>
      <c r="P9" s="256"/>
      <c r="Q9" s="256"/>
      <c r="R9" s="257"/>
      <c r="S9" s="2"/>
      <c r="T9" s="2"/>
      <c r="U9" s="2"/>
      <c r="V9" s="2"/>
      <c r="W9" s="2"/>
      <c r="X9" s="2"/>
      <c r="Y9" s="2"/>
      <c r="Z9" s="2"/>
      <c r="AA9" s="2"/>
      <c r="AB9" s="2"/>
      <c r="AC9" s="2"/>
    </row>
    <row r="10" spans="1:29" ht="15.75" customHeight="1" x14ac:dyDescent="0.25">
      <c r="A10" s="2"/>
      <c r="B10" s="233"/>
      <c r="C10" s="207"/>
      <c r="D10" s="207"/>
      <c r="E10" s="234"/>
      <c r="F10" s="33" t="s">
        <v>18</v>
      </c>
      <c r="G10" s="272" t="str">
        <f>IF('INPUT DATA'!F28="","",'INPUT DATA'!F28)</f>
        <v/>
      </c>
      <c r="H10" s="207"/>
      <c r="I10" s="207"/>
      <c r="J10" s="207"/>
      <c r="K10" s="234"/>
      <c r="L10" s="273" t="s">
        <v>19</v>
      </c>
      <c r="M10" s="213"/>
      <c r="N10" s="214"/>
      <c r="O10" s="274" t="str">
        <f>IF('INPUT DATA'!F26="","",'INPUT DATA'!F26)</f>
        <v/>
      </c>
      <c r="P10" s="213"/>
      <c r="Q10" s="213"/>
      <c r="R10" s="214"/>
      <c r="S10" s="2"/>
      <c r="T10" s="2"/>
      <c r="U10" s="2"/>
      <c r="V10" s="2"/>
      <c r="W10" s="2"/>
      <c r="X10" s="2"/>
      <c r="Y10" s="2"/>
      <c r="Z10" s="2"/>
      <c r="AA10" s="2"/>
      <c r="AB10" s="2"/>
      <c r="AC10" s="2"/>
    </row>
    <row r="11" spans="1:29" ht="14.25" customHeight="1" x14ac:dyDescent="0.25">
      <c r="A11" s="3"/>
      <c r="B11" s="259" t="s">
        <v>20</v>
      </c>
      <c r="C11" s="213"/>
      <c r="D11" s="213"/>
      <c r="E11" s="213"/>
      <c r="F11" s="260" t="s">
        <v>11</v>
      </c>
      <c r="G11" s="214"/>
      <c r="H11" s="261" t="s">
        <v>21</v>
      </c>
      <c r="I11" s="264" t="s">
        <v>23</v>
      </c>
      <c r="J11" s="261" t="s">
        <v>24</v>
      </c>
      <c r="K11" s="275" t="s">
        <v>25</v>
      </c>
      <c r="L11" s="256"/>
      <c r="M11" s="256"/>
      <c r="N11" s="256"/>
      <c r="O11" s="256"/>
      <c r="P11" s="256"/>
      <c r="Q11" s="256"/>
      <c r="R11" s="257"/>
      <c r="S11" s="12"/>
      <c r="T11" s="3"/>
      <c r="U11" s="3"/>
      <c r="V11" s="3"/>
      <c r="W11" s="3"/>
      <c r="X11" s="3"/>
      <c r="Y11" s="3"/>
      <c r="Z11" s="3"/>
      <c r="AA11" s="3"/>
      <c r="AB11" s="3"/>
      <c r="AC11" s="3"/>
    </row>
    <row r="12" spans="1:29" ht="24.75" customHeight="1" x14ac:dyDescent="0.25">
      <c r="A12" s="3"/>
      <c r="B12" s="233"/>
      <c r="C12" s="207"/>
      <c r="D12" s="207"/>
      <c r="E12" s="207"/>
      <c r="F12" s="233"/>
      <c r="G12" s="234"/>
      <c r="H12" s="262"/>
      <c r="I12" s="234"/>
      <c r="J12" s="262"/>
      <c r="K12" s="276" t="s">
        <v>26</v>
      </c>
      <c r="L12" s="256"/>
      <c r="M12" s="256"/>
      <c r="N12" s="256"/>
      <c r="O12" s="256"/>
      <c r="P12" s="256"/>
      <c r="Q12" s="257"/>
      <c r="R12" s="34" t="s">
        <v>27</v>
      </c>
      <c r="S12" s="12"/>
      <c r="T12" s="3"/>
      <c r="U12" s="3"/>
      <c r="V12" s="3"/>
      <c r="W12" s="3"/>
      <c r="X12" s="3"/>
      <c r="Y12" s="3"/>
      <c r="Z12" s="3"/>
      <c r="AA12" s="3"/>
      <c r="AB12" s="3"/>
      <c r="AC12" s="3"/>
    </row>
    <row r="13" spans="1:29" ht="24.75" customHeight="1" x14ac:dyDescent="0.25">
      <c r="A13" s="3"/>
      <c r="B13" s="233"/>
      <c r="C13" s="207"/>
      <c r="D13" s="207"/>
      <c r="E13" s="207"/>
      <c r="F13" s="233"/>
      <c r="G13" s="234"/>
      <c r="H13" s="262"/>
      <c r="I13" s="234"/>
      <c r="J13" s="262"/>
      <c r="K13" s="276" t="s">
        <v>28</v>
      </c>
      <c r="L13" s="256"/>
      <c r="M13" s="257"/>
      <c r="N13" s="277" t="s">
        <v>29</v>
      </c>
      <c r="O13" s="277" t="s">
        <v>30</v>
      </c>
      <c r="P13" s="277" t="s">
        <v>31</v>
      </c>
      <c r="Q13" s="278" t="s">
        <v>32</v>
      </c>
      <c r="R13" s="277" t="s">
        <v>39</v>
      </c>
      <c r="S13" s="12"/>
      <c r="T13" s="3"/>
      <c r="U13" s="3"/>
      <c r="V13" s="3"/>
      <c r="W13" s="3"/>
      <c r="X13" s="3"/>
      <c r="Y13" s="3"/>
      <c r="Z13" s="3"/>
      <c r="AA13" s="3"/>
      <c r="AB13" s="3"/>
      <c r="AC13" s="3"/>
    </row>
    <row r="14" spans="1:29" ht="24.75" customHeight="1" x14ac:dyDescent="0.25">
      <c r="A14" s="3"/>
      <c r="B14" s="233"/>
      <c r="C14" s="207"/>
      <c r="D14" s="207"/>
      <c r="E14" s="207"/>
      <c r="F14" s="235"/>
      <c r="G14" s="237"/>
      <c r="H14" s="263"/>
      <c r="I14" s="237"/>
      <c r="J14" s="263"/>
      <c r="K14" s="35" t="s">
        <v>34</v>
      </c>
      <c r="L14" s="37" t="s">
        <v>35</v>
      </c>
      <c r="M14" s="37" t="s">
        <v>36</v>
      </c>
      <c r="N14" s="263"/>
      <c r="O14" s="263"/>
      <c r="P14" s="263"/>
      <c r="Q14" s="263"/>
      <c r="R14" s="263"/>
      <c r="S14" s="12"/>
      <c r="T14" s="3"/>
      <c r="U14" s="3"/>
      <c r="V14" s="3"/>
      <c r="W14" s="3"/>
      <c r="X14" s="3"/>
      <c r="Y14" s="3"/>
      <c r="Z14" s="3"/>
      <c r="AA14" s="3"/>
      <c r="AB14" s="3"/>
      <c r="AC14" s="3"/>
    </row>
    <row r="15" spans="1:29" ht="15.75" customHeight="1" x14ac:dyDescent="0.25">
      <c r="A15" s="4"/>
      <c r="B15" s="279" t="s">
        <v>9</v>
      </c>
      <c r="C15" s="256"/>
      <c r="D15" s="256"/>
      <c r="E15" s="256"/>
      <c r="F15" s="256"/>
      <c r="G15" s="256"/>
      <c r="H15" s="256"/>
      <c r="I15" s="256"/>
      <c r="J15" s="256"/>
      <c r="K15" s="256"/>
      <c r="L15" s="256"/>
      <c r="M15" s="256"/>
      <c r="N15" s="256"/>
      <c r="O15" s="256"/>
      <c r="P15" s="256"/>
      <c r="Q15" s="256"/>
      <c r="R15" s="257"/>
      <c r="S15" s="4"/>
      <c r="T15" s="4"/>
      <c r="U15" s="4"/>
      <c r="V15" s="4"/>
      <c r="W15" s="4"/>
      <c r="X15" s="4"/>
      <c r="Y15" s="4"/>
      <c r="Z15" s="4"/>
      <c r="AA15" s="4"/>
      <c r="AB15" s="4"/>
      <c r="AC15" s="4"/>
    </row>
    <row r="16" spans="1:29" ht="15.75" customHeight="1" x14ac:dyDescent="0.25">
      <c r="A16" s="4"/>
      <c r="B16" s="40">
        <v>1</v>
      </c>
      <c r="C16" s="239" t="str">
        <f>IF('INPUT DATA'!L11="","",'INPUT DATA'!L11)</f>
        <v/>
      </c>
      <c r="D16" s="240"/>
      <c r="E16" s="241"/>
      <c r="F16" s="242" t="str">
        <f>IF('INPUT DATA'!M11="","",'INPUT DATA'!M11)</f>
        <v/>
      </c>
      <c r="G16" s="241"/>
      <c r="H16" s="43" t="str">
        <f>IF('INPUT DATA'!N11="","",'INPUT DATA'!N11)</f>
        <v/>
      </c>
      <c r="I16" s="49" t="str">
        <f ca="1">IF(H16="","",DATEDIF(H16,TODAY(),""))</f>
        <v/>
      </c>
      <c r="J16" s="44" t="s">
        <v>38</v>
      </c>
      <c r="K16" s="46"/>
      <c r="L16" s="47"/>
      <c r="M16" s="47"/>
      <c r="N16" s="47"/>
      <c r="O16" s="47"/>
      <c r="P16" s="47"/>
      <c r="Q16" s="47"/>
      <c r="R16" s="47"/>
      <c r="S16" s="4"/>
      <c r="T16" s="4"/>
      <c r="U16" s="4"/>
      <c r="V16" s="4"/>
      <c r="W16" s="4"/>
      <c r="X16" s="4"/>
      <c r="Y16" s="4"/>
      <c r="Z16" s="4"/>
      <c r="AA16" s="4"/>
      <c r="AB16" s="4"/>
      <c r="AC16" s="4"/>
    </row>
    <row r="17" spans="1:29" ht="15.75" customHeight="1" x14ac:dyDescent="0.25">
      <c r="A17" s="4"/>
      <c r="B17" s="48">
        <v>2</v>
      </c>
      <c r="C17" s="239" t="str">
        <f>IF('INPUT DATA'!L12="","",'INPUT DATA'!L12)</f>
        <v/>
      </c>
      <c r="D17" s="240"/>
      <c r="E17" s="241"/>
      <c r="F17" s="242" t="str">
        <f>IF('INPUT DATA'!M12="","",'INPUT DATA'!M12)</f>
        <v/>
      </c>
      <c r="G17" s="241"/>
      <c r="H17" s="50" t="str">
        <f>IF('INPUT DATA'!N12="","",'INPUT DATA'!N12)</f>
        <v/>
      </c>
      <c r="I17" s="55" t="str">
        <f t="shared" ref="I17:I65" ca="1" si="0">IF(H17="","",DATEDIF(H17,TODAY(),"Y"))</f>
        <v/>
      </c>
      <c r="J17" s="51" t="s">
        <v>38</v>
      </c>
      <c r="K17" s="53"/>
      <c r="L17" s="54"/>
      <c r="M17" s="54"/>
      <c r="N17" s="54"/>
      <c r="O17" s="54"/>
      <c r="P17" s="54"/>
      <c r="Q17" s="54"/>
      <c r="R17" s="54"/>
      <c r="S17" s="4"/>
      <c r="T17" s="4"/>
      <c r="U17" s="4"/>
      <c r="V17" s="4"/>
      <c r="W17" s="4"/>
      <c r="X17" s="4"/>
      <c r="Y17" s="4"/>
      <c r="Z17" s="4"/>
      <c r="AA17" s="4"/>
      <c r="AB17" s="4"/>
      <c r="AC17" s="4"/>
    </row>
    <row r="18" spans="1:29" ht="15.75" customHeight="1" x14ac:dyDescent="0.25">
      <c r="A18" s="4"/>
      <c r="B18" s="48">
        <v>3</v>
      </c>
      <c r="C18" s="239" t="str">
        <f>IF('INPUT DATA'!L13="","",'INPUT DATA'!L13)</f>
        <v/>
      </c>
      <c r="D18" s="240"/>
      <c r="E18" s="241"/>
      <c r="F18" s="242" t="str">
        <f>IF('INPUT DATA'!M13="","",'INPUT DATA'!M13)</f>
        <v/>
      </c>
      <c r="G18" s="241"/>
      <c r="H18" s="50" t="str">
        <f>IF('INPUT DATA'!N13="","",'INPUT DATA'!N13)</f>
        <v/>
      </c>
      <c r="I18" s="55" t="str">
        <f t="shared" ca="1" si="0"/>
        <v/>
      </c>
      <c r="J18" s="51" t="s">
        <v>38</v>
      </c>
      <c r="K18" s="53"/>
      <c r="L18" s="54"/>
      <c r="M18" s="54"/>
      <c r="N18" s="54"/>
      <c r="O18" s="54"/>
      <c r="P18" s="54"/>
      <c r="Q18" s="54"/>
      <c r="R18" s="54"/>
      <c r="S18" s="4"/>
      <c r="T18" s="4"/>
      <c r="U18" s="4"/>
      <c r="V18" s="4"/>
      <c r="W18" s="4"/>
      <c r="X18" s="4"/>
      <c r="Y18" s="4"/>
      <c r="Z18" s="4"/>
      <c r="AA18" s="4"/>
      <c r="AB18" s="4"/>
      <c r="AC18" s="4"/>
    </row>
    <row r="19" spans="1:29" ht="15.75" customHeight="1" x14ac:dyDescent="0.25">
      <c r="A19" s="4"/>
      <c r="B19" s="48">
        <v>4</v>
      </c>
      <c r="C19" s="239" t="str">
        <f>IF('INPUT DATA'!L14="","",'INPUT DATA'!L14)</f>
        <v/>
      </c>
      <c r="D19" s="240"/>
      <c r="E19" s="241"/>
      <c r="F19" s="242" t="str">
        <f>IF('INPUT DATA'!M14="","",'INPUT DATA'!M14)</f>
        <v/>
      </c>
      <c r="G19" s="241"/>
      <c r="H19" s="50" t="str">
        <f>IF('INPUT DATA'!N14="","",'INPUT DATA'!N14)</f>
        <v/>
      </c>
      <c r="I19" s="55" t="str">
        <f t="shared" ca="1" si="0"/>
        <v/>
      </c>
      <c r="J19" s="51"/>
      <c r="K19" s="53"/>
      <c r="L19" s="54"/>
      <c r="M19" s="54"/>
      <c r="N19" s="54"/>
      <c r="O19" s="54"/>
      <c r="P19" s="54"/>
      <c r="Q19" s="54"/>
      <c r="R19" s="54"/>
      <c r="S19" s="4"/>
      <c r="T19" s="4"/>
      <c r="U19" s="4"/>
      <c r="V19" s="4"/>
      <c r="W19" s="4"/>
      <c r="X19" s="4"/>
      <c r="Y19" s="4"/>
      <c r="Z19" s="4"/>
      <c r="AA19" s="4"/>
      <c r="AB19" s="4"/>
      <c r="AC19" s="4"/>
    </row>
    <row r="20" spans="1:29" ht="15.75" customHeight="1" x14ac:dyDescent="0.25">
      <c r="A20" s="4"/>
      <c r="B20" s="48">
        <v>5</v>
      </c>
      <c r="C20" s="239" t="str">
        <f>IF('INPUT DATA'!L15="","",'INPUT DATA'!L15)</f>
        <v/>
      </c>
      <c r="D20" s="240"/>
      <c r="E20" s="241"/>
      <c r="F20" s="242" t="str">
        <f>IF('INPUT DATA'!M15="","",'INPUT DATA'!M15)</f>
        <v/>
      </c>
      <c r="G20" s="241"/>
      <c r="H20" s="50" t="str">
        <f>IF('INPUT DATA'!N15="","",'INPUT DATA'!N15)</f>
        <v/>
      </c>
      <c r="I20" s="55" t="str">
        <f t="shared" ca="1" si="0"/>
        <v/>
      </c>
      <c r="J20" s="51"/>
      <c r="K20" s="53"/>
      <c r="L20" s="54"/>
      <c r="M20" s="54"/>
      <c r="N20" s="54"/>
      <c r="O20" s="54"/>
      <c r="P20" s="54"/>
      <c r="Q20" s="54"/>
      <c r="R20" s="54"/>
      <c r="S20" s="4"/>
      <c r="T20" s="4"/>
      <c r="U20" s="4"/>
      <c r="V20" s="4"/>
      <c r="W20" s="4"/>
      <c r="X20" s="4"/>
      <c r="Y20" s="4"/>
      <c r="Z20" s="4"/>
      <c r="AA20" s="4"/>
      <c r="AB20" s="4"/>
      <c r="AC20" s="4"/>
    </row>
    <row r="21" spans="1:29" ht="15.75" customHeight="1" x14ac:dyDescent="0.25">
      <c r="A21" s="4"/>
      <c r="B21" s="48">
        <v>6</v>
      </c>
      <c r="C21" s="239" t="str">
        <f>IF('INPUT DATA'!L16="","",'INPUT DATA'!L16)</f>
        <v/>
      </c>
      <c r="D21" s="240"/>
      <c r="E21" s="241"/>
      <c r="F21" s="242" t="str">
        <f>IF('INPUT DATA'!M16="","",'INPUT DATA'!M16)</f>
        <v/>
      </c>
      <c r="G21" s="241"/>
      <c r="H21" s="50" t="str">
        <f>IF('INPUT DATA'!N16="","",'INPUT DATA'!N16)</f>
        <v/>
      </c>
      <c r="I21" s="55" t="str">
        <f t="shared" ca="1" si="0"/>
        <v/>
      </c>
      <c r="J21" s="51"/>
      <c r="K21" s="53"/>
      <c r="L21" s="54"/>
      <c r="M21" s="54"/>
      <c r="N21" s="54"/>
      <c r="O21" s="54"/>
      <c r="P21" s="54"/>
      <c r="Q21" s="54"/>
      <c r="R21" s="54"/>
      <c r="S21" s="4"/>
      <c r="T21" s="4"/>
      <c r="U21" s="4"/>
      <c r="V21" s="4"/>
      <c r="W21" s="4"/>
      <c r="X21" s="4"/>
      <c r="Y21" s="4"/>
      <c r="Z21" s="4"/>
      <c r="AA21" s="4"/>
      <c r="AB21" s="4"/>
      <c r="AC21" s="4"/>
    </row>
    <row r="22" spans="1:29" ht="15.75" customHeight="1" x14ac:dyDescent="0.25">
      <c r="A22" s="4"/>
      <c r="B22" s="48">
        <v>7</v>
      </c>
      <c r="C22" s="239" t="str">
        <f>IF('INPUT DATA'!L17="","",'INPUT DATA'!L17)</f>
        <v/>
      </c>
      <c r="D22" s="240"/>
      <c r="E22" s="241"/>
      <c r="F22" s="242" t="str">
        <f>IF('INPUT DATA'!M17="","",'INPUT DATA'!M17)</f>
        <v/>
      </c>
      <c r="G22" s="241"/>
      <c r="H22" s="50" t="str">
        <f>IF('INPUT DATA'!N17="","",'INPUT DATA'!N17)</f>
        <v/>
      </c>
      <c r="I22" s="55" t="str">
        <f t="shared" ca="1" si="0"/>
        <v/>
      </c>
      <c r="J22" s="51"/>
      <c r="K22" s="53"/>
      <c r="L22" s="54"/>
      <c r="M22" s="54"/>
      <c r="N22" s="54"/>
      <c r="O22" s="54"/>
      <c r="P22" s="54"/>
      <c r="Q22" s="54"/>
      <c r="R22" s="54"/>
      <c r="S22" s="4"/>
      <c r="T22" s="4"/>
      <c r="U22" s="4"/>
      <c r="V22" s="4"/>
      <c r="W22" s="4"/>
      <c r="X22" s="4"/>
      <c r="Y22" s="4"/>
      <c r="Z22" s="4"/>
      <c r="AA22" s="4"/>
      <c r="AB22" s="4"/>
      <c r="AC22" s="4"/>
    </row>
    <row r="23" spans="1:29" ht="15.75" customHeight="1" x14ac:dyDescent="0.25">
      <c r="A23" s="4"/>
      <c r="B23" s="48">
        <v>8</v>
      </c>
      <c r="C23" s="239" t="str">
        <f>IF('INPUT DATA'!L18="","",'INPUT DATA'!L18)</f>
        <v/>
      </c>
      <c r="D23" s="240"/>
      <c r="E23" s="241"/>
      <c r="F23" s="242" t="str">
        <f>IF('INPUT DATA'!M18="","",'INPUT DATA'!M18)</f>
        <v/>
      </c>
      <c r="G23" s="241"/>
      <c r="H23" s="50" t="str">
        <f>IF('INPUT DATA'!N18="","",'INPUT DATA'!N18)</f>
        <v/>
      </c>
      <c r="I23" s="55" t="str">
        <f t="shared" ca="1" si="0"/>
        <v/>
      </c>
      <c r="J23" s="51"/>
      <c r="K23" s="53"/>
      <c r="L23" s="54"/>
      <c r="M23" s="54"/>
      <c r="N23" s="54"/>
      <c r="O23" s="54"/>
      <c r="P23" s="54"/>
      <c r="Q23" s="54"/>
      <c r="R23" s="54"/>
      <c r="S23" s="4"/>
      <c r="T23" s="4"/>
      <c r="U23" s="4"/>
      <c r="V23" s="4"/>
      <c r="W23" s="4"/>
      <c r="X23" s="4"/>
      <c r="Y23" s="4"/>
      <c r="Z23" s="4"/>
      <c r="AA23" s="4"/>
      <c r="AB23" s="4"/>
      <c r="AC23" s="4"/>
    </row>
    <row r="24" spans="1:29" ht="15.75" customHeight="1" x14ac:dyDescent="0.25">
      <c r="A24" s="4"/>
      <c r="B24" s="48">
        <v>9</v>
      </c>
      <c r="C24" s="239" t="str">
        <f>IF('INPUT DATA'!L19="","",'INPUT DATA'!L19)</f>
        <v/>
      </c>
      <c r="D24" s="240"/>
      <c r="E24" s="241"/>
      <c r="F24" s="242" t="str">
        <f>IF('INPUT DATA'!M19="","",'INPUT DATA'!M19)</f>
        <v/>
      </c>
      <c r="G24" s="241"/>
      <c r="H24" s="50" t="str">
        <f>IF('INPUT DATA'!N19="","",'INPUT DATA'!N19)</f>
        <v/>
      </c>
      <c r="I24" s="55" t="str">
        <f t="shared" ca="1" si="0"/>
        <v/>
      </c>
      <c r="J24" s="51"/>
      <c r="K24" s="53"/>
      <c r="L24" s="54"/>
      <c r="M24" s="54"/>
      <c r="N24" s="54"/>
      <c r="O24" s="54"/>
      <c r="P24" s="54"/>
      <c r="Q24" s="54"/>
      <c r="R24" s="54"/>
      <c r="S24" s="4"/>
      <c r="T24" s="4"/>
      <c r="U24" s="4"/>
      <c r="V24" s="4"/>
      <c r="W24" s="4"/>
      <c r="X24" s="4"/>
      <c r="Y24" s="4"/>
      <c r="Z24" s="4"/>
      <c r="AA24" s="4"/>
      <c r="AB24" s="4"/>
      <c r="AC24" s="4"/>
    </row>
    <row r="25" spans="1:29" ht="15.75" customHeight="1" x14ac:dyDescent="0.25">
      <c r="A25" s="4"/>
      <c r="B25" s="48">
        <v>10</v>
      </c>
      <c r="C25" s="239" t="str">
        <f>IF('INPUT DATA'!L20="","",'INPUT DATA'!L20)</f>
        <v/>
      </c>
      <c r="D25" s="240"/>
      <c r="E25" s="241"/>
      <c r="F25" s="242" t="str">
        <f>IF('INPUT DATA'!M20="","",'INPUT DATA'!M20)</f>
        <v/>
      </c>
      <c r="G25" s="241"/>
      <c r="H25" s="50" t="str">
        <f>IF('INPUT DATA'!N20="","",'INPUT DATA'!N20)</f>
        <v/>
      </c>
      <c r="I25" s="55" t="str">
        <f t="shared" ca="1" si="0"/>
        <v/>
      </c>
      <c r="J25" s="51"/>
      <c r="K25" s="53"/>
      <c r="L25" s="54"/>
      <c r="M25" s="54"/>
      <c r="N25" s="54"/>
      <c r="O25" s="54"/>
      <c r="P25" s="54"/>
      <c r="Q25" s="54"/>
      <c r="R25" s="54"/>
      <c r="S25" s="4"/>
      <c r="T25" s="4"/>
      <c r="U25" s="4"/>
      <c r="V25" s="4"/>
      <c r="W25" s="4"/>
      <c r="X25" s="4"/>
      <c r="Y25" s="4"/>
      <c r="Z25" s="4"/>
      <c r="AA25" s="4"/>
      <c r="AB25" s="4"/>
      <c r="AC25" s="4"/>
    </row>
    <row r="26" spans="1:29" ht="15.75" customHeight="1" x14ac:dyDescent="0.25">
      <c r="A26" s="4"/>
      <c r="B26" s="48">
        <v>11</v>
      </c>
      <c r="C26" s="239" t="str">
        <f>IF('INPUT DATA'!L21="","",'INPUT DATA'!L21)</f>
        <v/>
      </c>
      <c r="D26" s="240"/>
      <c r="E26" s="241"/>
      <c r="F26" s="242" t="str">
        <f>IF('INPUT DATA'!M21="","",'INPUT DATA'!M21)</f>
        <v/>
      </c>
      <c r="G26" s="241"/>
      <c r="H26" s="50" t="str">
        <f>IF('INPUT DATA'!N21="","",'INPUT DATA'!N21)</f>
        <v/>
      </c>
      <c r="I26" s="55" t="str">
        <f t="shared" ca="1" si="0"/>
        <v/>
      </c>
      <c r="J26" s="51"/>
      <c r="K26" s="53"/>
      <c r="L26" s="54"/>
      <c r="M26" s="54"/>
      <c r="N26" s="54"/>
      <c r="O26" s="54"/>
      <c r="P26" s="54"/>
      <c r="Q26" s="54"/>
      <c r="R26" s="54"/>
      <c r="S26" s="4"/>
      <c r="T26" s="4"/>
      <c r="U26" s="4"/>
      <c r="V26" s="4"/>
      <c r="W26" s="4"/>
      <c r="X26" s="4"/>
      <c r="Y26" s="4"/>
      <c r="Z26" s="4"/>
      <c r="AA26" s="4"/>
      <c r="AB26" s="4"/>
      <c r="AC26" s="4"/>
    </row>
    <row r="27" spans="1:29" ht="15.75" customHeight="1" x14ac:dyDescent="0.25">
      <c r="A27" s="4"/>
      <c r="B27" s="48">
        <v>12</v>
      </c>
      <c r="C27" s="239" t="str">
        <f>IF('INPUT DATA'!L22="","",'INPUT DATA'!L22)</f>
        <v/>
      </c>
      <c r="D27" s="240"/>
      <c r="E27" s="241"/>
      <c r="F27" s="242" t="str">
        <f>IF('INPUT DATA'!M22="","",'INPUT DATA'!M22)</f>
        <v/>
      </c>
      <c r="G27" s="241"/>
      <c r="H27" s="50" t="str">
        <f>IF('INPUT DATA'!N22="","",'INPUT DATA'!N22)</f>
        <v/>
      </c>
      <c r="I27" s="55" t="str">
        <f t="shared" ca="1" si="0"/>
        <v/>
      </c>
      <c r="J27" s="51"/>
      <c r="K27" s="53"/>
      <c r="L27" s="54"/>
      <c r="M27" s="54"/>
      <c r="N27" s="54"/>
      <c r="O27" s="54"/>
      <c r="P27" s="54"/>
      <c r="Q27" s="54"/>
      <c r="R27" s="54"/>
      <c r="S27" s="4"/>
      <c r="T27" s="4"/>
      <c r="U27" s="4"/>
      <c r="V27" s="4"/>
      <c r="W27" s="4"/>
      <c r="X27" s="4"/>
      <c r="Y27" s="4"/>
      <c r="Z27" s="4"/>
      <c r="AA27" s="4"/>
      <c r="AB27" s="4"/>
      <c r="AC27" s="4"/>
    </row>
    <row r="28" spans="1:29" ht="15.75" customHeight="1" x14ac:dyDescent="0.25">
      <c r="A28" s="4"/>
      <c r="B28" s="48">
        <v>13</v>
      </c>
      <c r="C28" s="239" t="str">
        <f>IF('INPUT DATA'!L23="","",'INPUT DATA'!L23)</f>
        <v/>
      </c>
      <c r="D28" s="240"/>
      <c r="E28" s="241"/>
      <c r="F28" s="242" t="str">
        <f>IF('INPUT DATA'!M23="","",'INPUT DATA'!M23)</f>
        <v/>
      </c>
      <c r="G28" s="241"/>
      <c r="H28" s="50" t="str">
        <f>IF('INPUT DATA'!N23="","",'INPUT DATA'!N23)</f>
        <v/>
      </c>
      <c r="I28" s="55" t="str">
        <f t="shared" ca="1" si="0"/>
        <v/>
      </c>
      <c r="J28" s="51"/>
      <c r="K28" s="53"/>
      <c r="L28" s="54"/>
      <c r="M28" s="54"/>
      <c r="N28" s="54"/>
      <c r="O28" s="54"/>
      <c r="P28" s="54"/>
      <c r="Q28" s="54"/>
      <c r="R28" s="54"/>
      <c r="S28" s="4"/>
      <c r="T28" s="4"/>
      <c r="U28" s="4"/>
      <c r="V28" s="4"/>
      <c r="W28" s="4"/>
      <c r="X28" s="4"/>
      <c r="Y28" s="4"/>
      <c r="Z28" s="4"/>
      <c r="AA28" s="4"/>
      <c r="AB28" s="4"/>
      <c r="AC28" s="4"/>
    </row>
    <row r="29" spans="1:29" ht="15.75" customHeight="1" x14ac:dyDescent="0.25">
      <c r="A29" s="4"/>
      <c r="B29" s="48">
        <v>14</v>
      </c>
      <c r="C29" s="239" t="str">
        <f>IF('INPUT DATA'!L24="","",'INPUT DATA'!L24)</f>
        <v/>
      </c>
      <c r="D29" s="240"/>
      <c r="E29" s="241"/>
      <c r="F29" s="242" t="str">
        <f>IF('INPUT DATA'!M24="","",'INPUT DATA'!M24)</f>
        <v/>
      </c>
      <c r="G29" s="241"/>
      <c r="H29" s="50" t="str">
        <f>IF('INPUT DATA'!N24="","",'INPUT DATA'!N24)</f>
        <v/>
      </c>
      <c r="I29" s="55" t="str">
        <f t="shared" ca="1" si="0"/>
        <v/>
      </c>
      <c r="J29" s="51"/>
      <c r="K29" s="53"/>
      <c r="L29" s="54"/>
      <c r="M29" s="54"/>
      <c r="N29" s="54"/>
      <c r="O29" s="54"/>
      <c r="P29" s="54"/>
      <c r="Q29" s="54"/>
      <c r="R29" s="54"/>
      <c r="S29" s="4"/>
      <c r="T29" s="4"/>
      <c r="U29" s="4"/>
      <c r="V29" s="4"/>
      <c r="W29" s="4"/>
      <c r="X29" s="4"/>
      <c r="Y29" s="4"/>
      <c r="Z29" s="4"/>
      <c r="AA29" s="4"/>
      <c r="AB29" s="4"/>
      <c r="AC29" s="4"/>
    </row>
    <row r="30" spans="1:29" ht="15.75" customHeight="1" x14ac:dyDescent="0.25">
      <c r="A30" s="4"/>
      <c r="B30" s="48">
        <v>15</v>
      </c>
      <c r="C30" s="239" t="str">
        <f>IF('INPUT DATA'!L25="","",'INPUT DATA'!L25)</f>
        <v/>
      </c>
      <c r="D30" s="240"/>
      <c r="E30" s="241"/>
      <c r="F30" s="242" t="str">
        <f>IF('INPUT DATA'!M25="","",'INPUT DATA'!M25)</f>
        <v/>
      </c>
      <c r="G30" s="241"/>
      <c r="H30" s="50" t="str">
        <f>IF('INPUT DATA'!N25="","",'INPUT DATA'!N25)</f>
        <v/>
      </c>
      <c r="I30" s="55" t="str">
        <f t="shared" ca="1" si="0"/>
        <v/>
      </c>
      <c r="J30" s="51"/>
      <c r="K30" s="53"/>
      <c r="L30" s="54"/>
      <c r="M30" s="54"/>
      <c r="N30" s="54"/>
      <c r="O30" s="54"/>
      <c r="P30" s="54"/>
      <c r="Q30" s="54"/>
      <c r="R30" s="54"/>
      <c r="S30" s="4"/>
      <c r="T30" s="4"/>
      <c r="U30" s="4"/>
      <c r="V30" s="4"/>
      <c r="W30" s="4"/>
      <c r="X30" s="4"/>
      <c r="Y30" s="4"/>
      <c r="Z30" s="4"/>
      <c r="AA30" s="4"/>
      <c r="AB30" s="4"/>
      <c r="AC30" s="4"/>
    </row>
    <row r="31" spans="1:29" ht="15.75" customHeight="1" x14ac:dyDescent="0.25">
      <c r="A31" s="4"/>
      <c r="B31" s="48">
        <v>16</v>
      </c>
      <c r="C31" s="239" t="str">
        <f>IF('INPUT DATA'!L26="","",'INPUT DATA'!L26)</f>
        <v/>
      </c>
      <c r="D31" s="240"/>
      <c r="E31" s="241"/>
      <c r="F31" s="242" t="str">
        <f>IF('INPUT DATA'!M26="","",'INPUT DATA'!M26)</f>
        <v/>
      </c>
      <c r="G31" s="241"/>
      <c r="H31" s="50" t="str">
        <f>IF('INPUT DATA'!N26="","",'INPUT DATA'!N26)</f>
        <v/>
      </c>
      <c r="I31" s="55" t="str">
        <f t="shared" ca="1" si="0"/>
        <v/>
      </c>
      <c r="J31" s="51"/>
      <c r="K31" s="53"/>
      <c r="L31" s="54"/>
      <c r="M31" s="54"/>
      <c r="N31" s="54"/>
      <c r="O31" s="54"/>
      <c r="P31" s="54"/>
      <c r="Q31" s="54"/>
      <c r="R31" s="54"/>
      <c r="S31" s="4"/>
      <c r="T31" s="4"/>
      <c r="U31" s="4"/>
      <c r="V31" s="4"/>
      <c r="W31" s="4"/>
      <c r="X31" s="4"/>
      <c r="Y31" s="4"/>
      <c r="Z31" s="4"/>
      <c r="AA31" s="4"/>
      <c r="AB31" s="4"/>
      <c r="AC31" s="4"/>
    </row>
    <row r="32" spans="1:29" ht="15.75" customHeight="1" x14ac:dyDescent="0.25">
      <c r="A32" s="4"/>
      <c r="B32" s="48">
        <v>17</v>
      </c>
      <c r="C32" s="239" t="str">
        <f>IF('INPUT DATA'!L27="","",'INPUT DATA'!L27)</f>
        <v/>
      </c>
      <c r="D32" s="240"/>
      <c r="E32" s="241"/>
      <c r="F32" s="242" t="str">
        <f>IF('INPUT DATA'!M27="","",'INPUT DATA'!M27)</f>
        <v/>
      </c>
      <c r="G32" s="241"/>
      <c r="H32" s="50" t="str">
        <f>IF('INPUT DATA'!N27="","",'INPUT DATA'!N27)</f>
        <v/>
      </c>
      <c r="I32" s="55" t="str">
        <f t="shared" ca="1" si="0"/>
        <v/>
      </c>
      <c r="J32" s="51"/>
      <c r="K32" s="53"/>
      <c r="L32" s="54"/>
      <c r="M32" s="54"/>
      <c r="N32" s="54"/>
      <c r="O32" s="54"/>
      <c r="P32" s="54"/>
      <c r="Q32" s="54"/>
      <c r="R32" s="54"/>
      <c r="S32" s="4"/>
      <c r="T32" s="4"/>
      <c r="U32" s="4"/>
      <c r="V32" s="4"/>
      <c r="W32" s="4"/>
      <c r="X32" s="4"/>
      <c r="Y32" s="4"/>
      <c r="Z32" s="4"/>
      <c r="AA32" s="4"/>
      <c r="AB32" s="4"/>
      <c r="AC32" s="4"/>
    </row>
    <row r="33" spans="1:29" ht="15.75" customHeight="1" x14ac:dyDescent="0.25">
      <c r="A33" s="4"/>
      <c r="B33" s="48">
        <v>18</v>
      </c>
      <c r="C33" s="239" t="str">
        <f>IF('INPUT DATA'!L28="","",'INPUT DATA'!L28)</f>
        <v/>
      </c>
      <c r="D33" s="240"/>
      <c r="E33" s="241"/>
      <c r="F33" s="242" t="str">
        <f>IF('INPUT DATA'!M28="","",'INPUT DATA'!M28)</f>
        <v/>
      </c>
      <c r="G33" s="241"/>
      <c r="H33" s="50" t="str">
        <f>IF('INPUT DATA'!N28="","",'INPUT DATA'!N28)</f>
        <v/>
      </c>
      <c r="I33" s="55" t="str">
        <f t="shared" ca="1" si="0"/>
        <v/>
      </c>
      <c r="J33" s="51"/>
      <c r="K33" s="53"/>
      <c r="L33" s="54"/>
      <c r="M33" s="54"/>
      <c r="N33" s="54"/>
      <c r="O33" s="54"/>
      <c r="P33" s="54"/>
      <c r="Q33" s="54"/>
      <c r="R33" s="54"/>
      <c r="S33" s="4"/>
      <c r="T33" s="4"/>
      <c r="U33" s="4"/>
      <c r="V33" s="4"/>
      <c r="W33" s="4"/>
      <c r="X33" s="4"/>
      <c r="Y33" s="4"/>
      <c r="Z33" s="4"/>
      <c r="AA33" s="4"/>
      <c r="AB33" s="4"/>
      <c r="AC33" s="4"/>
    </row>
    <row r="34" spans="1:29" ht="15.75" customHeight="1" x14ac:dyDescent="0.25">
      <c r="A34" s="4"/>
      <c r="B34" s="48">
        <v>19</v>
      </c>
      <c r="C34" s="239" t="str">
        <f>IF('INPUT DATA'!L29="","",'INPUT DATA'!L29)</f>
        <v/>
      </c>
      <c r="D34" s="240"/>
      <c r="E34" s="241"/>
      <c r="F34" s="242" t="str">
        <f>IF('INPUT DATA'!M29="","",'INPUT DATA'!M29)</f>
        <v/>
      </c>
      <c r="G34" s="241"/>
      <c r="H34" s="50" t="str">
        <f>IF('INPUT DATA'!N29="","",'INPUT DATA'!N29)</f>
        <v/>
      </c>
      <c r="I34" s="55" t="str">
        <f t="shared" ca="1" si="0"/>
        <v/>
      </c>
      <c r="J34" s="51"/>
      <c r="K34" s="53"/>
      <c r="L34" s="54"/>
      <c r="M34" s="54"/>
      <c r="N34" s="54"/>
      <c r="O34" s="54"/>
      <c r="P34" s="54"/>
      <c r="Q34" s="54"/>
      <c r="R34" s="54"/>
      <c r="S34" s="4"/>
      <c r="T34" s="4"/>
      <c r="U34" s="4"/>
      <c r="V34" s="4"/>
      <c r="W34" s="4"/>
      <c r="X34" s="4"/>
      <c r="Y34" s="4"/>
      <c r="Z34" s="4"/>
      <c r="AA34" s="4"/>
      <c r="AB34" s="4"/>
      <c r="AC34" s="4"/>
    </row>
    <row r="35" spans="1:29" ht="15.75" customHeight="1" x14ac:dyDescent="0.25">
      <c r="A35" s="4"/>
      <c r="B35" s="70">
        <v>20</v>
      </c>
      <c r="C35" s="239" t="str">
        <f>IF('INPUT DATA'!L30="","",'INPUT DATA'!L30)</f>
        <v/>
      </c>
      <c r="D35" s="240"/>
      <c r="E35" s="241"/>
      <c r="F35" s="242" t="str">
        <f>IF('INPUT DATA'!M30="","",'INPUT DATA'!M30)</f>
        <v/>
      </c>
      <c r="G35" s="241"/>
      <c r="H35" s="50" t="str">
        <f>IF('INPUT DATA'!N30="","",'INPUT DATA'!N30)</f>
        <v/>
      </c>
      <c r="I35" s="55" t="str">
        <f t="shared" ca="1" si="0"/>
        <v/>
      </c>
      <c r="J35" s="51"/>
      <c r="K35" s="71"/>
      <c r="L35" s="72"/>
      <c r="M35" s="72"/>
      <c r="N35" s="72"/>
      <c r="O35" s="72"/>
      <c r="P35" s="72"/>
      <c r="Q35" s="72"/>
      <c r="R35" s="72"/>
      <c r="S35" s="4"/>
      <c r="T35" s="4"/>
      <c r="U35" s="4"/>
      <c r="V35" s="4"/>
      <c r="W35" s="4"/>
      <c r="X35" s="4"/>
      <c r="Y35" s="4"/>
      <c r="Z35" s="4"/>
      <c r="AA35" s="4"/>
      <c r="AB35" s="4"/>
      <c r="AC35" s="4"/>
    </row>
    <row r="36" spans="1:29" ht="15.75" customHeight="1" x14ac:dyDescent="0.25">
      <c r="A36" s="4"/>
      <c r="B36" s="70">
        <v>21</v>
      </c>
      <c r="C36" s="239" t="str">
        <f>IF('INPUT DATA'!L31="","",'INPUT DATA'!L31)</f>
        <v/>
      </c>
      <c r="D36" s="240"/>
      <c r="E36" s="241"/>
      <c r="F36" s="242" t="str">
        <f>IF('INPUT DATA'!M31="","",'INPUT DATA'!M31)</f>
        <v/>
      </c>
      <c r="G36" s="241"/>
      <c r="H36" s="50" t="str">
        <f>IF('INPUT DATA'!N31="","",'INPUT DATA'!N31)</f>
        <v/>
      </c>
      <c r="I36" s="55" t="str">
        <f t="shared" ca="1" si="0"/>
        <v/>
      </c>
      <c r="J36" s="51"/>
      <c r="K36" s="53"/>
      <c r="L36" s="54"/>
      <c r="M36" s="54"/>
      <c r="N36" s="54"/>
      <c r="O36" s="54"/>
      <c r="P36" s="54"/>
      <c r="Q36" s="54"/>
      <c r="R36" s="54"/>
      <c r="S36" s="4"/>
      <c r="T36" s="4"/>
      <c r="U36" s="4"/>
      <c r="V36" s="4"/>
      <c r="W36" s="4"/>
      <c r="X36" s="4"/>
      <c r="Y36" s="4"/>
      <c r="Z36" s="4"/>
      <c r="AA36" s="4"/>
      <c r="AB36" s="4"/>
      <c r="AC36" s="4"/>
    </row>
    <row r="37" spans="1:29" ht="15.75" customHeight="1" x14ac:dyDescent="0.25">
      <c r="A37" s="4"/>
      <c r="B37" s="70">
        <v>22</v>
      </c>
      <c r="C37" s="239" t="str">
        <f>IF('INPUT DATA'!L32="","",'INPUT DATA'!L32)</f>
        <v/>
      </c>
      <c r="D37" s="240"/>
      <c r="E37" s="241"/>
      <c r="F37" s="242" t="str">
        <f>IF('INPUT DATA'!M32="","",'INPUT DATA'!M32)</f>
        <v/>
      </c>
      <c r="G37" s="241"/>
      <c r="H37" s="50" t="str">
        <f>IF('INPUT DATA'!N32="","",'INPUT DATA'!N32)</f>
        <v/>
      </c>
      <c r="I37" s="55" t="str">
        <f t="shared" ca="1" si="0"/>
        <v/>
      </c>
      <c r="J37" s="51"/>
      <c r="K37" s="53"/>
      <c r="L37" s="54"/>
      <c r="M37" s="54"/>
      <c r="N37" s="54"/>
      <c r="O37" s="54"/>
      <c r="P37" s="54"/>
      <c r="Q37" s="54"/>
      <c r="R37" s="54"/>
      <c r="S37" s="4"/>
      <c r="T37" s="4"/>
      <c r="U37" s="4"/>
      <c r="V37" s="4"/>
      <c r="W37" s="4"/>
      <c r="X37" s="4"/>
      <c r="Y37" s="4"/>
      <c r="Z37" s="4"/>
      <c r="AA37" s="4"/>
      <c r="AB37" s="4"/>
      <c r="AC37" s="4"/>
    </row>
    <row r="38" spans="1:29" ht="15.75" customHeight="1" x14ac:dyDescent="0.25">
      <c r="A38" s="4"/>
      <c r="B38" s="70">
        <v>23</v>
      </c>
      <c r="C38" s="239" t="str">
        <f>IF('INPUT DATA'!L33="","",'INPUT DATA'!L33)</f>
        <v/>
      </c>
      <c r="D38" s="240"/>
      <c r="E38" s="241"/>
      <c r="F38" s="242" t="str">
        <f>IF('INPUT DATA'!M33="","",'INPUT DATA'!M33)</f>
        <v/>
      </c>
      <c r="G38" s="241"/>
      <c r="H38" s="50" t="str">
        <f>IF('INPUT DATA'!N33="","",'INPUT DATA'!N33)</f>
        <v/>
      </c>
      <c r="I38" s="55" t="str">
        <f t="shared" ca="1" si="0"/>
        <v/>
      </c>
      <c r="J38" s="51"/>
      <c r="K38" s="53"/>
      <c r="L38" s="54"/>
      <c r="M38" s="54"/>
      <c r="N38" s="54"/>
      <c r="O38" s="54"/>
      <c r="P38" s="54"/>
      <c r="Q38" s="54"/>
      <c r="R38" s="54"/>
      <c r="S38" s="4"/>
      <c r="T38" s="4"/>
      <c r="U38" s="4"/>
      <c r="V38" s="4"/>
      <c r="W38" s="4"/>
      <c r="X38" s="4"/>
      <c r="Y38" s="4"/>
      <c r="Z38" s="4"/>
      <c r="AA38" s="4"/>
      <c r="AB38" s="4"/>
      <c r="AC38" s="4"/>
    </row>
    <row r="39" spans="1:29" ht="15.75" customHeight="1" x14ac:dyDescent="0.25">
      <c r="A39" s="4"/>
      <c r="B39" s="70">
        <v>24</v>
      </c>
      <c r="C39" s="239" t="str">
        <f>IF('INPUT DATA'!L34="","",'INPUT DATA'!L34)</f>
        <v/>
      </c>
      <c r="D39" s="240"/>
      <c r="E39" s="241"/>
      <c r="F39" s="242" t="str">
        <f>IF('INPUT DATA'!M34="","",'INPUT DATA'!M34)</f>
        <v/>
      </c>
      <c r="G39" s="241"/>
      <c r="H39" s="50" t="str">
        <f>IF('INPUT DATA'!N34="","",'INPUT DATA'!N34)</f>
        <v/>
      </c>
      <c r="I39" s="55" t="str">
        <f t="shared" ca="1" si="0"/>
        <v/>
      </c>
      <c r="J39" s="51"/>
      <c r="K39" s="53"/>
      <c r="L39" s="54"/>
      <c r="M39" s="54"/>
      <c r="N39" s="54"/>
      <c r="O39" s="54"/>
      <c r="P39" s="54"/>
      <c r="Q39" s="54"/>
      <c r="R39" s="54"/>
      <c r="S39" s="4"/>
      <c r="T39" s="4"/>
      <c r="U39" s="4"/>
      <c r="V39" s="4"/>
      <c r="W39" s="4"/>
      <c r="X39" s="4"/>
      <c r="Y39" s="4"/>
      <c r="Z39" s="4"/>
      <c r="AA39" s="4"/>
      <c r="AB39" s="4"/>
      <c r="AC39" s="4"/>
    </row>
    <row r="40" spans="1:29" ht="15.75" customHeight="1" x14ac:dyDescent="0.25">
      <c r="A40" s="4"/>
      <c r="B40" s="70">
        <v>25</v>
      </c>
      <c r="C40" s="239" t="str">
        <f>IF('INPUT DATA'!L35="","",'INPUT DATA'!L35)</f>
        <v/>
      </c>
      <c r="D40" s="240"/>
      <c r="E40" s="241"/>
      <c r="F40" s="242" t="str">
        <f>IF('INPUT DATA'!M35="","",'INPUT DATA'!M35)</f>
        <v/>
      </c>
      <c r="G40" s="241"/>
      <c r="H40" s="50" t="str">
        <f>IF('INPUT DATA'!N35="","",'INPUT DATA'!N35)</f>
        <v/>
      </c>
      <c r="I40" s="55" t="str">
        <f t="shared" ca="1" si="0"/>
        <v/>
      </c>
      <c r="J40" s="51"/>
      <c r="K40" s="53"/>
      <c r="L40" s="54"/>
      <c r="M40" s="54"/>
      <c r="N40" s="54"/>
      <c r="O40" s="54"/>
      <c r="P40" s="54"/>
      <c r="Q40" s="54"/>
      <c r="R40" s="54"/>
      <c r="S40" s="4"/>
      <c r="T40" s="4"/>
      <c r="U40" s="4"/>
      <c r="V40" s="4"/>
      <c r="W40" s="4"/>
      <c r="X40" s="4"/>
      <c r="Y40" s="4"/>
      <c r="Z40" s="4"/>
      <c r="AA40" s="4"/>
      <c r="AB40" s="4"/>
      <c r="AC40" s="4"/>
    </row>
    <row r="41" spans="1:29" ht="15.75" customHeight="1" x14ac:dyDescent="0.25">
      <c r="A41" s="4"/>
      <c r="B41" s="70">
        <v>26</v>
      </c>
      <c r="C41" s="239" t="str">
        <f>IF('INPUT DATA'!L36="","",'INPUT DATA'!L36)</f>
        <v/>
      </c>
      <c r="D41" s="240"/>
      <c r="E41" s="241"/>
      <c r="F41" s="242" t="str">
        <f>IF('INPUT DATA'!M36="","",'INPUT DATA'!M36)</f>
        <v/>
      </c>
      <c r="G41" s="241"/>
      <c r="H41" s="50" t="str">
        <f>IF('INPUT DATA'!N36="","",'INPUT DATA'!N36)</f>
        <v/>
      </c>
      <c r="I41" s="55" t="str">
        <f t="shared" ca="1" si="0"/>
        <v/>
      </c>
      <c r="J41" s="51"/>
      <c r="K41" s="53"/>
      <c r="L41" s="54"/>
      <c r="M41" s="54"/>
      <c r="N41" s="54"/>
      <c r="O41" s="54"/>
      <c r="P41" s="54"/>
      <c r="Q41" s="54"/>
      <c r="R41" s="54"/>
      <c r="S41" s="4"/>
      <c r="T41" s="4"/>
      <c r="U41" s="4"/>
      <c r="V41" s="4"/>
      <c r="W41" s="4"/>
      <c r="X41" s="4"/>
      <c r="Y41" s="4"/>
      <c r="Z41" s="4"/>
      <c r="AA41" s="4"/>
      <c r="AB41" s="4"/>
      <c r="AC41" s="4"/>
    </row>
    <row r="42" spans="1:29" ht="15.75" customHeight="1" x14ac:dyDescent="0.25">
      <c r="A42" s="4"/>
      <c r="B42" s="70">
        <v>27</v>
      </c>
      <c r="C42" s="239" t="str">
        <f>IF('INPUT DATA'!L37="","",'INPUT DATA'!L37)</f>
        <v/>
      </c>
      <c r="D42" s="240"/>
      <c r="E42" s="241"/>
      <c r="F42" s="242" t="str">
        <f>IF('INPUT DATA'!M37="","",'INPUT DATA'!M37)</f>
        <v/>
      </c>
      <c r="G42" s="241"/>
      <c r="H42" s="50" t="str">
        <f>IF('INPUT DATA'!N37="","",'INPUT DATA'!N37)</f>
        <v/>
      </c>
      <c r="I42" s="55" t="str">
        <f t="shared" ca="1" si="0"/>
        <v/>
      </c>
      <c r="J42" s="51"/>
      <c r="K42" s="53"/>
      <c r="L42" s="54"/>
      <c r="M42" s="54"/>
      <c r="N42" s="54"/>
      <c r="O42" s="54"/>
      <c r="P42" s="54"/>
      <c r="Q42" s="54"/>
      <c r="R42" s="54"/>
      <c r="S42" s="4"/>
      <c r="T42" s="4"/>
      <c r="U42" s="4"/>
      <c r="V42" s="4"/>
      <c r="W42" s="4"/>
      <c r="X42" s="4"/>
      <c r="Y42" s="4"/>
      <c r="Z42" s="4"/>
      <c r="AA42" s="4"/>
      <c r="AB42" s="4"/>
      <c r="AC42" s="4"/>
    </row>
    <row r="43" spans="1:29" ht="15.75" customHeight="1" x14ac:dyDescent="0.25">
      <c r="A43" s="4"/>
      <c r="B43" s="70">
        <v>28</v>
      </c>
      <c r="C43" s="239" t="str">
        <f>IF('INPUT DATA'!L38="","",'INPUT DATA'!L38)</f>
        <v/>
      </c>
      <c r="D43" s="240"/>
      <c r="E43" s="241"/>
      <c r="F43" s="242" t="str">
        <f>IF('INPUT DATA'!M38="","",'INPUT DATA'!M38)</f>
        <v/>
      </c>
      <c r="G43" s="241"/>
      <c r="H43" s="50" t="str">
        <f>IF('INPUT DATA'!N38="","",'INPUT DATA'!N38)</f>
        <v/>
      </c>
      <c r="I43" s="55" t="str">
        <f t="shared" ca="1" si="0"/>
        <v/>
      </c>
      <c r="J43" s="51"/>
      <c r="K43" s="53"/>
      <c r="L43" s="54"/>
      <c r="M43" s="54"/>
      <c r="N43" s="54"/>
      <c r="O43" s="54"/>
      <c r="P43" s="54"/>
      <c r="Q43" s="54"/>
      <c r="R43" s="54"/>
      <c r="S43" s="4"/>
      <c r="T43" s="4"/>
      <c r="U43" s="4"/>
      <c r="V43" s="4"/>
      <c r="W43" s="4"/>
      <c r="X43" s="4"/>
      <c r="Y43" s="4"/>
      <c r="Z43" s="4"/>
      <c r="AA43" s="4"/>
      <c r="AB43" s="4"/>
      <c r="AC43" s="4"/>
    </row>
    <row r="44" spans="1:29" ht="15.75" customHeight="1" x14ac:dyDescent="0.25">
      <c r="A44" s="4"/>
      <c r="B44" s="70">
        <v>29</v>
      </c>
      <c r="C44" s="239" t="str">
        <f>IF('INPUT DATA'!L39="","",'INPUT DATA'!L39)</f>
        <v/>
      </c>
      <c r="D44" s="240"/>
      <c r="E44" s="241"/>
      <c r="F44" s="242" t="str">
        <f>IF('INPUT DATA'!M39="","",'INPUT DATA'!M39)</f>
        <v/>
      </c>
      <c r="G44" s="241"/>
      <c r="H44" s="50" t="str">
        <f>IF('INPUT DATA'!N39="","",'INPUT DATA'!N39)</f>
        <v/>
      </c>
      <c r="I44" s="55" t="str">
        <f t="shared" ca="1" si="0"/>
        <v/>
      </c>
      <c r="J44" s="51"/>
      <c r="K44" s="53"/>
      <c r="L44" s="54"/>
      <c r="M44" s="54"/>
      <c r="N44" s="54"/>
      <c r="O44" s="54"/>
      <c r="P44" s="54"/>
      <c r="Q44" s="54"/>
      <c r="R44" s="54"/>
      <c r="S44" s="4"/>
      <c r="T44" s="4"/>
      <c r="U44" s="4"/>
      <c r="V44" s="4"/>
      <c r="W44" s="4"/>
      <c r="X44" s="4"/>
      <c r="Y44" s="4"/>
      <c r="Z44" s="4"/>
      <c r="AA44" s="4"/>
      <c r="AB44" s="4"/>
      <c r="AC44" s="4"/>
    </row>
    <row r="45" spans="1:29" ht="15.75" customHeight="1" x14ac:dyDescent="0.25">
      <c r="A45" s="4"/>
      <c r="B45" s="70">
        <v>30</v>
      </c>
      <c r="C45" s="239" t="str">
        <f>IF('INPUT DATA'!L40="","",'INPUT DATA'!L40)</f>
        <v/>
      </c>
      <c r="D45" s="240"/>
      <c r="E45" s="241"/>
      <c r="F45" s="242" t="str">
        <f>IF('INPUT DATA'!M40="","",'INPUT DATA'!M40)</f>
        <v/>
      </c>
      <c r="G45" s="241"/>
      <c r="H45" s="50" t="str">
        <f>IF('INPUT DATA'!N40="","",'INPUT DATA'!N40)</f>
        <v/>
      </c>
      <c r="I45" s="55" t="str">
        <f t="shared" ca="1" si="0"/>
        <v/>
      </c>
      <c r="J45" s="51"/>
      <c r="K45" s="53"/>
      <c r="L45" s="54"/>
      <c r="M45" s="54"/>
      <c r="N45" s="54"/>
      <c r="O45" s="54"/>
      <c r="P45" s="54"/>
      <c r="Q45" s="54"/>
      <c r="R45" s="54"/>
      <c r="S45" s="4"/>
      <c r="T45" s="4"/>
      <c r="U45" s="4"/>
      <c r="V45" s="4"/>
      <c r="W45" s="4"/>
      <c r="X45" s="4"/>
      <c r="Y45" s="4"/>
      <c r="Z45" s="4"/>
      <c r="AA45" s="4"/>
      <c r="AB45" s="4"/>
      <c r="AC45" s="4"/>
    </row>
    <row r="46" spans="1:29" ht="15.75" customHeight="1" x14ac:dyDescent="0.25">
      <c r="A46" s="4"/>
      <c r="B46" s="70">
        <v>31</v>
      </c>
      <c r="C46" s="239" t="str">
        <f>IF('INPUT DATA'!L41="","",'INPUT DATA'!L41)</f>
        <v/>
      </c>
      <c r="D46" s="240"/>
      <c r="E46" s="241"/>
      <c r="F46" s="242" t="str">
        <f>IF('INPUT DATA'!M41="","",'INPUT DATA'!M41)</f>
        <v/>
      </c>
      <c r="G46" s="241"/>
      <c r="H46" s="50" t="str">
        <f>IF('INPUT DATA'!N41="","",'INPUT DATA'!N41)</f>
        <v/>
      </c>
      <c r="I46" s="55" t="str">
        <f t="shared" ca="1" si="0"/>
        <v/>
      </c>
      <c r="J46" s="51"/>
      <c r="K46" s="53"/>
      <c r="L46" s="54"/>
      <c r="M46" s="54"/>
      <c r="N46" s="54"/>
      <c r="O46" s="54"/>
      <c r="P46" s="54"/>
      <c r="Q46" s="54"/>
      <c r="R46" s="54"/>
      <c r="S46" s="4"/>
      <c r="T46" s="4"/>
      <c r="U46" s="4"/>
      <c r="V46" s="4"/>
      <c r="W46" s="4"/>
      <c r="X46" s="4"/>
      <c r="Y46" s="4"/>
      <c r="Z46" s="4"/>
      <c r="AA46" s="4"/>
      <c r="AB46" s="4"/>
      <c r="AC46" s="4"/>
    </row>
    <row r="47" spans="1:29" ht="15.75" customHeight="1" x14ac:dyDescent="0.25">
      <c r="A47" s="4"/>
      <c r="B47" s="70">
        <v>32</v>
      </c>
      <c r="C47" s="239" t="str">
        <f>IF('INPUT DATA'!L42="","",'INPUT DATA'!L42)</f>
        <v/>
      </c>
      <c r="D47" s="240"/>
      <c r="E47" s="241"/>
      <c r="F47" s="242" t="str">
        <f>IF('INPUT DATA'!M42="","",'INPUT DATA'!M42)</f>
        <v/>
      </c>
      <c r="G47" s="241"/>
      <c r="H47" s="50" t="str">
        <f>IF('INPUT DATA'!N42="","",'INPUT DATA'!N42)</f>
        <v/>
      </c>
      <c r="I47" s="55" t="str">
        <f t="shared" ca="1" si="0"/>
        <v/>
      </c>
      <c r="J47" s="51"/>
      <c r="K47" s="53"/>
      <c r="L47" s="54"/>
      <c r="M47" s="54"/>
      <c r="N47" s="54"/>
      <c r="O47" s="54"/>
      <c r="P47" s="54"/>
      <c r="Q47" s="54"/>
      <c r="R47" s="54"/>
      <c r="S47" s="4"/>
      <c r="T47" s="4"/>
      <c r="U47" s="4"/>
      <c r="V47" s="4"/>
      <c r="W47" s="4"/>
      <c r="X47" s="4"/>
      <c r="Y47" s="4"/>
      <c r="Z47" s="4"/>
      <c r="AA47" s="4"/>
      <c r="AB47" s="4"/>
      <c r="AC47" s="4"/>
    </row>
    <row r="48" spans="1:29" ht="15.75" customHeight="1" x14ac:dyDescent="0.25">
      <c r="A48" s="4"/>
      <c r="B48" s="70">
        <v>33</v>
      </c>
      <c r="C48" s="239" t="str">
        <f>IF('INPUT DATA'!L43="","",'INPUT DATA'!L43)</f>
        <v/>
      </c>
      <c r="D48" s="240"/>
      <c r="E48" s="241"/>
      <c r="F48" s="242" t="str">
        <f>IF('INPUT DATA'!M43="","",'INPUT DATA'!M43)</f>
        <v/>
      </c>
      <c r="G48" s="241"/>
      <c r="H48" s="50" t="str">
        <f>IF('INPUT DATA'!N43="","",'INPUT DATA'!N43)</f>
        <v/>
      </c>
      <c r="I48" s="55" t="str">
        <f t="shared" ca="1" si="0"/>
        <v/>
      </c>
      <c r="J48" s="51"/>
      <c r="K48" s="53"/>
      <c r="L48" s="54"/>
      <c r="M48" s="54"/>
      <c r="N48" s="54"/>
      <c r="O48" s="54"/>
      <c r="P48" s="54"/>
      <c r="Q48" s="54"/>
      <c r="R48" s="54"/>
      <c r="S48" s="4"/>
      <c r="T48" s="4"/>
      <c r="U48" s="4"/>
      <c r="V48" s="4"/>
      <c r="W48" s="4"/>
      <c r="X48" s="4"/>
      <c r="Y48" s="4"/>
      <c r="Z48" s="4"/>
      <c r="AA48" s="4"/>
      <c r="AB48" s="4"/>
      <c r="AC48" s="4"/>
    </row>
    <row r="49" spans="1:29" ht="15.75" customHeight="1" x14ac:dyDescent="0.25">
      <c r="A49" s="4"/>
      <c r="B49" s="70">
        <v>34</v>
      </c>
      <c r="C49" s="239" t="str">
        <f>IF('INPUT DATA'!L44="","",'INPUT DATA'!L44)</f>
        <v/>
      </c>
      <c r="D49" s="240"/>
      <c r="E49" s="241"/>
      <c r="F49" s="242" t="str">
        <f>IF('INPUT DATA'!M44="","",'INPUT DATA'!M44)</f>
        <v/>
      </c>
      <c r="G49" s="241"/>
      <c r="H49" s="50" t="str">
        <f>IF('INPUT DATA'!N44="","",'INPUT DATA'!N44)</f>
        <v/>
      </c>
      <c r="I49" s="55" t="str">
        <f t="shared" ca="1" si="0"/>
        <v/>
      </c>
      <c r="J49" s="51"/>
      <c r="K49" s="53"/>
      <c r="L49" s="54"/>
      <c r="M49" s="54"/>
      <c r="N49" s="54"/>
      <c r="O49" s="54"/>
      <c r="P49" s="54"/>
      <c r="Q49" s="54"/>
      <c r="R49" s="54"/>
      <c r="S49" s="4"/>
      <c r="T49" s="4"/>
      <c r="U49" s="4"/>
      <c r="V49" s="4"/>
      <c r="W49" s="4"/>
      <c r="X49" s="4"/>
      <c r="Y49" s="4"/>
      <c r="Z49" s="4"/>
      <c r="AA49" s="4"/>
      <c r="AB49" s="4"/>
      <c r="AC49" s="4"/>
    </row>
    <row r="50" spans="1:29" ht="15.75" customHeight="1" x14ac:dyDescent="0.25">
      <c r="A50" s="4"/>
      <c r="B50" s="70">
        <v>35</v>
      </c>
      <c r="C50" s="239" t="str">
        <f>IF('INPUT DATA'!L45="","",'INPUT DATA'!L45)</f>
        <v/>
      </c>
      <c r="D50" s="240"/>
      <c r="E50" s="241"/>
      <c r="F50" s="242" t="str">
        <f>IF('INPUT DATA'!M45="","",'INPUT DATA'!M45)</f>
        <v/>
      </c>
      <c r="G50" s="241"/>
      <c r="H50" s="50" t="str">
        <f>IF('INPUT DATA'!N45="","",'INPUT DATA'!N45)</f>
        <v/>
      </c>
      <c r="I50" s="55" t="str">
        <f t="shared" ca="1" si="0"/>
        <v/>
      </c>
      <c r="J50" s="51"/>
      <c r="K50" s="53"/>
      <c r="L50" s="54"/>
      <c r="M50" s="54"/>
      <c r="N50" s="54"/>
      <c r="O50" s="54"/>
      <c r="P50" s="54"/>
      <c r="Q50" s="54"/>
      <c r="R50" s="54"/>
      <c r="S50" s="4"/>
      <c r="T50" s="4"/>
      <c r="U50" s="4"/>
      <c r="V50" s="4"/>
      <c r="W50" s="4"/>
      <c r="X50" s="4"/>
      <c r="Y50" s="4"/>
      <c r="Z50" s="4"/>
      <c r="AA50" s="4"/>
      <c r="AB50" s="4"/>
      <c r="AC50" s="4"/>
    </row>
    <row r="51" spans="1:29" ht="15.75" customHeight="1" x14ac:dyDescent="0.25">
      <c r="A51" s="4"/>
      <c r="B51" s="70">
        <v>36</v>
      </c>
      <c r="C51" s="239" t="str">
        <f>IF('INPUT DATA'!L46="","",'INPUT DATA'!L46)</f>
        <v/>
      </c>
      <c r="D51" s="240"/>
      <c r="E51" s="241"/>
      <c r="F51" s="242" t="str">
        <f>IF('INPUT DATA'!M46="","",'INPUT DATA'!M46)</f>
        <v/>
      </c>
      <c r="G51" s="241"/>
      <c r="H51" s="50" t="str">
        <f>IF('INPUT DATA'!N46="","",'INPUT DATA'!N46)</f>
        <v/>
      </c>
      <c r="I51" s="55" t="str">
        <f t="shared" ca="1" si="0"/>
        <v/>
      </c>
      <c r="J51" s="51"/>
      <c r="K51" s="53"/>
      <c r="L51" s="54"/>
      <c r="M51" s="54"/>
      <c r="N51" s="54"/>
      <c r="O51" s="54"/>
      <c r="P51" s="54"/>
      <c r="Q51" s="54"/>
      <c r="R51" s="54"/>
      <c r="S51" s="4"/>
      <c r="T51" s="4"/>
      <c r="U51" s="4"/>
      <c r="V51" s="4"/>
      <c r="W51" s="4"/>
      <c r="X51" s="4"/>
      <c r="Y51" s="4"/>
      <c r="Z51" s="4"/>
      <c r="AA51" s="4"/>
      <c r="AB51" s="4"/>
      <c r="AC51" s="4"/>
    </row>
    <row r="52" spans="1:29" ht="15.75" customHeight="1" x14ac:dyDescent="0.25">
      <c r="A52" s="4"/>
      <c r="B52" s="70">
        <v>37</v>
      </c>
      <c r="C52" s="239" t="str">
        <f>IF('INPUT DATA'!L47="","",'INPUT DATA'!L47)</f>
        <v/>
      </c>
      <c r="D52" s="240"/>
      <c r="E52" s="241"/>
      <c r="F52" s="242" t="str">
        <f>IF('INPUT DATA'!M47="","",'INPUT DATA'!M47)</f>
        <v/>
      </c>
      <c r="G52" s="241"/>
      <c r="H52" s="50" t="str">
        <f>IF('INPUT DATA'!N47="","",'INPUT DATA'!N47)</f>
        <v/>
      </c>
      <c r="I52" s="55" t="str">
        <f t="shared" ca="1" si="0"/>
        <v/>
      </c>
      <c r="J52" s="51"/>
      <c r="K52" s="53"/>
      <c r="L52" s="54"/>
      <c r="M52" s="54"/>
      <c r="N52" s="54"/>
      <c r="O52" s="54"/>
      <c r="P52" s="54"/>
      <c r="Q52" s="54"/>
      <c r="R52" s="54"/>
      <c r="S52" s="4"/>
      <c r="T52" s="4"/>
      <c r="U52" s="4"/>
      <c r="V52" s="4"/>
      <c r="W52" s="4"/>
      <c r="X52" s="4"/>
      <c r="Y52" s="4"/>
      <c r="Z52" s="4"/>
      <c r="AA52" s="4"/>
      <c r="AB52" s="4"/>
      <c r="AC52" s="4"/>
    </row>
    <row r="53" spans="1:29" ht="15.75" customHeight="1" x14ac:dyDescent="0.25">
      <c r="A53" s="4"/>
      <c r="B53" s="70">
        <v>38</v>
      </c>
      <c r="C53" s="239" t="str">
        <f>IF('INPUT DATA'!L48="","",'INPUT DATA'!L48)</f>
        <v/>
      </c>
      <c r="D53" s="240"/>
      <c r="E53" s="241"/>
      <c r="F53" s="242" t="str">
        <f>IF('INPUT DATA'!M48="","",'INPUT DATA'!M48)</f>
        <v/>
      </c>
      <c r="G53" s="241"/>
      <c r="H53" s="50" t="str">
        <f>IF('INPUT DATA'!N48="","",'INPUT DATA'!N48)</f>
        <v/>
      </c>
      <c r="I53" s="55" t="str">
        <f t="shared" ca="1" si="0"/>
        <v/>
      </c>
      <c r="J53" s="51"/>
      <c r="K53" s="53"/>
      <c r="L53" s="54"/>
      <c r="M53" s="54"/>
      <c r="N53" s="54"/>
      <c r="O53" s="54"/>
      <c r="P53" s="54"/>
      <c r="Q53" s="54"/>
      <c r="R53" s="54"/>
      <c r="S53" s="4"/>
      <c r="T53" s="4"/>
      <c r="U53" s="4"/>
      <c r="V53" s="4"/>
      <c r="W53" s="4"/>
      <c r="X53" s="4"/>
      <c r="Y53" s="4"/>
      <c r="Z53" s="4"/>
      <c r="AA53" s="4"/>
      <c r="AB53" s="4"/>
      <c r="AC53" s="4"/>
    </row>
    <row r="54" spans="1:29" ht="15.75" customHeight="1" x14ac:dyDescent="0.25">
      <c r="A54" s="4"/>
      <c r="B54" s="70">
        <v>39</v>
      </c>
      <c r="C54" s="239" t="str">
        <f>IF('INPUT DATA'!L49="","",'INPUT DATA'!L49)</f>
        <v/>
      </c>
      <c r="D54" s="240"/>
      <c r="E54" s="241"/>
      <c r="F54" s="242" t="str">
        <f>IF('INPUT DATA'!M49="","",'INPUT DATA'!M49)</f>
        <v/>
      </c>
      <c r="G54" s="241"/>
      <c r="H54" s="50" t="str">
        <f>IF('INPUT DATA'!N49="","",'INPUT DATA'!N49)</f>
        <v/>
      </c>
      <c r="I54" s="55" t="str">
        <f t="shared" ca="1" si="0"/>
        <v/>
      </c>
      <c r="J54" s="51"/>
      <c r="K54" s="53"/>
      <c r="L54" s="54"/>
      <c r="M54" s="54"/>
      <c r="N54" s="54"/>
      <c r="O54" s="54"/>
      <c r="P54" s="54"/>
      <c r="Q54" s="54"/>
      <c r="R54" s="54"/>
      <c r="S54" s="4"/>
      <c r="T54" s="4"/>
      <c r="U54" s="4"/>
      <c r="V54" s="4"/>
      <c r="W54" s="4"/>
      <c r="X54" s="4"/>
      <c r="Y54" s="4"/>
      <c r="Z54" s="4"/>
      <c r="AA54" s="4"/>
      <c r="AB54" s="4"/>
      <c r="AC54" s="4"/>
    </row>
    <row r="55" spans="1:29" ht="15.75" customHeight="1" x14ac:dyDescent="0.25">
      <c r="A55" s="4"/>
      <c r="B55" s="70">
        <v>40</v>
      </c>
      <c r="C55" s="239" t="str">
        <f>IF('INPUT DATA'!L50="","",'INPUT DATA'!L50)</f>
        <v/>
      </c>
      <c r="D55" s="240"/>
      <c r="E55" s="241"/>
      <c r="F55" s="242" t="str">
        <f>IF('INPUT DATA'!M50="","",'INPUT DATA'!M50)</f>
        <v/>
      </c>
      <c r="G55" s="241"/>
      <c r="H55" s="50" t="str">
        <f>IF('INPUT DATA'!N50="","",'INPUT DATA'!N50)</f>
        <v/>
      </c>
      <c r="I55" s="55" t="str">
        <f t="shared" ca="1" si="0"/>
        <v/>
      </c>
      <c r="J55" s="51"/>
      <c r="K55" s="53"/>
      <c r="L55" s="54"/>
      <c r="M55" s="54"/>
      <c r="N55" s="54"/>
      <c r="O55" s="54"/>
      <c r="P55" s="54"/>
      <c r="Q55" s="54"/>
      <c r="R55" s="54"/>
      <c r="S55" s="4"/>
      <c r="T55" s="4"/>
      <c r="U55" s="4"/>
      <c r="V55" s="4"/>
      <c r="W55" s="4"/>
      <c r="X55" s="4"/>
      <c r="Y55" s="4"/>
      <c r="Z55" s="4"/>
      <c r="AA55" s="4"/>
      <c r="AB55" s="4"/>
      <c r="AC55" s="4"/>
    </row>
    <row r="56" spans="1:29" ht="15.75" customHeight="1" x14ac:dyDescent="0.25">
      <c r="A56" s="4"/>
      <c r="B56" s="70">
        <v>41</v>
      </c>
      <c r="C56" s="239" t="str">
        <f>IF('INPUT DATA'!L51="","",'INPUT DATA'!L51)</f>
        <v/>
      </c>
      <c r="D56" s="240"/>
      <c r="E56" s="241"/>
      <c r="F56" s="242" t="str">
        <f>IF('INPUT DATA'!M51="","",'INPUT DATA'!M51)</f>
        <v/>
      </c>
      <c r="G56" s="241"/>
      <c r="H56" s="50" t="str">
        <f>IF('INPUT DATA'!N51="","",'INPUT DATA'!N51)</f>
        <v/>
      </c>
      <c r="I56" s="55" t="str">
        <f t="shared" ca="1" si="0"/>
        <v/>
      </c>
      <c r="J56" s="51"/>
      <c r="K56" s="53"/>
      <c r="L56" s="54"/>
      <c r="M56" s="54"/>
      <c r="N56" s="54"/>
      <c r="O56" s="54"/>
      <c r="P56" s="54"/>
      <c r="Q56" s="54"/>
      <c r="R56" s="54"/>
      <c r="S56" s="4"/>
      <c r="T56" s="4"/>
      <c r="U56" s="4"/>
      <c r="V56" s="4"/>
      <c r="W56" s="4"/>
      <c r="X56" s="4"/>
      <c r="Y56" s="4"/>
      <c r="Z56" s="4"/>
      <c r="AA56" s="4"/>
      <c r="AB56" s="4"/>
      <c r="AC56" s="4"/>
    </row>
    <row r="57" spans="1:29" ht="15.75" customHeight="1" x14ac:dyDescent="0.25">
      <c r="A57" s="4"/>
      <c r="B57" s="70">
        <v>42</v>
      </c>
      <c r="C57" s="239" t="str">
        <f>IF('INPUT DATA'!L52="","",'INPUT DATA'!L52)</f>
        <v/>
      </c>
      <c r="D57" s="240"/>
      <c r="E57" s="241"/>
      <c r="F57" s="242" t="str">
        <f>IF('INPUT DATA'!M52="","",'INPUT DATA'!M52)</f>
        <v/>
      </c>
      <c r="G57" s="241"/>
      <c r="H57" s="50" t="str">
        <f>IF('INPUT DATA'!N52="","",'INPUT DATA'!N52)</f>
        <v/>
      </c>
      <c r="I57" s="55" t="str">
        <f t="shared" ca="1" si="0"/>
        <v/>
      </c>
      <c r="J57" s="51"/>
      <c r="K57" s="53"/>
      <c r="L57" s="54"/>
      <c r="M57" s="54"/>
      <c r="N57" s="54"/>
      <c r="O57" s="54"/>
      <c r="P57" s="54"/>
      <c r="Q57" s="54"/>
      <c r="R57" s="54"/>
      <c r="S57" s="4"/>
      <c r="T57" s="4"/>
      <c r="U57" s="4"/>
      <c r="V57" s="4"/>
      <c r="W57" s="4"/>
      <c r="X57" s="4"/>
      <c r="Y57" s="4"/>
      <c r="Z57" s="4"/>
      <c r="AA57" s="4"/>
      <c r="AB57" s="4"/>
      <c r="AC57" s="4"/>
    </row>
    <row r="58" spans="1:29" ht="15.75" customHeight="1" x14ac:dyDescent="0.25">
      <c r="A58" s="4"/>
      <c r="B58" s="70">
        <v>43</v>
      </c>
      <c r="C58" s="239" t="str">
        <f>IF('INPUT DATA'!L53="","",'INPUT DATA'!L53)</f>
        <v/>
      </c>
      <c r="D58" s="240"/>
      <c r="E58" s="241"/>
      <c r="F58" s="242" t="str">
        <f>IF('INPUT DATA'!M53="","",'INPUT DATA'!M53)</f>
        <v/>
      </c>
      <c r="G58" s="241"/>
      <c r="H58" s="50" t="str">
        <f>IF('INPUT DATA'!N53="","",'INPUT DATA'!N53)</f>
        <v/>
      </c>
      <c r="I58" s="55" t="str">
        <f t="shared" ca="1" si="0"/>
        <v/>
      </c>
      <c r="J58" s="51"/>
      <c r="K58" s="53"/>
      <c r="L58" s="54"/>
      <c r="M58" s="54"/>
      <c r="N58" s="54"/>
      <c r="O58" s="54"/>
      <c r="P58" s="54"/>
      <c r="Q58" s="54"/>
      <c r="R58" s="54"/>
      <c r="S58" s="4"/>
      <c r="T58" s="4"/>
      <c r="U58" s="4"/>
      <c r="V58" s="4"/>
      <c r="W58" s="4"/>
      <c r="X58" s="4"/>
      <c r="Y58" s="4"/>
      <c r="Z58" s="4"/>
      <c r="AA58" s="4"/>
      <c r="AB58" s="4"/>
      <c r="AC58" s="4"/>
    </row>
    <row r="59" spans="1:29" ht="15.75" customHeight="1" x14ac:dyDescent="0.25">
      <c r="A59" s="4"/>
      <c r="B59" s="70">
        <v>44</v>
      </c>
      <c r="C59" s="239" t="str">
        <f>IF('INPUT DATA'!L54="","",'INPUT DATA'!L54)</f>
        <v/>
      </c>
      <c r="D59" s="240"/>
      <c r="E59" s="241"/>
      <c r="F59" s="242" t="str">
        <f>IF('INPUT DATA'!M54="","",'INPUT DATA'!M54)</f>
        <v/>
      </c>
      <c r="G59" s="241"/>
      <c r="H59" s="50" t="str">
        <f>IF('INPUT DATA'!N54="","",'INPUT DATA'!N54)</f>
        <v/>
      </c>
      <c r="I59" s="55" t="str">
        <f t="shared" ca="1" si="0"/>
        <v/>
      </c>
      <c r="J59" s="51"/>
      <c r="K59" s="53"/>
      <c r="L59" s="54"/>
      <c r="M59" s="54"/>
      <c r="N59" s="54"/>
      <c r="O59" s="54"/>
      <c r="P59" s="54"/>
      <c r="Q59" s="54"/>
      <c r="R59" s="54"/>
      <c r="S59" s="4"/>
      <c r="T59" s="4"/>
      <c r="U59" s="4"/>
      <c r="V59" s="4"/>
      <c r="W59" s="4"/>
      <c r="X59" s="4"/>
      <c r="Y59" s="4"/>
      <c r="Z59" s="4"/>
      <c r="AA59" s="4"/>
      <c r="AB59" s="4"/>
      <c r="AC59" s="4"/>
    </row>
    <row r="60" spans="1:29" ht="15.75" customHeight="1" x14ac:dyDescent="0.25">
      <c r="A60" s="4"/>
      <c r="B60" s="70">
        <v>45</v>
      </c>
      <c r="C60" s="239" t="str">
        <f>IF('INPUT DATA'!L55="","",'INPUT DATA'!L55)</f>
        <v/>
      </c>
      <c r="D60" s="240"/>
      <c r="E60" s="241"/>
      <c r="F60" s="242" t="str">
        <f>IF('INPUT DATA'!M55="","",'INPUT DATA'!M55)</f>
        <v/>
      </c>
      <c r="G60" s="241"/>
      <c r="H60" s="50" t="str">
        <f>IF('INPUT DATA'!N55="","",'INPUT DATA'!N55)</f>
        <v/>
      </c>
      <c r="I60" s="55" t="str">
        <f t="shared" ca="1" si="0"/>
        <v/>
      </c>
      <c r="J60" s="51"/>
      <c r="K60" s="71"/>
      <c r="L60" s="72"/>
      <c r="M60" s="72"/>
      <c r="N60" s="72"/>
      <c r="O60" s="72"/>
      <c r="P60" s="72"/>
      <c r="Q60" s="72"/>
      <c r="R60" s="72"/>
      <c r="S60" s="4"/>
      <c r="T60" s="4"/>
      <c r="U60" s="4"/>
      <c r="V60" s="4"/>
      <c r="W60" s="4"/>
      <c r="X60" s="4"/>
      <c r="Y60" s="4"/>
      <c r="Z60" s="4"/>
      <c r="AA60" s="4"/>
      <c r="AB60" s="4"/>
      <c r="AC60" s="4"/>
    </row>
    <row r="61" spans="1:29" ht="15.75" customHeight="1" x14ac:dyDescent="0.25">
      <c r="A61" s="4"/>
      <c r="B61" s="70">
        <v>46</v>
      </c>
      <c r="C61" s="239" t="str">
        <f>IF('INPUT DATA'!L56="","",'INPUT DATA'!L56)</f>
        <v/>
      </c>
      <c r="D61" s="240"/>
      <c r="E61" s="241"/>
      <c r="F61" s="242" t="str">
        <f>IF('INPUT DATA'!M56="","",'INPUT DATA'!M56)</f>
        <v/>
      </c>
      <c r="G61" s="241"/>
      <c r="H61" s="50" t="str">
        <f>IF('INPUT DATA'!N56="","",'INPUT DATA'!N56)</f>
        <v/>
      </c>
      <c r="I61" s="55" t="str">
        <f t="shared" ca="1" si="0"/>
        <v/>
      </c>
      <c r="J61" s="51"/>
      <c r="K61" s="53"/>
      <c r="L61" s="54"/>
      <c r="M61" s="54"/>
      <c r="N61" s="54"/>
      <c r="O61" s="54"/>
      <c r="P61" s="54"/>
      <c r="Q61" s="54"/>
      <c r="R61" s="54"/>
      <c r="S61" s="4"/>
      <c r="T61" s="4"/>
      <c r="U61" s="4"/>
      <c r="V61" s="4"/>
      <c r="W61" s="4"/>
      <c r="X61" s="4"/>
      <c r="Y61" s="4"/>
      <c r="Z61" s="4"/>
      <c r="AA61" s="4"/>
      <c r="AB61" s="4"/>
      <c r="AC61" s="4"/>
    </row>
    <row r="62" spans="1:29" ht="15.75" customHeight="1" x14ac:dyDescent="0.25">
      <c r="A62" s="4"/>
      <c r="B62" s="70">
        <v>47</v>
      </c>
      <c r="C62" s="239" t="str">
        <f>IF('INPUT DATA'!L57="","",'INPUT DATA'!L57)</f>
        <v/>
      </c>
      <c r="D62" s="240"/>
      <c r="E62" s="241"/>
      <c r="F62" s="242" t="str">
        <f>IF('INPUT DATA'!M57="","",'INPUT DATA'!M57)</f>
        <v/>
      </c>
      <c r="G62" s="241"/>
      <c r="H62" s="50" t="str">
        <f>IF('INPUT DATA'!N57="","",'INPUT DATA'!N57)</f>
        <v/>
      </c>
      <c r="I62" s="55" t="str">
        <f t="shared" ca="1" si="0"/>
        <v/>
      </c>
      <c r="J62" s="51"/>
      <c r="K62" s="53"/>
      <c r="L62" s="54"/>
      <c r="M62" s="54"/>
      <c r="N62" s="54"/>
      <c r="O62" s="54"/>
      <c r="P62" s="54"/>
      <c r="Q62" s="54"/>
      <c r="R62" s="54"/>
      <c r="S62" s="4"/>
      <c r="T62" s="4"/>
      <c r="U62" s="4"/>
      <c r="V62" s="4"/>
      <c r="W62" s="4"/>
      <c r="X62" s="4"/>
      <c r="Y62" s="4"/>
      <c r="Z62" s="4"/>
      <c r="AA62" s="4"/>
      <c r="AB62" s="4"/>
      <c r="AC62" s="4"/>
    </row>
    <row r="63" spans="1:29" ht="15.75" customHeight="1" x14ac:dyDescent="0.25">
      <c r="A63" s="4"/>
      <c r="B63" s="70">
        <v>48</v>
      </c>
      <c r="C63" s="239" t="str">
        <f>IF('INPUT DATA'!L58="","",'INPUT DATA'!L58)</f>
        <v/>
      </c>
      <c r="D63" s="240"/>
      <c r="E63" s="241"/>
      <c r="F63" s="242" t="str">
        <f>IF('INPUT DATA'!M58="","",'INPUT DATA'!M58)</f>
        <v/>
      </c>
      <c r="G63" s="241"/>
      <c r="H63" s="50" t="str">
        <f>IF('INPUT DATA'!N58="","",'INPUT DATA'!N58)</f>
        <v/>
      </c>
      <c r="I63" s="55" t="str">
        <f t="shared" ca="1" si="0"/>
        <v/>
      </c>
      <c r="J63" s="51"/>
      <c r="K63" s="53"/>
      <c r="L63" s="54"/>
      <c r="M63" s="54"/>
      <c r="N63" s="54"/>
      <c r="O63" s="54"/>
      <c r="P63" s="54"/>
      <c r="Q63" s="54"/>
      <c r="R63" s="54"/>
      <c r="S63" s="4"/>
      <c r="T63" s="4"/>
      <c r="U63" s="4"/>
      <c r="V63" s="4"/>
      <c r="W63" s="4"/>
      <c r="X63" s="4"/>
      <c r="Y63" s="4"/>
      <c r="Z63" s="4"/>
      <c r="AA63" s="4"/>
      <c r="AB63" s="4"/>
      <c r="AC63" s="4"/>
    </row>
    <row r="64" spans="1:29" ht="15.75" customHeight="1" x14ac:dyDescent="0.25">
      <c r="A64" s="4"/>
      <c r="B64" s="70">
        <v>49</v>
      </c>
      <c r="C64" s="239" t="str">
        <f>IF('INPUT DATA'!L59="","",'INPUT DATA'!L59)</f>
        <v/>
      </c>
      <c r="D64" s="240"/>
      <c r="E64" s="241"/>
      <c r="F64" s="242" t="str">
        <f>IF('INPUT DATA'!M59="","",'INPUT DATA'!M59)</f>
        <v/>
      </c>
      <c r="G64" s="241"/>
      <c r="H64" s="50" t="str">
        <f>IF('INPUT DATA'!N59="","",'INPUT DATA'!N59)</f>
        <v/>
      </c>
      <c r="I64" s="55" t="str">
        <f t="shared" ca="1" si="0"/>
        <v/>
      </c>
      <c r="J64" s="51"/>
      <c r="K64" s="53"/>
      <c r="L64" s="54"/>
      <c r="M64" s="54"/>
      <c r="N64" s="54"/>
      <c r="O64" s="54"/>
      <c r="P64" s="54"/>
      <c r="Q64" s="54"/>
      <c r="R64" s="54"/>
      <c r="S64" s="4"/>
      <c r="T64" s="4"/>
      <c r="U64" s="4"/>
      <c r="V64" s="4"/>
      <c r="W64" s="4"/>
      <c r="X64" s="4"/>
      <c r="Y64" s="4"/>
      <c r="Z64" s="4"/>
      <c r="AA64" s="4"/>
      <c r="AB64" s="4"/>
      <c r="AC64" s="4"/>
    </row>
    <row r="65" spans="1:29" ht="15.75" customHeight="1" x14ac:dyDescent="0.25">
      <c r="A65" s="4"/>
      <c r="B65" s="75">
        <v>50</v>
      </c>
      <c r="C65" s="243" t="str">
        <f>IF('INPUT DATA'!L60="","",'INPUT DATA'!L60)</f>
        <v/>
      </c>
      <c r="D65" s="244"/>
      <c r="E65" s="245"/>
      <c r="F65" s="246" t="str">
        <f>IF('INPUT DATA'!M60="","",'INPUT DATA'!M60)</f>
        <v/>
      </c>
      <c r="G65" s="245"/>
      <c r="H65" s="90" t="str">
        <f>IF('INPUT DATA'!N60="","",'INPUT DATA'!N60)</f>
        <v/>
      </c>
      <c r="I65" s="55" t="str">
        <f t="shared" ca="1" si="0"/>
        <v/>
      </c>
      <c r="J65" s="77"/>
      <c r="K65" s="79"/>
      <c r="L65" s="80"/>
      <c r="M65" s="80"/>
      <c r="N65" s="80"/>
      <c r="O65" s="80"/>
      <c r="P65" s="80"/>
      <c r="Q65" s="80"/>
      <c r="R65" s="80"/>
      <c r="S65" s="4"/>
      <c r="T65" s="4"/>
      <c r="U65" s="4"/>
      <c r="V65" s="4"/>
      <c r="W65" s="4"/>
      <c r="X65" s="4"/>
      <c r="Y65" s="4"/>
      <c r="Z65" s="4"/>
      <c r="AA65" s="4"/>
      <c r="AB65" s="4"/>
      <c r="AC65" s="4"/>
    </row>
    <row r="66" spans="1:29" ht="15.75" customHeight="1" x14ac:dyDescent="0.25">
      <c r="A66" s="4"/>
      <c r="B66" s="81" t="s">
        <v>13</v>
      </c>
      <c r="C66" s="82"/>
      <c r="D66" s="82"/>
      <c r="E66" s="82"/>
      <c r="F66" s="82"/>
      <c r="G66" s="82"/>
      <c r="H66" s="82"/>
      <c r="I66" s="84"/>
      <c r="J66" s="83"/>
      <c r="K66" s="84"/>
      <c r="L66" s="84"/>
      <c r="M66" s="84"/>
      <c r="N66" s="84"/>
      <c r="O66" s="84"/>
      <c r="P66" s="84"/>
      <c r="Q66" s="84"/>
      <c r="R66" s="85"/>
      <c r="S66" s="4"/>
      <c r="T66" s="4"/>
      <c r="U66" s="4"/>
      <c r="V66" s="4"/>
      <c r="W66" s="4"/>
      <c r="X66" s="4"/>
      <c r="Y66" s="4"/>
      <c r="Z66" s="4"/>
      <c r="AA66" s="4"/>
      <c r="AB66" s="4"/>
      <c r="AC66" s="4"/>
    </row>
    <row r="67" spans="1:29" ht="15.75" customHeight="1" x14ac:dyDescent="0.25">
      <c r="A67" s="4"/>
      <c r="B67" s="40">
        <v>1</v>
      </c>
      <c r="C67" s="247" t="str">
        <f>IF('INPUT DATA'!Q11="","",'INPUT DATA'!Q11)</f>
        <v/>
      </c>
      <c r="D67" s="248"/>
      <c r="E67" s="249"/>
      <c r="F67" s="250" t="str">
        <f>IF('INPUT DATA'!T11="","",'INPUT DATA'!T11)</f>
        <v/>
      </c>
      <c r="G67" s="251"/>
      <c r="H67" s="86" t="str">
        <f>IF('INPUT DATA'!S11="","",'INPUT DATA'!S11)</f>
        <v/>
      </c>
      <c r="I67" s="49" t="str">
        <f t="shared" ref="I67:I116" ca="1" si="1">IF(H67="","",DATEDIF(H67,TODAY(),"Y"))</f>
        <v/>
      </c>
      <c r="J67" s="44" t="s">
        <v>46</v>
      </c>
      <c r="K67" s="46"/>
      <c r="L67" s="47"/>
      <c r="M67" s="47"/>
      <c r="N67" s="47"/>
      <c r="O67" s="47"/>
      <c r="P67" s="47"/>
      <c r="Q67" s="47"/>
      <c r="R67" s="47"/>
      <c r="S67" s="4"/>
      <c r="T67" s="4"/>
      <c r="U67" s="4"/>
      <c r="V67" s="4"/>
      <c r="W67" s="4"/>
      <c r="X67" s="4"/>
      <c r="Y67" s="4"/>
      <c r="Z67" s="4"/>
      <c r="AA67" s="4"/>
      <c r="AB67" s="4"/>
      <c r="AC67" s="4"/>
    </row>
    <row r="68" spans="1:29" ht="15.75" customHeight="1" x14ac:dyDescent="0.25">
      <c r="A68" s="4"/>
      <c r="B68" s="48">
        <v>2</v>
      </c>
      <c r="C68" s="252" t="str">
        <f>IF('INPUT DATA'!Q12="","",'INPUT DATA'!Q12)</f>
        <v/>
      </c>
      <c r="D68" s="253"/>
      <c r="E68" s="251"/>
      <c r="F68" s="250" t="str">
        <f>IF('INPUT DATA'!T12="","",'INPUT DATA'!T12)</f>
        <v/>
      </c>
      <c r="G68" s="251"/>
      <c r="H68" s="87" t="str">
        <f>IF('INPUT DATA'!S12="","",'INPUT DATA'!S12)</f>
        <v/>
      </c>
      <c r="I68" s="55" t="str">
        <f t="shared" ca="1" si="1"/>
        <v/>
      </c>
      <c r="J68" s="51" t="s">
        <v>46</v>
      </c>
      <c r="K68" s="53"/>
      <c r="L68" s="54"/>
      <c r="M68" s="54"/>
      <c r="N68" s="54"/>
      <c r="O68" s="54"/>
      <c r="P68" s="54"/>
      <c r="Q68" s="54"/>
      <c r="R68" s="54"/>
      <c r="S68" s="4"/>
      <c r="T68" s="4"/>
      <c r="U68" s="4"/>
      <c r="V68" s="4"/>
      <c r="W68" s="4"/>
      <c r="X68" s="4"/>
      <c r="Y68" s="4"/>
      <c r="Z68" s="4"/>
      <c r="AA68" s="4"/>
      <c r="AB68" s="4"/>
      <c r="AC68" s="4"/>
    </row>
    <row r="69" spans="1:29" ht="15.75" customHeight="1" x14ac:dyDescent="0.25">
      <c r="A69" s="4"/>
      <c r="B69" s="48">
        <v>3</v>
      </c>
      <c r="C69" s="252" t="str">
        <f>IF('INPUT DATA'!Q13="","",'INPUT DATA'!Q13)</f>
        <v/>
      </c>
      <c r="D69" s="253"/>
      <c r="E69" s="251"/>
      <c r="F69" s="250" t="str">
        <f>IF('INPUT DATA'!T13="","",'INPUT DATA'!T13)</f>
        <v/>
      </c>
      <c r="G69" s="251"/>
      <c r="H69" s="87" t="str">
        <f>IF('INPUT DATA'!S13="","",'INPUT DATA'!S13)</f>
        <v/>
      </c>
      <c r="I69" s="55" t="str">
        <f t="shared" ca="1" si="1"/>
        <v/>
      </c>
      <c r="J69" s="51" t="s">
        <v>46</v>
      </c>
      <c r="K69" s="53"/>
      <c r="L69" s="54"/>
      <c r="M69" s="54"/>
      <c r="N69" s="54"/>
      <c r="O69" s="54"/>
      <c r="P69" s="54"/>
      <c r="Q69" s="54"/>
      <c r="R69" s="54"/>
      <c r="S69" s="4"/>
      <c r="T69" s="4"/>
      <c r="U69" s="4"/>
      <c r="V69" s="4"/>
      <c r="W69" s="4"/>
      <c r="X69" s="4"/>
      <c r="Y69" s="4"/>
      <c r="Z69" s="4"/>
      <c r="AA69" s="4"/>
      <c r="AB69" s="4"/>
      <c r="AC69" s="4"/>
    </row>
    <row r="70" spans="1:29" ht="15.75" customHeight="1" x14ac:dyDescent="0.25">
      <c r="A70" s="4"/>
      <c r="B70" s="48">
        <v>4</v>
      </c>
      <c r="C70" s="252" t="str">
        <f>IF('INPUT DATA'!Q14="","",'INPUT DATA'!Q14)</f>
        <v/>
      </c>
      <c r="D70" s="253"/>
      <c r="E70" s="251"/>
      <c r="F70" s="250" t="str">
        <f>IF('INPUT DATA'!T14="","",'INPUT DATA'!T14)</f>
        <v/>
      </c>
      <c r="G70" s="251"/>
      <c r="H70" s="87" t="str">
        <f>IF('INPUT DATA'!S14="","",'INPUT DATA'!S14)</f>
        <v/>
      </c>
      <c r="I70" s="55" t="str">
        <f t="shared" ca="1" si="1"/>
        <v/>
      </c>
      <c r="J70" s="51"/>
      <c r="K70" s="53"/>
      <c r="L70" s="54"/>
      <c r="M70" s="54"/>
      <c r="N70" s="54"/>
      <c r="O70" s="54"/>
      <c r="P70" s="54"/>
      <c r="Q70" s="88"/>
      <c r="R70" s="54"/>
      <c r="S70" s="4"/>
      <c r="T70" s="4"/>
      <c r="U70" s="4"/>
      <c r="V70" s="4"/>
      <c r="W70" s="4"/>
      <c r="X70" s="4"/>
      <c r="Y70" s="4"/>
      <c r="Z70" s="4"/>
      <c r="AA70" s="4"/>
      <c r="AB70" s="4"/>
      <c r="AC70" s="4"/>
    </row>
    <row r="71" spans="1:29" ht="15.75" customHeight="1" x14ac:dyDescent="0.25">
      <c r="A71" s="4"/>
      <c r="B71" s="48">
        <v>5</v>
      </c>
      <c r="C71" s="252" t="str">
        <f>IF('INPUT DATA'!Q15="","",'INPUT DATA'!Q15)</f>
        <v/>
      </c>
      <c r="D71" s="253"/>
      <c r="E71" s="251"/>
      <c r="F71" s="250" t="str">
        <f>IF('INPUT DATA'!T15="","",'INPUT DATA'!T15)</f>
        <v/>
      </c>
      <c r="G71" s="251"/>
      <c r="H71" s="87" t="str">
        <f>IF('INPUT DATA'!S15="","",'INPUT DATA'!S15)</f>
        <v/>
      </c>
      <c r="I71" s="55" t="str">
        <f t="shared" ca="1" si="1"/>
        <v/>
      </c>
      <c r="J71" s="51"/>
      <c r="K71" s="53"/>
      <c r="L71" s="54"/>
      <c r="M71" s="54"/>
      <c r="N71" s="54"/>
      <c r="O71" s="54"/>
      <c r="P71" s="54"/>
      <c r="Q71" s="88"/>
      <c r="R71" s="54"/>
      <c r="S71" s="4"/>
      <c r="T71" s="4"/>
      <c r="U71" s="4"/>
      <c r="V71" s="4"/>
      <c r="W71" s="4"/>
      <c r="X71" s="4"/>
      <c r="Y71" s="4"/>
      <c r="Z71" s="4"/>
      <c r="AA71" s="4"/>
      <c r="AB71" s="4"/>
      <c r="AC71" s="4"/>
    </row>
    <row r="72" spans="1:29" ht="15.75" customHeight="1" x14ac:dyDescent="0.25">
      <c r="A72" s="4"/>
      <c r="B72" s="48">
        <v>6</v>
      </c>
      <c r="C72" s="252" t="str">
        <f>IF('INPUT DATA'!Q16="","",'INPUT DATA'!Q16)</f>
        <v/>
      </c>
      <c r="D72" s="253"/>
      <c r="E72" s="251"/>
      <c r="F72" s="250" t="str">
        <f>IF('INPUT DATA'!T16="","",'INPUT DATA'!T16)</f>
        <v/>
      </c>
      <c r="G72" s="251"/>
      <c r="H72" s="87" t="str">
        <f>IF('INPUT DATA'!S16="","",'INPUT DATA'!S16)</f>
        <v/>
      </c>
      <c r="I72" s="55" t="str">
        <f t="shared" ca="1" si="1"/>
        <v/>
      </c>
      <c r="J72" s="51"/>
      <c r="K72" s="53"/>
      <c r="L72" s="54"/>
      <c r="M72" s="54"/>
      <c r="N72" s="54"/>
      <c r="O72" s="54"/>
      <c r="P72" s="54"/>
      <c r="Q72" s="88"/>
      <c r="R72" s="54"/>
      <c r="S72" s="4"/>
      <c r="T72" s="4"/>
      <c r="U72" s="4"/>
      <c r="V72" s="4"/>
      <c r="W72" s="4"/>
      <c r="X72" s="4"/>
      <c r="Y72" s="4"/>
      <c r="Z72" s="4"/>
      <c r="AA72" s="4"/>
      <c r="AB72" s="4"/>
      <c r="AC72" s="4"/>
    </row>
    <row r="73" spans="1:29" ht="15.75" customHeight="1" x14ac:dyDescent="0.25">
      <c r="A73" s="4"/>
      <c r="B73" s="48">
        <v>7</v>
      </c>
      <c r="C73" s="252" t="str">
        <f>IF('INPUT DATA'!Q17="","",'INPUT DATA'!Q17)</f>
        <v/>
      </c>
      <c r="D73" s="253"/>
      <c r="E73" s="251"/>
      <c r="F73" s="250" t="str">
        <f>IF('INPUT DATA'!T17="","",'INPUT DATA'!T17)</f>
        <v/>
      </c>
      <c r="G73" s="251"/>
      <c r="H73" s="87" t="str">
        <f>IF('INPUT DATA'!S17="","",'INPUT DATA'!S17)</f>
        <v/>
      </c>
      <c r="I73" s="55" t="str">
        <f t="shared" ca="1" si="1"/>
        <v/>
      </c>
      <c r="J73" s="51"/>
      <c r="K73" s="53"/>
      <c r="L73" s="54"/>
      <c r="M73" s="54"/>
      <c r="N73" s="54"/>
      <c r="O73" s="54"/>
      <c r="P73" s="54"/>
      <c r="Q73" s="88"/>
      <c r="R73" s="54"/>
      <c r="S73" s="4"/>
      <c r="T73" s="4"/>
      <c r="U73" s="4"/>
      <c r="V73" s="4"/>
      <c r="W73" s="4"/>
      <c r="X73" s="4"/>
      <c r="Y73" s="4"/>
      <c r="Z73" s="4"/>
      <c r="AA73" s="4"/>
      <c r="AB73" s="4"/>
      <c r="AC73" s="4"/>
    </row>
    <row r="74" spans="1:29" ht="15.75" customHeight="1" x14ac:dyDescent="0.25">
      <c r="A74" s="4"/>
      <c r="B74" s="48">
        <v>8</v>
      </c>
      <c r="C74" s="252" t="str">
        <f>IF('INPUT DATA'!Q18="","",'INPUT DATA'!Q18)</f>
        <v/>
      </c>
      <c r="D74" s="253"/>
      <c r="E74" s="251"/>
      <c r="F74" s="250" t="str">
        <f>IF('INPUT DATA'!T18="","",'INPUT DATA'!T18)</f>
        <v/>
      </c>
      <c r="G74" s="251"/>
      <c r="H74" s="87" t="str">
        <f>IF('INPUT DATA'!S18="","",'INPUT DATA'!S18)</f>
        <v/>
      </c>
      <c r="I74" s="55" t="str">
        <f t="shared" ca="1" si="1"/>
        <v/>
      </c>
      <c r="J74" s="51"/>
      <c r="K74" s="53"/>
      <c r="L74" s="54"/>
      <c r="M74" s="54"/>
      <c r="N74" s="54"/>
      <c r="O74" s="54"/>
      <c r="P74" s="54"/>
      <c r="Q74" s="88"/>
      <c r="R74" s="54"/>
      <c r="S74" s="4"/>
      <c r="T74" s="4"/>
      <c r="U74" s="4"/>
      <c r="V74" s="4"/>
      <c r="W74" s="4"/>
      <c r="X74" s="4"/>
      <c r="Y74" s="4"/>
      <c r="Z74" s="4"/>
      <c r="AA74" s="4"/>
      <c r="AB74" s="4"/>
      <c r="AC74" s="4"/>
    </row>
    <row r="75" spans="1:29" ht="15.75" customHeight="1" x14ac:dyDescent="0.25">
      <c r="A75" s="4"/>
      <c r="B75" s="48">
        <v>9</v>
      </c>
      <c r="C75" s="252" t="str">
        <f>IF('INPUT DATA'!Q19="","",'INPUT DATA'!Q19)</f>
        <v/>
      </c>
      <c r="D75" s="253"/>
      <c r="E75" s="251"/>
      <c r="F75" s="250" t="str">
        <f>IF('INPUT DATA'!T19="","",'INPUT DATA'!T19)</f>
        <v/>
      </c>
      <c r="G75" s="251"/>
      <c r="H75" s="87" t="str">
        <f>IF('INPUT DATA'!S19="","",'INPUT DATA'!S19)</f>
        <v/>
      </c>
      <c r="I75" s="55" t="str">
        <f t="shared" ca="1" si="1"/>
        <v/>
      </c>
      <c r="J75" s="51"/>
      <c r="K75" s="53"/>
      <c r="L75" s="54"/>
      <c r="M75" s="54"/>
      <c r="N75" s="54"/>
      <c r="O75" s="54"/>
      <c r="P75" s="54"/>
      <c r="Q75" s="88"/>
      <c r="R75" s="54"/>
      <c r="S75" s="4"/>
      <c r="T75" s="4"/>
      <c r="U75" s="4"/>
      <c r="V75" s="4"/>
      <c r="W75" s="4"/>
      <c r="X75" s="4"/>
      <c r="Y75" s="4"/>
      <c r="Z75" s="4"/>
      <c r="AA75" s="4"/>
      <c r="AB75" s="4"/>
      <c r="AC75" s="4"/>
    </row>
    <row r="76" spans="1:29" ht="15.75" customHeight="1" x14ac:dyDescent="0.25">
      <c r="A76" s="4"/>
      <c r="B76" s="48">
        <v>10</v>
      </c>
      <c r="C76" s="252" t="str">
        <f>IF('INPUT DATA'!Q20="","",'INPUT DATA'!Q20)</f>
        <v/>
      </c>
      <c r="D76" s="253"/>
      <c r="E76" s="251"/>
      <c r="F76" s="250" t="str">
        <f>IF('INPUT DATA'!T20="","",'INPUT DATA'!T20)</f>
        <v/>
      </c>
      <c r="G76" s="251"/>
      <c r="H76" s="87" t="str">
        <f>IF('INPUT DATA'!S20="","",'INPUT DATA'!S20)</f>
        <v/>
      </c>
      <c r="I76" s="55" t="str">
        <f t="shared" ca="1" si="1"/>
        <v/>
      </c>
      <c r="J76" s="51"/>
      <c r="K76" s="53"/>
      <c r="L76" s="54"/>
      <c r="M76" s="54"/>
      <c r="N76" s="54"/>
      <c r="O76" s="54"/>
      <c r="P76" s="54"/>
      <c r="Q76" s="88"/>
      <c r="R76" s="54"/>
      <c r="S76" s="4"/>
      <c r="T76" s="4"/>
      <c r="U76" s="4"/>
      <c r="V76" s="4"/>
      <c r="W76" s="4"/>
      <c r="X76" s="4"/>
      <c r="Y76" s="4"/>
      <c r="Z76" s="4"/>
      <c r="AA76" s="4"/>
      <c r="AB76" s="4"/>
      <c r="AC76" s="4"/>
    </row>
    <row r="77" spans="1:29" ht="15.75" customHeight="1" x14ac:dyDescent="0.25">
      <c r="A77" s="4"/>
      <c r="B77" s="48">
        <v>11</v>
      </c>
      <c r="C77" s="252" t="str">
        <f>IF('INPUT DATA'!Q21="","",'INPUT DATA'!Q21)</f>
        <v/>
      </c>
      <c r="D77" s="253"/>
      <c r="E77" s="251"/>
      <c r="F77" s="250" t="str">
        <f>IF('INPUT DATA'!T21="","",'INPUT DATA'!T21)</f>
        <v/>
      </c>
      <c r="G77" s="251"/>
      <c r="H77" s="87" t="str">
        <f>IF('INPUT DATA'!S21="","",'INPUT DATA'!S21)</f>
        <v/>
      </c>
      <c r="I77" s="55" t="str">
        <f t="shared" ca="1" si="1"/>
        <v/>
      </c>
      <c r="J77" s="51"/>
      <c r="K77" s="53"/>
      <c r="L77" s="54"/>
      <c r="M77" s="54"/>
      <c r="N77" s="54"/>
      <c r="O77" s="54"/>
      <c r="P77" s="54"/>
      <c r="Q77" s="88"/>
      <c r="R77" s="54"/>
      <c r="S77" s="4"/>
      <c r="T77" s="4"/>
      <c r="U77" s="4"/>
      <c r="V77" s="4"/>
      <c r="W77" s="4"/>
      <c r="X77" s="4"/>
      <c r="Y77" s="4"/>
      <c r="Z77" s="4"/>
      <c r="AA77" s="4"/>
      <c r="AB77" s="4"/>
      <c r="AC77" s="4"/>
    </row>
    <row r="78" spans="1:29" ht="15.75" customHeight="1" x14ac:dyDescent="0.25">
      <c r="A78" s="4"/>
      <c r="B78" s="48">
        <v>12</v>
      </c>
      <c r="C78" s="252" t="str">
        <f>IF('INPUT DATA'!Q22="","",'INPUT DATA'!Q22)</f>
        <v/>
      </c>
      <c r="D78" s="253"/>
      <c r="E78" s="251"/>
      <c r="F78" s="250" t="str">
        <f>IF('INPUT DATA'!T22="","",'INPUT DATA'!T22)</f>
        <v/>
      </c>
      <c r="G78" s="251"/>
      <c r="H78" s="87" t="str">
        <f>IF('INPUT DATA'!S22="","",'INPUT DATA'!S22)</f>
        <v/>
      </c>
      <c r="I78" s="55" t="str">
        <f t="shared" ca="1" si="1"/>
        <v/>
      </c>
      <c r="J78" s="51"/>
      <c r="K78" s="53"/>
      <c r="L78" s="54"/>
      <c r="M78" s="54"/>
      <c r="N78" s="54"/>
      <c r="O78" s="54"/>
      <c r="P78" s="54"/>
      <c r="Q78" s="88"/>
      <c r="R78" s="54"/>
      <c r="S78" s="4"/>
      <c r="T78" s="4"/>
      <c r="U78" s="4"/>
      <c r="V78" s="4"/>
      <c r="W78" s="4"/>
      <c r="X78" s="4"/>
      <c r="Y78" s="4"/>
      <c r="Z78" s="4"/>
      <c r="AA78" s="4"/>
      <c r="AB78" s="4"/>
      <c r="AC78" s="4"/>
    </row>
    <row r="79" spans="1:29" ht="15.75" customHeight="1" x14ac:dyDescent="0.25">
      <c r="A79" s="4"/>
      <c r="B79" s="48">
        <v>13</v>
      </c>
      <c r="C79" s="252" t="str">
        <f>IF('INPUT DATA'!Q23="","",'INPUT DATA'!Q23)</f>
        <v/>
      </c>
      <c r="D79" s="253"/>
      <c r="E79" s="251"/>
      <c r="F79" s="250" t="str">
        <f>IF('INPUT DATA'!T23="","",'INPUT DATA'!T23)</f>
        <v/>
      </c>
      <c r="G79" s="251"/>
      <c r="H79" s="87" t="str">
        <f>IF('INPUT DATA'!S23="","",'INPUT DATA'!S23)</f>
        <v/>
      </c>
      <c r="I79" s="55" t="str">
        <f t="shared" ca="1" si="1"/>
        <v/>
      </c>
      <c r="J79" s="51"/>
      <c r="K79" s="53"/>
      <c r="L79" s="54"/>
      <c r="M79" s="54"/>
      <c r="N79" s="54"/>
      <c r="O79" s="54"/>
      <c r="P79" s="54"/>
      <c r="Q79" s="88"/>
      <c r="R79" s="54"/>
      <c r="S79" s="4"/>
      <c r="T79" s="4"/>
      <c r="U79" s="4"/>
      <c r="V79" s="4"/>
      <c r="W79" s="4"/>
      <c r="X79" s="4"/>
      <c r="Y79" s="4"/>
      <c r="Z79" s="4"/>
      <c r="AA79" s="4"/>
      <c r="AB79" s="4"/>
      <c r="AC79" s="4"/>
    </row>
    <row r="80" spans="1:29" ht="15.75" customHeight="1" x14ac:dyDescent="0.25">
      <c r="A80" s="4"/>
      <c r="B80" s="48">
        <v>14</v>
      </c>
      <c r="C80" s="252" t="str">
        <f>IF('INPUT DATA'!Q24="","",'INPUT DATA'!Q24)</f>
        <v/>
      </c>
      <c r="D80" s="253"/>
      <c r="E80" s="251"/>
      <c r="F80" s="250" t="str">
        <f>IF('INPUT DATA'!T24="","",'INPUT DATA'!T24)</f>
        <v/>
      </c>
      <c r="G80" s="251"/>
      <c r="H80" s="87" t="str">
        <f>IF('INPUT DATA'!S24="","",'INPUT DATA'!S24)</f>
        <v/>
      </c>
      <c r="I80" s="55" t="str">
        <f t="shared" ca="1" si="1"/>
        <v/>
      </c>
      <c r="J80" s="51"/>
      <c r="K80" s="53"/>
      <c r="L80" s="54"/>
      <c r="M80" s="54"/>
      <c r="N80" s="54"/>
      <c r="O80" s="54"/>
      <c r="P80" s="54"/>
      <c r="Q80" s="88"/>
      <c r="R80" s="54"/>
      <c r="S80" s="4"/>
      <c r="T80" s="4"/>
      <c r="U80" s="4"/>
      <c r="V80" s="4"/>
      <c r="W80" s="4"/>
      <c r="X80" s="4"/>
      <c r="Y80" s="4"/>
      <c r="Z80" s="4"/>
      <c r="AA80" s="4"/>
      <c r="AB80" s="4"/>
      <c r="AC80" s="4"/>
    </row>
    <row r="81" spans="1:29" ht="15.75" customHeight="1" x14ac:dyDescent="0.25">
      <c r="A81" s="4"/>
      <c r="B81" s="48">
        <v>15</v>
      </c>
      <c r="C81" s="252" t="str">
        <f>IF('INPUT DATA'!Q25="","",'INPUT DATA'!Q25)</f>
        <v/>
      </c>
      <c r="D81" s="253"/>
      <c r="E81" s="251"/>
      <c r="F81" s="250" t="str">
        <f>IF('INPUT DATA'!T25="","",'INPUT DATA'!T25)</f>
        <v/>
      </c>
      <c r="G81" s="251"/>
      <c r="H81" s="87" t="str">
        <f>IF('INPUT DATA'!S25="","",'INPUT DATA'!S25)</f>
        <v/>
      </c>
      <c r="I81" s="55" t="str">
        <f t="shared" ca="1" si="1"/>
        <v/>
      </c>
      <c r="J81" s="51"/>
      <c r="K81" s="53"/>
      <c r="L81" s="54"/>
      <c r="M81" s="54"/>
      <c r="N81" s="54"/>
      <c r="O81" s="54"/>
      <c r="P81" s="54"/>
      <c r="Q81" s="88"/>
      <c r="R81" s="54"/>
      <c r="S81" s="4"/>
      <c r="T81" s="4"/>
      <c r="U81" s="4"/>
      <c r="V81" s="4"/>
      <c r="W81" s="4"/>
      <c r="X81" s="4"/>
      <c r="Y81" s="4"/>
      <c r="Z81" s="4"/>
      <c r="AA81" s="4"/>
      <c r="AB81" s="4"/>
      <c r="AC81" s="4"/>
    </row>
    <row r="82" spans="1:29" ht="15.75" customHeight="1" x14ac:dyDescent="0.25">
      <c r="A82" s="4"/>
      <c r="B82" s="48">
        <v>16</v>
      </c>
      <c r="C82" s="252" t="str">
        <f>IF('INPUT DATA'!Q26="","",'INPUT DATA'!Q26)</f>
        <v/>
      </c>
      <c r="D82" s="253"/>
      <c r="E82" s="251"/>
      <c r="F82" s="250" t="str">
        <f>IF('INPUT DATA'!T26="","",'INPUT DATA'!T26)</f>
        <v/>
      </c>
      <c r="G82" s="251"/>
      <c r="H82" s="87" t="str">
        <f>IF('INPUT DATA'!S26="","",'INPUT DATA'!S26)</f>
        <v/>
      </c>
      <c r="I82" s="55" t="str">
        <f t="shared" ca="1" si="1"/>
        <v/>
      </c>
      <c r="J82" s="51"/>
      <c r="K82" s="53"/>
      <c r="L82" s="54"/>
      <c r="M82" s="54"/>
      <c r="N82" s="54"/>
      <c r="O82" s="54"/>
      <c r="P82" s="54"/>
      <c r="Q82" s="88"/>
      <c r="R82" s="54"/>
      <c r="S82" s="4"/>
      <c r="T82" s="4"/>
      <c r="U82" s="4"/>
      <c r="V82" s="4"/>
      <c r="W82" s="4"/>
      <c r="X82" s="4"/>
      <c r="Y82" s="4"/>
      <c r="Z82" s="4"/>
      <c r="AA82" s="4"/>
      <c r="AB82" s="4"/>
      <c r="AC82" s="4"/>
    </row>
    <row r="83" spans="1:29" ht="15.75" customHeight="1" x14ac:dyDescent="0.25">
      <c r="A83" s="4"/>
      <c r="B83" s="48">
        <v>17</v>
      </c>
      <c r="C83" s="252" t="str">
        <f>IF('INPUT DATA'!Q27="","",'INPUT DATA'!Q27)</f>
        <v/>
      </c>
      <c r="D83" s="253"/>
      <c r="E83" s="251"/>
      <c r="F83" s="250" t="str">
        <f>IF('INPUT DATA'!T27="","",'INPUT DATA'!T27)</f>
        <v/>
      </c>
      <c r="G83" s="251"/>
      <c r="H83" s="87" t="str">
        <f>IF('INPUT DATA'!S27="","",'INPUT DATA'!S27)</f>
        <v/>
      </c>
      <c r="I83" s="55" t="str">
        <f t="shared" ca="1" si="1"/>
        <v/>
      </c>
      <c r="J83" s="51"/>
      <c r="K83" s="53"/>
      <c r="L83" s="54"/>
      <c r="M83" s="54"/>
      <c r="N83" s="54"/>
      <c r="O83" s="54"/>
      <c r="P83" s="54"/>
      <c r="Q83" s="88"/>
      <c r="R83" s="54"/>
      <c r="S83" s="4"/>
      <c r="T83" s="4"/>
      <c r="U83" s="4"/>
      <c r="V83" s="4"/>
      <c r="W83" s="4"/>
      <c r="X83" s="4"/>
      <c r="Y83" s="4"/>
      <c r="Z83" s="4"/>
      <c r="AA83" s="4"/>
      <c r="AB83" s="4"/>
      <c r="AC83" s="4"/>
    </row>
    <row r="84" spans="1:29" ht="15.75" customHeight="1" x14ac:dyDescent="0.25">
      <c r="A84" s="4"/>
      <c r="B84" s="48">
        <v>18</v>
      </c>
      <c r="C84" s="252" t="str">
        <f>IF('INPUT DATA'!Q28="","",'INPUT DATA'!Q28)</f>
        <v/>
      </c>
      <c r="D84" s="253"/>
      <c r="E84" s="251"/>
      <c r="F84" s="250" t="str">
        <f>IF('INPUT DATA'!T28="","",'INPUT DATA'!T28)</f>
        <v/>
      </c>
      <c r="G84" s="251"/>
      <c r="H84" s="87" t="str">
        <f>IF('INPUT DATA'!S28="","",'INPUT DATA'!S28)</f>
        <v/>
      </c>
      <c r="I84" s="55" t="str">
        <f t="shared" ca="1" si="1"/>
        <v/>
      </c>
      <c r="J84" s="51"/>
      <c r="K84" s="53"/>
      <c r="L84" s="54"/>
      <c r="M84" s="54"/>
      <c r="N84" s="54"/>
      <c r="O84" s="54"/>
      <c r="P84" s="54"/>
      <c r="Q84" s="88"/>
      <c r="R84" s="54"/>
      <c r="S84" s="4"/>
      <c r="T84" s="4"/>
      <c r="U84" s="4"/>
      <c r="V84" s="4"/>
      <c r="W84" s="4"/>
      <c r="X84" s="4"/>
      <c r="Y84" s="4"/>
      <c r="Z84" s="4"/>
      <c r="AA84" s="4"/>
      <c r="AB84" s="4"/>
      <c r="AC84" s="4"/>
    </row>
    <row r="85" spans="1:29" ht="15.75" customHeight="1" x14ac:dyDescent="0.25">
      <c r="A85" s="4"/>
      <c r="B85" s="48">
        <v>19</v>
      </c>
      <c r="C85" s="252" t="str">
        <f>IF('INPUT DATA'!Q29="","",'INPUT DATA'!Q29)</f>
        <v/>
      </c>
      <c r="D85" s="253"/>
      <c r="E85" s="251"/>
      <c r="F85" s="250" t="str">
        <f>IF('INPUT DATA'!T29="","",'INPUT DATA'!T29)</f>
        <v/>
      </c>
      <c r="G85" s="251"/>
      <c r="H85" s="87" t="str">
        <f>IF('INPUT DATA'!S29="","",'INPUT DATA'!S29)</f>
        <v/>
      </c>
      <c r="I85" s="55" t="str">
        <f t="shared" ca="1" si="1"/>
        <v/>
      </c>
      <c r="J85" s="51"/>
      <c r="K85" s="53"/>
      <c r="L85" s="54"/>
      <c r="M85" s="54"/>
      <c r="N85" s="54"/>
      <c r="O85" s="54"/>
      <c r="P85" s="54"/>
      <c r="Q85" s="88"/>
      <c r="R85" s="54"/>
      <c r="S85" s="4"/>
      <c r="T85" s="4"/>
      <c r="U85" s="4"/>
      <c r="V85" s="4"/>
      <c r="W85" s="4"/>
      <c r="X85" s="4"/>
      <c r="Y85" s="4"/>
      <c r="Z85" s="4"/>
      <c r="AA85" s="4"/>
      <c r="AB85" s="4"/>
      <c r="AC85" s="4"/>
    </row>
    <row r="86" spans="1:29" ht="15.75" customHeight="1" x14ac:dyDescent="0.25">
      <c r="A86" s="4"/>
      <c r="B86" s="70">
        <v>20</v>
      </c>
      <c r="C86" s="252" t="str">
        <f>IF('INPUT DATA'!Q30="","",'INPUT DATA'!Q30)</f>
        <v/>
      </c>
      <c r="D86" s="253"/>
      <c r="E86" s="251"/>
      <c r="F86" s="250" t="str">
        <f>IF('INPUT DATA'!T30="","",'INPUT DATA'!T30)</f>
        <v/>
      </c>
      <c r="G86" s="251"/>
      <c r="H86" s="87" t="str">
        <f>IF('INPUT DATA'!S30="","",'INPUT DATA'!S30)</f>
        <v/>
      </c>
      <c r="I86" s="55" t="str">
        <f t="shared" ca="1" si="1"/>
        <v/>
      </c>
      <c r="J86" s="51"/>
      <c r="K86" s="71"/>
      <c r="L86" s="72"/>
      <c r="M86" s="72"/>
      <c r="N86" s="72"/>
      <c r="O86" s="72"/>
      <c r="P86" s="72"/>
      <c r="Q86" s="89"/>
      <c r="R86" s="72"/>
      <c r="S86" s="4"/>
      <c r="T86" s="4"/>
      <c r="U86" s="4"/>
      <c r="V86" s="4"/>
      <c r="W86" s="4"/>
      <c r="X86" s="4"/>
      <c r="Y86" s="4"/>
      <c r="Z86" s="4"/>
      <c r="AA86" s="4"/>
      <c r="AB86" s="4"/>
      <c r="AC86" s="4"/>
    </row>
    <row r="87" spans="1:29" ht="15.75" customHeight="1" x14ac:dyDescent="0.25">
      <c r="A87" s="4"/>
      <c r="B87" s="70">
        <v>21</v>
      </c>
      <c r="C87" s="252" t="str">
        <f>IF('INPUT DATA'!Q31="","",'INPUT DATA'!Q31)</f>
        <v/>
      </c>
      <c r="D87" s="253"/>
      <c r="E87" s="251"/>
      <c r="F87" s="250" t="str">
        <f>IF('INPUT DATA'!T31="","",'INPUT DATA'!T31)</f>
        <v/>
      </c>
      <c r="G87" s="251"/>
      <c r="H87" s="87" t="str">
        <f>IF('INPUT DATA'!S31="","",'INPUT DATA'!S31)</f>
        <v/>
      </c>
      <c r="I87" s="55" t="str">
        <f t="shared" ca="1" si="1"/>
        <v/>
      </c>
      <c r="J87" s="51"/>
      <c r="K87" s="53"/>
      <c r="L87" s="54"/>
      <c r="M87" s="54"/>
      <c r="N87" s="54"/>
      <c r="O87" s="54"/>
      <c r="P87" s="54"/>
      <c r="Q87" s="88"/>
      <c r="R87" s="54"/>
      <c r="S87" s="4"/>
      <c r="T87" s="4"/>
      <c r="U87" s="4"/>
      <c r="V87" s="4"/>
      <c r="W87" s="4"/>
      <c r="X87" s="4"/>
      <c r="Y87" s="4"/>
      <c r="Z87" s="4"/>
      <c r="AA87" s="4"/>
      <c r="AB87" s="4"/>
      <c r="AC87" s="4"/>
    </row>
    <row r="88" spans="1:29" ht="15.75" customHeight="1" x14ac:dyDescent="0.25">
      <c r="A88" s="4"/>
      <c r="B88" s="70">
        <v>22</v>
      </c>
      <c r="C88" s="252" t="str">
        <f>IF('INPUT DATA'!Q32="","",'INPUT DATA'!Q32)</f>
        <v/>
      </c>
      <c r="D88" s="253"/>
      <c r="E88" s="251"/>
      <c r="F88" s="250" t="str">
        <f>IF('INPUT DATA'!T32="","",'INPUT DATA'!T32)</f>
        <v/>
      </c>
      <c r="G88" s="251"/>
      <c r="H88" s="87" t="str">
        <f>IF('INPUT DATA'!S32="","",'INPUT DATA'!S32)</f>
        <v/>
      </c>
      <c r="I88" s="55" t="str">
        <f t="shared" ca="1" si="1"/>
        <v/>
      </c>
      <c r="J88" s="51"/>
      <c r="K88" s="53"/>
      <c r="L88" s="54"/>
      <c r="M88" s="54"/>
      <c r="N88" s="54"/>
      <c r="O88" s="54"/>
      <c r="P88" s="54"/>
      <c r="Q88" s="88"/>
      <c r="R88" s="54"/>
      <c r="S88" s="4"/>
      <c r="T88" s="4"/>
      <c r="U88" s="4"/>
      <c r="V88" s="4"/>
      <c r="W88" s="4"/>
      <c r="X88" s="4"/>
      <c r="Y88" s="4"/>
      <c r="Z88" s="4"/>
      <c r="AA88" s="4"/>
      <c r="AB88" s="4"/>
      <c r="AC88" s="4"/>
    </row>
    <row r="89" spans="1:29" ht="15.75" customHeight="1" x14ac:dyDescent="0.25">
      <c r="A89" s="4"/>
      <c r="B89" s="70">
        <v>23</v>
      </c>
      <c r="C89" s="252" t="str">
        <f>IF('INPUT DATA'!Q33="","",'INPUT DATA'!Q33)</f>
        <v/>
      </c>
      <c r="D89" s="253"/>
      <c r="E89" s="251"/>
      <c r="F89" s="250" t="str">
        <f>IF('INPUT DATA'!T33="","",'INPUT DATA'!T33)</f>
        <v/>
      </c>
      <c r="G89" s="251"/>
      <c r="H89" s="87" t="str">
        <f>IF('INPUT DATA'!S33="","",'INPUT DATA'!S33)</f>
        <v/>
      </c>
      <c r="I89" s="55" t="str">
        <f t="shared" ca="1" si="1"/>
        <v/>
      </c>
      <c r="J89" s="51"/>
      <c r="K89" s="53"/>
      <c r="L89" s="54"/>
      <c r="M89" s="54"/>
      <c r="N89" s="54"/>
      <c r="O89" s="54"/>
      <c r="P89" s="54"/>
      <c r="Q89" s="88"/>
      <c r="R89" s="54"/>
      <c r="S89" s="4"/>
      <c r="T89" s="4"/>
      <c r="U89" s="4"/>
      <c r="V89" s="4"/>
      <c r="W89" s="4"/>
      <c r="X89" s="4"/>
      <c r="Y89" s="4"/>
      <c r="Z89" s="4"/>
      <c r="AA89" s="4"/>
      <c r="AB89" s="4"/>
      <c r="AC89" s="4"/>
    </row>
    <row r="90" spans="1:29" ht="15.75" customHeight="1" x14ac:dyDescent="0.25">
      <c r="A90" s="4"/>
      <c r="B90" s="70">
        <v>24</v>
      </c>
      <c r="C90" s="252" t="str">
        <f>IF('INPUT DATA'!Q34="","",'INPUT DATA'!Q34)</f>
        <v/>
      </c>
      <c r="D90" s="253"/>
      <c r="E90" s="251"/>
      <c r="F90" s="250" t="str">
        <f>IF('INPUT DATA'!T34="","",'INPUT DATA'!T34)</f>
        <v/>
      </c>
      <c r="G90" s="251"/>
      <c r="H90" s="87" t="str">
        <f>IF('INPUT DATA'!S34="","",'INPUT DATA'!S34)</f>
        <v/>
      </c>
      <c r="I90" s="55" t="str">
        <f t="shared" ca="1" si="1"/>
        <v/>
      </c>
      <c r="J90" s="51"/>
      <c r="K90" s="53"/>
      <c r="L90" s="54"/>
      <c r="M90" s="54"/>
      <c r="N90" s="54"/>
      <c r="O90" s="54"/>
      <c r="P90" s="54"/>
      <c r="Q90" s="88"/>
      <c r="R90" s="54"/>
      <c r="S90" s="4"/>
      <c r="T90" s="4"/>
      <c r="U90" s="4"/>
      <c r="V90" s="4"/>
      <c r="W90" s="4"/>
      <c r="X90" s="4"/>
      <c r="Y90" s="4"/>
      <c r="Z90" s="4"/>
      <c r="AA90" s="4"/>
      <c r="AB90" s="4"/>
      <c r="AC90" s="4"/>
    </row>
    <row r="91" spans="1:29" ht="15.75" customHeight="1" x14ac:dyDescent="0.25">
      <c r="A91" s="4"/>
      <c r="B91" s="70">
        <v>25</v>
      </c>
      <c r="C91" s="252" t="str">
        <f>IF('INPUT DATA'!Q35="","",'INPUT DATA'!Q35)</f>
        <v/>
      </c>
      <c r="D91" s="253"/>
      <c r="E91" s="251"/>
      <c r="F91" s="250" t="str">
        <f>IF('INPUT DATA'!T35="","",'INPUT DATA'!T35)</f>
        <v/>
      </c>
      <c r="G91" s="251"/>
      <c r="H91" s="87" t="str">
        <f>IF('INPUT DATA'!S35="","",'INPUT DATA'!S35)</f>
        <v/>
      </c>
      <c r="I91" s="55" t="str">
        <f t="shared" ca="1" si="1"/>
        <v/>
      </c>
      <c r="J91" s="51"/>
      <c r="K91" s="53"/>
      <c r="L91" s="54"/>
      <c r="M91" s="54"/>
      <c r="N91" s="54"/>
      <c r="O91" s="54"/>
      <c r="P91" s="54"/>
      <c r="Q91" s="88"/>
      <c r="R91" s="54"/>
      <c r="S91" s="4"/>
      <c r="T91" s="4"/>
      <c r="U91" s="4"/>
      <c r="V91" s="4"/>
      <c r="W91" s="4"/>
      <c r="X91" s="4"/>
      <c r="Y91" s="4"/>
      <c r="Z91" s="4"/>
      <c r="AA91" s="4"/>
      <c r="AB91" s="4"/>
      <c r="AC91" s="4"/>
    </row>
    <row r="92" spans="1:29" ht="15.75" customHeight="1" x14ac:dyDescent="0.25">
      <c r="A92" s="4"/>
      <c r="B92" s="70">
        <v>26</v>
      </c>
      <c r="C92" s="252" t="str">
        <f>IF('INPUT DATA'!Q36="","",'INPUT DATA'!Q36)</f>
        <v/>
      </c>
      <c r="D92" s="253"/>
      <c r="E92" s="251"/>
      <c r="F92" s="250" t="str">
        <f>IF('INPUT DATA'!T36="","",'INPUT DATA'!T36)</f>
        <v/>
      </c>
      <c r="G92" s="251"/>
      <c r="H92" s="87" t="str">
        <f>IF('INPUT DATA'!S36="","",'INPUT DATA'!S36)</f>
        <v/>
      </c>
      <c r="I92" s="55" t="str">
        <f t="shared" ca="1" si="1"/>
        <v/>
      </c>
      <c r="J92" s="51"/>
      <c r="K92" s="53"/>
      <c r="L92" s="54"/>
      <c r="M92" s="54"/>
      <c r="N92" s="54"/>
      <c r="O92" s="54"/>
      <c r="P92" s="54"/>
      <c r="Q92" s="88"/>
      <c r="R92" s="54"/>
      <c r="S92" s="4"/>
      <c r="T92" s="4"/>
      <c r="U92" s="4"/>
      <c r="V92" s="4"/>
      <c r="W92" s="4"/>
      <c r="X92" s="4"/>
      <c r="Y92" s="4"/>
      <c r="Z92" s="4"/>
      <c r="AA92" s="4"/>
      <c r="AB92" s="4"/>
      <c r="AC92" s="4"/>
    </row>
    <row r="93" spans="1:29" ht="15.75" customHeight="1" x14ac:dyDescent="0.25">
      <c r="A93" s="4"/>
      <c r="B93" s="70">
        <v>27</v>
      </c>
      <c r="C93" s="252" t="str">
        <f>IF('INPUT DATA'!Q37="","",'INPUT DATA'!Q37)</f>
        <v/>
      </c>
      <c r="D93" s="253"/>
      <c r="E93" s="251"/>
      <c r="F93" s="250" t="str">
        <f>IF('INPUT DATA'!T37="","",'INPUT DATA'!T37)</f>
        <v/>
      </c>
      <c r="G93" s="251"/>
      <c r="H93" s="87" t="str">
        <f>IF('INPUT DATA'!S37="","",'INPUT DATA'!S37)</f>
        <v/>
      </c>
      <c r="I93" s="55" t="str">
        <f t="shared" ca="1" si="1"/>
        <v/>
      </c>
      <c r="J93" s="51"/>
      <c r="K93" s="53"/>
      <c r="L93" s="54"/>
      <c r="M93" s="54"/>
      <c r="N93" s="54"/>
      <c r="O93" s="54"/>
      <c r="P93" s="54"/>
      <c r="Q93" s="88"/>
      <c r="R93" s="54"/>
      <c r="S93" s="4"/>
      <c r="T93" s="4"/>
      <c r="U93" s="4"/>
      <c r="V93" s="4"/>
      <c r="W93" s="4"/>
      <c r="X93" s="4"/>
      <c r="Y93" s="4"/>
      <c r="Z93" s="4"/>
      <c r="AA93" s="4"/>
      <c r="AB93" s="4"/>
      <c r="AC93" s="4"/>
    </row>
    <row r="94" spans="1:29" ht="15.75" customHeight="1" x14ac:dyDescent="0.25">
      <c r="A94" s="4"/>
      <c r="B94" s="70">
        <v>28</v>
      </c>
      <c r="C94" s="252" t="str">
        <f>IF('INPUT DATA'!Q38="","",'INPUT DATA'!Q38)</f>
        <v/>
      </c>
      <c r="D94" s="253"/>
      <c r="E94" s="251"/>
      <c r="F94" s="250" t="str">
        <f>IF('INPUT DATA'!T38="","",'INPUT DATA'!T38)</f>
        <v/>
      </c>
      <c r="G94" s="251"/>
      <c r="H94" s="87" t="str">
        <f>IF('INPUT DATA'!S38="","",'INPUT DATA'!S38)</f>
        <v/>
      </c>
      <c r="I94" s="55" t="str">
        <f t="shared" ca="1" si="1"/>
        <v/>
      </c>
      <c r="J94" s="51"/>
      <c r="K94" s="53"/>
      <c r="L94" s="54"/>
      <c r="M94" s="54"/>
      <c r="N94" s="54"/>
      <c r="O94" s="54"/>
      <c r="P94" s="54"/>
      <c r="Q94" s="88"/>
      <c r="R94" s="54"/>
      <c r="S94" s="4"/>
      <c r="T94" s="4"/>
      <c r="U94" s="4"/>
      <c r="V94" s="4"/>
      <c r="W94" s="4"/>
      <c r="X94" s="4"/>
      <c r="Y94" s="4"/>
      <c r="Z94" s="4"/>
      <c r="AA94" s="4"/>
      <c r="AB94" s="4"/>
      <c r="AC94" s="4"/>
    </row>
    <row r="95" spans="1:29" ht="15.75" customHeight="1" x14ac:dyDescent="0.25">
      <c r="A95" s="4"/>
      <c r="B95" s="70">
        <v>29</v>
      </c>
      <c r="C95" s="252" t="str">
        <f>IF('INPUT DATA'!Q39="","",'INPUT DATA'!Q39)</f>
        <v/>
      </c>
      <c r="D95" s="253"/>
      <c r="E95" s="251"/>
      <c r="F95" s="250" t="str">
        <f>IF('INPUT DATA'!T39="","",'INPUT DATA'!T39)</f>
        <v/>
      </c>
      <c r="G95" s="251"/>
      <c r="H95" s="87" t="str">
        <f>IF('INPUT DATA'!S39="","",'INPUT DATA'!S39)</f>
        <v/>
      </c>
      <c r="I95" s="55" t="str">
        <f t="shared" ca="1" si="1"/>
        <v/>
      </c>
      <c r="J95" s="51"/>
      <c r="K95" s="53"/>
      <c r="L95" s="54"/>
      <c r="M95" s="54"/>
      <c r="N95" s="54"/>
      <c r="O95" s="54"/>
      <c r="P95" s="54"/>
      <c r="Q95" s="88"/>
      <c r="R95" s="54"/>
      <c r="S95" s="4"/>
      <c r="T95" s="4"/>
      <c r="U95" s="4"/>
      <c r="V95" s="4"/>
      <c r="W95" s="4"/>
      <c r="X95" s="4"/>
      <c r="Y95" s="4"/>
      <c r="Z95" s="4"/>
      <c r="AA95" s="4"/>
      <c r="AB95" s="4"/>
      <c r="AC95" s="4"/>
    </row>
    <row r="96" spans="1:29" ht="15.75" customHeight="1" x14ac:dyDescent="0.25">
      <c r="A96" s="4"/>
      <c r="B96" s="70">
        <v>30</v>
      </c>
      <c r="C96" s="252" t="str">
        <f>IF('INPUT DATA'!Q40="","",'INPUT DATA'!Q40)</f>
        <v/>
      </c>
      <c r="D96" s="253"/>
      <c r="E96" s="251"/>
      <c r="F96" s="250" t="str">
        <f>IF('INPUT DATA'!T40="","",'INPUT DATA'!T40)</f>
        <v/>
      </c>
      <c r="G96" s="251"/>
      <c r="H96" s="87" t="str">
        <f>IF('INPUT DATA'!S40="","",'INPUT DATA'!S40)</f>
        <v/>
      </c>
      <c r="I96" s="55" t="str">
        <f t="shared" ca="1" si="1"/>
        <v/>
      </c>
      <c r="J96" s="51"/>
      <c r="K96" s="53"/>
      <c r="L96" s="54"/>
      <c r="M96" s="54"/>
      <c r="N96" s="54"/>
      <c r="O96" s="54"/>
      <c r="P96" s="54"/>
      <c r="Q96" s="88"/>
      <c r="R96" s="54"/>
      <c r="S96" s="4"/>
      <c r="T96" s="4"/>
      <c r="U96" s="4"/>
      <c r="V96" s="4"/>
      <c r="W96" s="4"/>
      <c r="X96" s="4"/>
      <c r="Y96" s="4"/>
      <c r="Z96" s="4"/>
      <c r="AA96" s="4"/>
      <c r="AB96" s="4"/>
      <c r="AC96" s="4"/>
    </row>
    <row r="97" spans="1:29" ht="15.75" customHeight="1" x14ac:dyDescent="0.25">
      <c r="A97" s="4"/>
      <c r="B97" s="70">
        <v>31</v>
      </c>
      <c r="C97" s="252" t="str">
        <f>IF('INPUT DATA'!Q41="","",'INPUT DATA'!Q41)</f>
        <v/>
      </c>
      <c r="D97" s="253"/>
      <c r="E97" s="251"/>
      <c r="F97" s="250" t="str">
        <f>IF('INPUT DATA'!T41="","",'INPUT DATA'!T41)</f>
        <v/>
      </c>
      <c r="G97" s="251"/>
      <c r="H97" s="87" t="str">
        <f>IF('INPUT DATA'!S41="","",'INPUT DATA'!S41)</f>
        <v/>
      </c>
      <c r="I97" s="55" t="str">
        <f t="shared" ca="1" si="1"/>
        <v/>
      </c>
      <c r="J97" s="51"/>
      <c r="K97" s="53"/>
      <c r="L97" s="54"/>
      <c r="M97" s="54"/>
      <c r="N97" s="54"/>
      <c r="O97" s="54"/>
      <c r="P97" s="54"/>
      <c r="Q97" s="88"/>
      <c r="R97" s="54"/>
      <c r="S97" s="4"/>
      <c r="T97" s="4"/>
      <c r="U97" s="4"/>
      <c r="V97" s="4"/>
      <c r="W97" s="4"/>
      <c r="X97" s="4"/>
      <c r="Y97" s="4"/>
      <c r="Z97" s="4"/>
      <c r="AA97" s="4"/>
      <c r="AB97" s="4"/>
      <c r="AC97" s="4"/>
    </row>
    <row r="98" spans="1:29" ht="15.75" customHeight="1" x14ac:dyDescent="0.25">
      <c r="A98" s="4"/>
      <c r="B98" s="70">
        <v>32</v>
      </c>
      <c r="C98" s="252" t="str">
        <f>IF('INPUT DATA'!Q42="","",'INPUT DATA'!Q42)</f>
        <v/>
      </c>
      <c r="D98" s="253"/>
      <c r="E98" s="251"/>
      <c r="F98" s="250" t="str">
        <f>IF('INPUT DATA'!T42="","",'INPUT DATA'!T42)</f>
        <v/>
      </c>
      <c r="G98" s="251"/>
      <c r="H98" s="87" t="str">
        <f>IF('INPUT DATA'!S42="","",'INPUT DATA'!S42)</f>
        <v/>
      </c>
      <c r="I98" s="55" t="str">
        <f t="shared" ca="1" si="1"/>
        <v/>
      </c>
      <c r="J98" s="51"/>
      <c r="K98" s="53"/>
      <c r="L98" s="54"/>
      <c r="M98" s="54"/>
      <c r="N98" s="54"/>
      <c r="O98" s="54"/>
      <c r="P98" s="54"/>
      <c r="Q98" s="88"/>
      <c r="R98" s="54"/>
      <c r="S98" s="4"/>
      <c r="T98" s="4"/>
      <c r="U98" s="4"/>
      <c r="V98" s="4"/>
      <c r="W98" s="4"/>
      <c r="X98" s="4"/>
      <c r="Y98" s="4"/>
      <c r="Z98" s="4"/>
      <c r="AA98" s="4"/>
      <c r="AB98" s="4"/>
      <c r="AC98" s="4"/>
    </row>
    <row r="99" spans="1:29" ht="15.75" customHeight="1" x14ac:dyDescent="0.25">
      <c r="A99" s="4"/>
      <c r="B99" s="70">
        <v>33</v>
      </c>
      <c r="C99" s="252" t="str">
        <f>IF('INPUT DATA'!Q43="","",'INPUT DATA'!Q43)</f>
        <v/>
      </c>
      <c r="D99" s="253"/>
      <c r="E99" s="251"/>
      <c r="F99" s="250" t="str">
        <f>IF('INPUT DATA'!T43="","",'INPUT DATA'!T43)</f>
        <v/>
      </c>
      <c r="G99" s="251"/>
      <c r="H99" s="87" t="str">
        <f>IF('INPUT DATA'!S43="","",'INPUT DATA'!S43)</f>
        <v/>
      </c>
      <c r="I99" s="55" t="str">
        <f t="shared" ca="1" si="1"/>
        <v/>
      </c>
      <c r="J99" s="51"/>
      <c r="K99" s="53"/>
      <c r="L99" s="54"/>
      <c r="M99" s="54"/>
      <c r="N99" s="54"/>
      <c r="O99" s="54"/>
      <c r="P99" s="54"/>
      <c r="Q99" s="88"/>
      <c r="R99" s="54"/>
      <c r="S99" s="4"/>
      <c r="T99" s="4"/>
      <c r="U99" s="4"/>
      <c r="V99" s="4"/>
      <c r="W99" s="4"/>
      <c r="X99" s="4"/>
      <c r="Y99" s="4"/>
      <c r="Z99" s="4"/>
      <c r="AA99" s="4"/>
      <c r="AB99" s="4"/>
      <c r="AC99" s="4"/>
    </row>
    <row r="100" spans="1:29" ht="15.75" customHeight="1" x14ac:dyDescent="0.25">
      <c r="A100" s="4"/>
      <c r="B100" s="70">
        <v>34</v>
      </c>
      <c r="C100" s="252" t="str">
        <f>IF('INPUT DATA'!Q44="","",'INPUT DATA'!Q44)</f>
        <v/>
      </c>
      <c r="D100" s="253"/>
      <c r="E100" s="251"/>
      <c r="F100" s="250" t="str">
        <f>IF('INPUT DATA'!T44="","",'INPUT DATA'!T44)</f>
        <v/>
      </c>
      <c r="G100" s="251"/>
      <c r="H100" s="87" t="str">
        <f>IF('INPUT DATA'!S44="","",'INPUT DATA'!S44)</f>
        <v/>
      </c>
      <c r="I100" s="55" t="str">
        <f t="shared" ca="1" si="1"/>
        <v/>
      </c>
      <c r="J100" s="51"/>
      <c r="K100" s="53"/>
      <c r="L100" s="54"/>
      <c r="M100" s="54"/>
      <c r="N100" s="54"/>
      <c r="O100" s="54"/>
      <c r="P100" s="54"/>
      <c r="Q100" s="88"/>
      <c r="R100" s="54"/>
      <c r="S100" s="4"/>
      <c r="T100" s="4"/>
      <c r="U100" s="4"/>
      <c r="V100" s="4"/>
      <c r="W100" s="4"/>
      <c r="X100" s="4"/>
      <c r="Y100" s="4"/>
      <c r="Z100" s="4"/>
      <c r="AA100" s="4"/>
      <c r="AB100" s="4"/>
      <c r="AC100" s="4"/>
    </row>
    <row r="101" spans="1:29" ht="15.75" customHeight="1" x14ac:dyDescent="0.25">
      <c r="A101" s="4"/>
      <c r="B101" s="70">
        <v>35</v>
      </c>
      <c r="C101" s="252" t="str">
        <f>IF('INPUT DATA'!Q45="","",'INPUT DATA'!Q45)</f>
        <v/>
      </c>
      <c r="D101" s="253"/>
      <c r="E101" s="251"/>
      <c r="F101" s="250" t="str">
        <f>IF('INPUT DATA'!T45="","",'INPUT DATA'!T45)</f>
        <v/>
      </c>
      <c r="G101" s="251"/>
      <c r="H101" s="87" t="str">
        <f>IF('INPUT DATA'!S45="","",'INPUT DATA'!S45)</f>
        <v/>
      </c>
      <c r="I101" s="55" t="str">
        <f t="shared" ca="1" si="1"/>
        <v/>
      </c>
      <c r="J101" s="51"/>
      <c r="K101" s="53"/>
      <c r="L101" s="54"/>
      <c r="M101" s="54"/>
      <c r="N101" s="54"/>
      <c r="O101" s="54"/>
      <c r="P101" s="54"/>
      <c r="Q101" s="88"/>
      <c r="R101" s="54"/>
      <c r="S101" s="4"/>
      <c r="T101" s="4"/>
      <c r="U101" s="4"/>
      <c r="V101" s="4"/>
      <c r="W101" s="4"/>
      <c r="X101" s="4"/>
      <c r="Y101" s="4"/>
      <c r="Z101" s="4"/>
      <c r="AA101" s="4"/>
      <c r="AB101" s="4"/>
      <c r="AC101" s="4"/>
    </row>
    <row r="102" spans="1:29" ht="15.75" customHeight="1" x14ac:dyDescent="0.25">
      <c r="A102" s="4"/>
      <c r="B102" s="70">
        <v>36</v>
      </c>
      <c r="C102" s="252" t="str">
        <f>IF('INPUT DATA'!Q46="","",'INPUT DATA'!Q46)</f>
        <v/>
      </c>
      <c r="D102" s="253"/>
      <c r="E102" s="251"/>
      <c r="F102" s="250" t="str">
        <f>IF('INPUT DATA'!T46="","",'INPUT DATA'!T46)</f>
        <v/>
      </c>
      <c r="G102" s="251"/>
      <c r="H102" s="87" t="str">
        <f>IF('INPUT DATA'!S46="","",'INPUT DATA'!S46)</f>
        <v/>
      </c>
      <c r="I102" s="55" t="str">
        <f t="shared" ca="1" si="1"/>
        <v/>
      </c>
      <c r="J102" s="51"/>
      <c r="K102" s="53"/>
      <c r="L102" s="54"/>
      <c r="M102" s="54"/>
      <c r="N102" s="54"/>
      <c r="O102" s="54"/>
      <c r="P102" s="54"/>
      <c r="Q102" s="88"/>
      <c r="R102" s="54"/>
      <c r="S102" s="4"/>
      <c r="T102" s="4"/>
      <c r="U102" s="4"/>
      <c r="V102" s="4"/>
      <c r="W102" s="4"/>
      <c r="X102" s="4"/>
      <c r="Y102" s="4"/>
      <c r="Z102" s="4"/>
      <c r="AA102" s="4"/>
      <c r="AB102" s="4"/>
      <c r="AC102" s="4"/>
    </row>
    <row r="103" spans="1:29" ht="15.75" customHeight="1" x14ac:dyDescent="0.25">
      <c r="A103" s="4"/>
      <c r="B103" s="70">
        <v>37</v>
      </c>
      <c r="C103" s="252" t="str">
        <f>IF('INPUT DATA'!Q47="","",'INPUT DATA'!Q47)</f>
        <v/>
      </c>
      <c r="D103" s="253"/>
      <c r="E103" s="251"/>
      <c r="F103" s="250" t="str">
        <f>IF('INPUT DATA'!T47="","",'INPUT DATA'!T47)</f>
        <v/>
      </c>
      <c r="G103" s="251"/>
      <c r="H103" s="87" t="str">
        <f>IF('INPUT DATA'!S47="","",'INPUT DATA'!S47)</f>
        <v/>
      </c>
      <c r="I103" s="55" t="str">
        <f t="shared" ca="1" si="1"/>
        <v/>
      </c>
      <c r="J103" s="51"/>
      <c r="K103" s="53"/>
      <c r="L103" s="54"/>
      <c r="M103" s="54"/>
      <c r="N103" s="54"/>
      <c r="O103" s="54"/>
      <c r="P103" s="54"/>
      <c r="Q103" s="88"/>
      <c r="R103" s="54"/>
      <c r="S103" s="4"/>
      <c r="T103" s="4"/>
      <c r="U103" s="4"/>
      <c r="V103" s="4"/>
      <c r="W103" s="4"/>
      <c r="X103" s="4"/>
      <c r="Y103" s="4"/>
      <c r="Z103" s="4"/>
      <c r="AA103" s="4"/>
      <c r="AB103" s="4"/>
      <c r="AC103" s="4"/>
    </row>
    <row r="104" spans="1:29" ht="15.75" customHeight="1" x14ac:dyDescent="0.25">
      <c r="A104" s="4"/>
      <c r="B104" s="70">
        <v>38</v>
      </c>
      <c r="C104" s="252" t="str">
        <f>IF('INPUT DATA'!Q48="","",'INPUT DATA'!Q48)</f>
        <v/>
      </c>
      <c r="D104" s="253"/>
      <c r="E104" s="251"/>
      <c r="F104" s="250" t="str">
        <f>IF('INPUT DATA'!T48="","",'INPUT DATA'!T48)</f>
        <v/>
      </c>
      <c r="G104" s="251"/>
      <c r="H104" s="87" t="str">
        <f>IF('INPUT DATA'!S48="","",'INPUT DATA'!S48)</f>
        <v/>
      </c>
      <c r="I104" s="55" t="str">
        <f t="shared" ca="1" si="1"/>
        <v/>
      </c>
      <c r="J104" s="51"/>
      <c r="K104" s="53"/>
      <c r="L104" s="54"/>
      <c r="M104" s="54"/>
      <c r="N104" s="54"/>
      <c r="O104" s="54"/>
      <c r="P104" s="54"/>
      <c r="Q104" s="88"/>
      <c r="R104" s="54"/>
      <c r="S104" s="4"/>
      <c r="T104" s="4"/>
      <c r="U104" s="4"/>
      <c r="V104" s="4"/>
      <c r="W104" s="4"/>
      <c r="X104" s="4"/>
      <c r="Y104" s="4"/>
      <c r="Z104" s="4"/>
      <c r="AA104" s="4"/>
      <c r="AB104" s="4"/>
      <c r="AC104" s="4"/>
    </row>
    <row r="105" spans="1:29" ht="15.75" customHeight="1" x14ac:dyDescent="0.25">
      <c r="A105" s="4"/>
      <c r="B105" s="70">
        <v>39</v>
      </c>
      <c r="C105" s="252" t="str">
        <f>IF('INPUT DATA'!Q49="","",'INPUT DATA'!Q49)</f>
        <v/>
      </c>
      <c r="D105" s="253"/>
      <c r="E105" s="251"/>
      <c r="F105" s="250" t="str">
        <f>IF('INPUT DATA'!T49="","",'INPUT DATA'!T49)</f>
        <v/>
      </c>
      <c r="G105" s="251"/>
      <c r="H105" s="87" t="str">
        <f>IF('INPUT DATA'!S49="","",'INPUT DATA'!S49)</f>
        <v/>
      </c>
      <c r="I105" s="55" t="str">
        <f t="shared" ca="1" si="1"/>
        <v/>
      </c>
      <c r="J105" s="51"/>
      <c r="K105" s="53"/>
      <c r="L105" s="54"/>
      <c r="M105" s="54"/>
      <c r="N105" s="54"/>
      <c r="O105" s="54"/>
      <c r="P105" s="54"/>
      <c r="Q105" s="88"/>
      <c r="R105" s="54"/>
      <c r="S105" s="4"/>
      <c r="T105" s="4"/>
      <c r="U105" s="4"/>
      <c r="V105" s="4"/>
      <c r="W105" s="4"/>
      <c r="X105" s="4"/>
      <c r="Y105" s="4"/>
      <c r="Z105" s="4"/>
      <c r="AA105" s="4"/>
      <c r="AB105" s="4"/>
      <c r="AC105" s="4"/>
    </row>
    <row r="106" spans="1:29" ht="15.75" customHeight="1" x14ac:dyDescent="0.25">
      <c r="A106" s="4"/>
      <c r="B106" s="70">
        <v>40</v>
      </c>
      <c r="C106" s="252" t="str">
        <f>IF('INPUT DATA'!Q50="","",'INPUT DATA'!Q50)</f>
        <v/>
      </c>
      <c r="D106" s="253"/>
      <c r="E106" s="251"/>
      <c r="F106" s="250" t="str">
        <f>IF('INPUT DATA'!T50="","",'INPUT DATA'!T50)</f>
        <v/>
      </c>
      <c r="G106" s="251"/>
      <c r="H106" s="87" t="str">
        <f>IF('INPUT DATA'!S50="","",'INPUT DATA'!S50)</f>
        <v/>
      </c>
      <c r="I106" s="55" t="str">
        <f t="shared" ca="1" si="1"/>
        <v/>
      </c>
      <c r="J106" s="51"/>
      <c r="K106" s="53"/>
      <c r="L106" s="54"/>
      <c r="M106" s="54"/>
      <c r="N106" s="54"/>
      <c r="O106" s="54"/>
      <c r="P106" s="54"/>
      <c r="Q106" s="88"/>
      <c r="R106" s="54"/>
      <c r="S106" s="4"/>
      <c r="T106" s="4"/>
      <c r="U106" s="4"/>
      <c r="V106" s="4"/>
      <c r="W106" s="4"/>
      <c r="X106" s="4"/>
      <c r="Y106" s="4"/>
      <c r="Z106" s="4"/>
      <c r="AA106" s="4"/>
      <c r="AB106" s="4"/>
      <c r="AC106" s="4"/>
    </row>
    <row r="107" spans="1:29" ht="15.75" customHeight="1" x14ac:dyDescent="0.25">
      <c r="A107" s="4"/>
      <c r="B107" s="70">
        <v>41</v>
      </c>
      <c r="C107" s="252" t="str">
        <f>IF('INPUT DATA'!Q51="","",'INPUT DATA'!Q51)</f>
        <v/>
      </c>
      <c r="D107" s="253"/>
      <c r="E107" s="251"/>
      <c r="F107" s="250" t="str">
        <f>IF('INPUT DATA'!T51="","",'INPUT DATA'!T51)</f>
        <v/>
      </c>
      <c r="G107" s="251"/>
      <c r="H107" s="87" t="str">
        <f>IF('INPUT DATA'!S51="","",'INPUT DATA'!S51)</f>
        <v/>
      </c>
      <c r="I107" s="55" t="str">
        <f t="shared" ca="1" si="1"/>
        <v/>
      </c>
      <c r="J107" s="51"/>
      <c r="K107" s="53"/>
      <c r="L107" s="54"/>
      <c r="M107" s="54"/>
      <c r="N107" s="54"/>
      <c r="O107" s="54"/>
      <c r="P107" s="54"/>
      <c r="Q107" s="88"/>
      <c r="R107" s="54"/>
      <c r="S107" s="4"/>
      <c r="T107" s="4"/>
      <c r="U107" s="4"/>
      <c r="V107" s="4"/>
      <c r="W107" s="4"/>
      <c r="X107" s="4"/>
      <c r="Y107" s="4"/>
      <c r="Z107" s="4"/>
      <c r="AA107" s="4"/>
      <c r="AB107" s="4"/>
      <c r="AC107" s="4"/>
    </row>
    <row r="108" spans="1:29" ht="15.75" customHeight="1" x14ac:dyDescent="0.25">
      <c r="A108" s="4"/>
      <c r="B108" s="70">
        <v>42</v>
      </c>
      <c r="C108" s="252" t="str">
        <f>IF('INPUT DATA'!Q52="","",'INPUT DATA'!Q52)</f>
        <v/>
      </c>
      <c r="D108" s="253"/>
      <c r="E108" s="251"/>
      <c r="F108" s="250" t="str">
        <f>IF('INPUT DATA'!T52="","",'INPUT DATA'!T52)</f>
        <v/>
      </c>
      <c r="G108" s="251"/>
      <c r="H108" s="87" t="str">
        <f>IF('INPUT DATA'!S52="","",'INPUT DATA'!S52)</f>
        <v/>
      </c>
      <c r="I108" s="55" t="str">
        <f t="shared" ca="1" si="1"/>
        <v/>
      </c>
      <c r="J108" s="51"/>
      <c r="K108" s="53"/>
      <c r="L108" s="54"/>
      <c r="M108" s="54"/>
      <c r="N108" s="54"/>
      <c r="O108" s="54"/>
      <c r="P108" s="54"/>
      <c r="Q108" s="88"/>
      <c r="R108" s="54"/>
      <c r="S108" s="4"/>
      <c r="T108" s="4"/>
      <c r="U108" s="4"/>
      <c r="V108" s="4"/>
      <c r="W108" s="4"/>
      <c r="X108" s="4"/>
      <c r="Y108" s="4"/>
      <c r="Z108" s="4"/>
      <c r="AA108" s="4"/>
      <c r="AB108" s="4"/>
      <c r="AC108" s="4"/>
    </row>
    <row r="109" spans="1:29" ht="15.75" customHeight="1" x14ac:dyDescent="0.25">
      <c r="A109" s="4"/>
      <c r="B109" s="70">
        <v>43</v>
      </c>
      <c r="C109" s="252" t="str">
        <f>IF('INPUT DATA'!Q53="","",'INPUT DATA'!Q53)</f>
        <v/>
      </c>
      <c r="D109" s="253"/>
      <c r="E109" s="251"/>
      <c r="F109" s="250" t="str">
        <f>IF('INPUT DATA'!T53="","",'INPUT DATA'!T53)</f>
        <v/>
      </c>
      <c r="G109" s="251"/>
      <c r="H109" s="87" t="str">
        <f>IF('INPUT DATA'!S53="","",'INPUT DATA'!S53)</f>
        <v/>
      </c>
      <c r="I109" s="55" t="str">
        <f t="shared" ca="1" si="1"/>
        <v/>
      </c>
      <c r="J109" s="51"/>
      <c r="K109" s="53"/>
      <c r="L109" s="54"/>
      <c r="M109" s="54"/>
      <c r="N109" s="54"/>
      <c r="O109" s="54"/>
      <c r="P109" s="54"/>
      <c r="Q109" s="88"/>
      <c r="R109" s="54"/>
      <c r="S109" s="4"/>
      <c r="T109" s="4"/>
      <c r="U109" s="4"/>
      <c r="V109" s="4"/>
      <c r="W109" s="4"/>
      <c r="X109" s="4"/>
      <c r="Y109" s="4"/>
      <c r="Z109" s="4"/>
      <c r="AA109" s="4"/>
      <c r="AB109" s="4"/>
      <c r="AC109" s="4"/>
    </row>
    <row r="110" spans="1:29" ht="15.75" customHeight="1" x14ac:dyDescent="0.25">
      <c r="A110" s="4"/>
      <c r="B110" s="70">
        <v>44</v>
      </c>
      <c r="C110" s="252" t="str">
        <f>IF('INPUT DATA'!Q54="","",'INPUT DATA'!Q54)</f>
        <v/>
      </c>
      <c r="D110" s="253"/>
      <c r="E110" s="251"/>
      <c r="F110" s="250" t="str">
        <f>IF('INPUT DATA'!T54="","",'INPUT DATA'!T54)</f>
        <v/>
      </c>
      <c r="G110" s="251"/>
      <c r="H110" s="87" t="str">
        <f>IF('INPUT DATA'!S54="","",'INPUT DATA'!S54)</f>
        <v/>
      </c>
      <c r="I110" s="55" t="str">
        <f t="shared" ca="1" si="1"/>
        <v/>
      </c>
      <c r="J110" s="51"/>
      <c r="K110" s="53"/>
      <c r="L110" s="54"/>
      <c r="M110" s="54"/>
      <c r="N110" s="54"/>
      <c r="O110" s="54"/>
      <c r="P110" s="54"/>
      <c r="Q110" s="88"/>
      <c r="R110" s="54"/>
      <c r="S110" s="4"/>
      <c r="T110" s="4"/>
      <c r="U110" s="4"/>
      <c r="V110" s="4"/>
      <c r="W110" s="4"/>
      <c r="X110" s="4"/>
      <c r="Y110" s="4"/>
      <c r="Z110" s="4"/>
      <c r="AA110" s="4"/>
      <c r="AB110" s="4"/>
      <c r="AC110" s="4"/>
    </row>
    <row r="111" spans="1:29" ht="15.75" customHeight="1" x14ac:dyDescent="0.25">
      <c r="A111" s="4"/>
      <c r="B111" s="70">
        <v>45</v>
      </c>
      <c r="C111" s="252" t="str">
        <f>IF('INPUT DATA'!Q55="","",'INPUT DATA'!Q55)</f>
        <v/>
      </c>
      <c r="D111" s="253"/>
      <c r="E111" s="251"/>
      <c r="F111" s="250" t="str">
        <f>IF('INPUT DATA'!T55="","",'INPUT DATA'!T55)</f>
        <v/>
      </c>
      <c r="G111" s="251"/>
      <c r="H111" s="87" t="str">
        <f>IF('INPUT DATA'!S55="","",'INPUT DATA'!S55)</f>
        <v/>
      </c>
      <c r="I111" s="55" t="str">
        <f t="shared" ca="1" si="1"/>
        <v/>
      </c>
      <c r="J111" s="51"/>
      <c r="K111" s="71"/>
      <c r="L111" s="72"/>
      <c r="M111" s="72"/>
      <c r="N111" s="72"/>
      <c r="O111" s="72"/>
      <c r="P111" s="72"/>
      <c r="Q111" s="89"/>
      <c r="R111" s="72"/>
      <c r="S111" s="4"/>
      <c r="T111" s="4"/>
      <c r="U111" s="4"/>
      <c r="V111" s="4"/>
      <c r="W111" s="4"/>
      <c r="X111" s="4"/>
      <c r="Y111" s="4"/>
      <c r="Z111" s="4"/>
      <c r="AA111" s="4"/>
      <c r="AB111" s="4"/>
      <c r="AC111" s="4"/>
    </row>
    <row r="112" spans="1:29" ht="15.75" customHeight="1" x14ac:dyDescent="0.25">
      <c r="A112" s="4"/>
      <c r="B112" s="70">
        <v>46</v>
      </c>
      <c r="C112" s="252" t="str">
        <f>IF('INPUT DATA'!Q56="","",'INPUT DATA'!Q56)</f>
        <v/>
      </c>
      <c r="D112" s="253"/>
      <c r="E112" s="251"/>
      <c r="F112" s="250" t="str">
        <f>IF('INPUT DATA'!T56="","",'INPUT DATA'!T56)</f>
        <v/>
      </c>
      <c r="G112" s="251"/>
      <c r="H112" s="87" t="str">
        <f>IF('INPUT DATA'!S56="","",'INPUT DATA'!S56)</f>
        <v/>
      </c>
      <c r="I112" s="55" t="str">
        <f t="shared" ca="1" si="1"/>
        <v/>
      </c>
      <c r="J112" s="51"/>
      <c r="K112" s="53"/>
      <c r="L112" s="54"/>
      <c r="M112" s="54"/>
      <c r="N112" s="54"/>
      <c r="O112" s="54"/>
      <c r="P112" s="54"/>
      <c r="Q112" s="88"/>
      <c r="R112" s="54"/>
      <c r="S112" s="4"/>
      <c r="T112" s="4"/>
      <c r="U112" s="4"/>
      <c r="V112" s="4"/>
      <c r="W112" s="4"/>
      <c r="X112" s="4"/>
      <c r="Y112" s="4"/>
      <c r="Z112" s="4"/>
      <c r="AA112" s="4"/>
      <c r="AB112" s="4"/>
      <c r="AC112" s="4"/>
    </row>
    <row r="113" spans="1:29" ht="15.75" customHeight="1" x14ac:dyDescent="0.25">
      <c r="A113" s="4"/>
      <c r="B113" s="70">
        <v>47</v>
      </c>
      <c r="C113" s="252" t="str">
        <f>IF('INPUT DATA'!Q57="","",'INPUT DATA'!Q57)</f>
        <v/>
      </c>
      <c r="D113" s="253"/>
      <c r="E113" s="251"/>
      <c r="F113" s="250" t="str">
        <f>IF('INPUT DATA'!T57="","",'INPUT DATA'!T57)</f>
        <v/>
      </c>
      <c r="G113" s="251"/>
      <c r="H113" s="87" t="str">
        <f>IF('INPUT DATA'!S57="","",'INPUT DATA'!S57)</f>
        <v/>
      </c>
      <c r="I113" s="55" t="str">
        <f t="shared" ca="1" si="1"/>
        <v/>
      </c>
      <c r="J113" s="51"/>
      <c r="K113" s="53"/>
      <c r="L113" s="54"/>
      <c r="M113" s="54"/>
      <c r="N113" s="54"/>
      <c r="O113" s="54"/>
      <c r="P113" s="54"/>
      <c r="Q113" s="88"/>
      <c r="R113" s="54"/>
      <c r="S113" s="4"/>
      <c r="T113" s="4"/>
      <c r="U113" s="4"/>
      <c r="V113" s="4"/>
      <c r="W113" s="4"/>
      <c r="X113" s="4"/>
      <c r="Y113" s="4"/>
      <c r="Z113" s="4"/>
      <c r="AA113" s="4"/>
      <c r="AB113" s="4"/>
      <c r="AC113" s="4"/>
    </row>
    <row r="114" spans="1:29" ht="15.75" customHeight="1" x14ac:dyDescent="0.25">
      <c r="A114" s="4"/>
      <c r="B114" s="70">
        <v>48</v>
      </c>
      <c r="C114" s="252" t="str">
        <f>IF('INPUT DATA'!Q58="","",'INPUT DATA'!Q58)</f>
        <v/>
      </c>
      <c r="D114" s="253"/>
      <c r="E114" s="251"/>
      <c r="F114" s="250" t="str">
        <f>IF('INPUT DATA'!T58="","",'INPUT DATA'!T58)</f>
        <v/>
      </c>
      <c r="G114" s="251"/>
      <c r="H114" s="87" t="str">
        <f>IF('INPUT DATA'!S58="","",'INPUT DATA'!S58)</f>
        <v/>
      </c>
      <c r="I114" s="55" t="str">
        <f t="shared" ca="1" si="1"/>
        <v/>
      </c>
      <c r="J114" s="51"/>
      <c r="K114" s="53"/>
      <c r="L114" s="54"/>
      <c r="M114" s="54"/>
      <c r="N114" s="54"/>
      <c r="O114" s="54"/>
      <c r="P114" s="54"/>
      <c r="Q114" s="88"/>
      <c r="R114" s="54"/>
      <c r="S114" s="4"/>
      <c r="T114" s="4"/>
      <c r="U114" s="4"/>
      <c r="V114" s="4"/>
      <c r="W114" s="4"/>
      <c r="X114" s="4"/>
      <c r="Y114" s="4"/>
      <c r="Z114" s="4"/>
      <c r="AA114" s="4"/>
      <c r="AB114" s="4"/>
      <c r="AC114" s="4"/>
    </row>
    <row r="115" spans="1:29" ht="15.75" customHeight="1" x14ac:dyDescent="0.25">
      <c r="A115" s="4"/>
      <c r="B115" s="70">
        <v>49</v>
      </c>
      <c r="C115" s="252" t="str">
        <f>IF('INPUT DATA'!Q59="","",'INPUT DATA'!Q59)</f>
        <v/>
      </c>
      <c r="D115" s="253"/>
      <c r="E115" s="251"/>
      <c r="F115" s="250" t="str">
        <f>IF('INPUT DATA'!T59="","",'INPUT DATA'!T59)</f>
        <v/>
      </c>
      <c r="G115" s="251"/>
      <c r="H115" s="87" t="str">
        <f>IF('INPUT DATA'!S59="","",'INPUT DATA'!S59)</f>
        <v/>
      </c>
      <c r="I115" s="55" t="str">
        <f t="shared" ca="1" si="1"/>
        <v/>
      </c>
      <c r="J115" s="51"/>
      <c r="K115" s="53"/>
      <c r="L115" s="54"/>
      <c r="M115" s="54"/>
      <c r="N115" s="54"/>
      <c r="O115" s="54"/>
      <c r="P115" s="54"/>
      <c r="Q115" s="88"/>
      <c r="R115" s="54"/>
      <c r="S115" s="4"/>
      <c r="T115" s="4"/>
      <c r="U115" s="4"/>
      <c r="V115" s="4"/>
      <c r="W115" s="4"/>
      <c r="X115" s="4"/>
      <c r="Y115" s="4"/>
      <c r="Z115" s="4"/>
      <c r="AA115" s="4"/>
      <c r="AB115" s="4"/>
      <c r="AC115" s="4"/>
    </row>
    <row r="116" spans="1:29" ht="15.75" customHeight="1" x14ac:dyDescent="0.25">
      <c r="A116" s="4"/>
      <c r="B116" s="75">
        <v>50</v>
      </c>
      <c r="C116" s="243" t="str">
        <f>IF('INPUT DATA'!Q60="","",'INPUT DATA'!Q60)</f>
        <v/>
      </c>
      <c r="D116" s="244"/>
      <c r="E116" s="245"/>
      <c r="F116" s="254" t="str">
        <f>IF('INPUT DATA'!T60="","",'INPUT DATA'!T60)</f>
        <v/>
      </c>
      <c r="G116" s="245"/>
      <c r="H116" s="90" t="str">
        <f>IF('INPUT DATA'!S60="","",'INPUT DATA'!S60)</f>
        <v/>
      </c>
      <c r="I116" s="92" t="str">
        <f t="shared" ca="1" si="1"/>
        <v/>
      </c>
      <c r="J116" s="77"/>
      <c r="K116" s="79"/>
      <c r="L116" s="80"/>
      <c r="M116" s="80"/>
      <c r="N116" s="80"/>
      <c r="O116" s="80"/>
      <c r="P116" s="80"/>
      <c r="Q116" s="91"/>
      <c r="R116" s="80"/>
      <c r="S116" s="4"/>
      <c r="T116" s="4"/>
      <c r="U116" s="4"/>
      <c r="V116" s="4"/>
      <c r="W116" s="4"/>
      <c r="X116" s="4"/>
      <c r="Y116" s="4"/>
      <c r="Z116" s="4"/>
      <c r="AA116" s="4"/>
      <c r="AB116" s="4"/>
      <c r="AC116" s="4"/>
    </row>
    <row r="117" spans="1:29" ht="15.75" customHeight="1" x14ac:dyDescent="0.25">
      <c r="A117" s="3"/>
      <c r="B117" s="3"/>
      <c r="C117" s="2"/>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spans="1:29" ht="15.75" customHeight="1" x14ac:dyDescent="0.25">
      <c r="A118" s="3"/>
      <c r="B118" s="3"/>
      <c r="C118" s="2"/>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spans="1:29" ht="15.75" customHeight="1" x14ac:dyDescent="0.25">
      <c r="A119" s="3"/>
      <c r="B119" s="3"/>
      <c r="C119" s="2"/>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spans="1:29" ht="15.75" customHeight="1" x14ac:dyDescent="0.25">
      <c r="A120" s="3"/>
      <c r="B120" s="3"/>
      <c r="C120" s="2"/>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spans="1:29" ht="15.75" customHeight="1" x14ac:dyDescent="0.25">
      <c r="A121" s="3"/>
      <c r="B121" s="3"/>
      <c r="C121" s="2"/>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spans="1:29" ht="15.75" customHeight="1" x14ac:dyDescent="0.25">
      <c r="A122" s="3"/>
      <c r="B122" s="3"/>
      <c r="C122" s="2"/>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spans="1:29" ht="15.75" customHeight="1" x14ac:dyDescent="0.25">
      <c r="A123" s="3"/>
      <c r="B123" s="3"/>
      <c r="C123" s="2"/>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spans="1:29" ht="15.75" customHeight="1" x14ac:dyDescent="0.25">
      <c r="A124" s="3"/>
      <c r="B124" s="3"/>
      <c r="C124" s="2"/>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spans="1:29" ht="15.75" customHeight="1" x14ac:dyDescent="0.25">
      <c r="A125" s="3"/>
      <c r="B125" s="3"/>
      <c r="C125" s="2"/>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spans="1:29" ht="15.75" customHeight="1" x14ac:dyDescent="0.25">
      <c r="A126" s="3"/>
      <c r="B126" s="3"/>
      <c r="C126" s="2"/>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spans="1:29" ht="15.75" customHeight="1" x14ac:dyDescent="0.25">
      <c r="A127" s="3"/>
      <c r="B127" s="3"/>
      <c r="C127" s="2"/>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spans="1:29" ht="15.75" customHeight="1" x14ac:dyDescent="0.2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row>
    <row r="129" spans="1:29" ht="15.75" customHeight="1" x14ac:dyDescent="0.2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row>
    <row r="130" spans="1:29" ht="15.75" customHeight="1" x14ac:dyDescent="0.2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row>
    <row r="131" spans="1:29" ht="15.75" customHeight="1" x14ac:dyDescent="0.2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row>
    <row r="132" spans="1:29" ht="15.75" customHeight="1" x14ac:dyDescent="0.2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row>
    <row r="133" spans="1:29" ht="15.75" customHeight="1" x14ac:dyDescent="0.2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row>
    <row r="134" spans="1:29" ht="15.75" customHeight="1" x14ac:dyDescent="0.2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row>
    <row r="135" spans="1:29" ht="15.75" customHeight="1" x14ac:dyDescent="0.2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row>
    <row r="136" spans="1:29" ht="15.75" customHeight="1" x14ac:dyDescent="0.2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row>
    <row r="137" spans="1:29" ht="15.75" customHeight="1" x14ac:dyDescent="0.2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row>
    <row r="138" spans="1:29" ht="15.75" customHeight="1" x14ac:dyDescent="0.2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row>
    <row r="139" spans="1:29" ht="15.75" customHeight="1" x14ac:dyDescent="0.2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row>
    <row r="140" spans="1:29" ht="15.75" customHeight="1" x14ac:dyDescent="0.2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row>
    <row r="141" spans="1:29" ht="15.75" customHeight="1" x14ac:dyDescent="0.2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row>
    <row r="142" spans="1:29" ht="15.75" customHeight="1" x14ac:dyDescent="0.2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row>
    <row r="143" spans="1:29" ht="15.75" customHeight="1" x14ac:dyDescent="0.2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row>
    <row r="144" spans="1:29" ht="15.75" customHeight="1" x14ac:dyDescent="0.2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row>
    <row r="145" spans="1:29" ht="15.75" customHeight="1" x14ac:dyDescent="0.2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row>
    <row r="146" spans="1:29" ht="15.75" customHeight="1" x14ac:dyDescent="0.2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row>
    <row r="147" spans="1:29" ht="15.75" customHeight="1" x14ac:dyDescent="0.2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row>
    <row r="148" spans="1:29" ht="15.75" customHeight="1" x14ac:dyDescent="0.2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row>
    <row r="149" spans="1:29" ht="15.75" customHeight="1" x14ac:dyDescent="0.2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row>
    <row r="150" spans="1:29" ht="15.75" customHeight="1" x14ac:dyDescent="0.2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row>
    <row r="151" spans="1:29" ht="15.75" customHeight="1" x14ac:dyDescent="0.2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row>
    <row r="152" spans="1:29" ht="15.75" customHeight="1" x14ac:dyDescent="0.2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row>
    <row r="153" spans="1:29" ht="15.75" customHeight="1" x14ac:dyDescent="0.2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row>
    <row r="154" spans="1:29" ht="15.75" customHeight="1" x14ac:dyDescent="0.2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row>
    <row r="155" spans="1:29" ht="15.75" customHeight="1" x14ac:dyDescent="0.2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row>
    <row r="156" spans="1:29" ht="15.75" customHeight="1" x14ac:dyDescent="0.2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spans="1:29" ht="15.75" customHeight="1" x14ac:dyDescent="0.2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row>
    <row r="158" spans="1:29" ht="15.75" customHeight="1" x14ac:dyDescent="0.2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row>
    <row r="159" spans="1:29" ht="15.75" customHeight="1" x14ac:dyDescent="0.2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row>
    <row r="160" spans="1:29" ht="15.75" customHeight="1" x14ac:dyDescent="0.2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row>
    <row r="161" spans="1:29" ht="15.75" customHeight="1" x14ac:dyDescent="0.2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row>
    <row r="162" spans="1:29" ht="15.75" customHeight="1" x14ac:dyDescent="0.2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row>
    <row r="163" spans="1:29" ht="15.75" customHeight="1" x14ac:dyDescent="0.2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row>
    <row r="164" spans="1:29" ht="15.75" customHeight="1" x14ac:dyDescent="0.2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row>
    <row r="165" spans="1:29" ht="15.75" customHeight="1" x14ac:dyDescent="0.2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row>
    <row r="166" spans="1:29" ht="15.75" customHeight="1" x14ac:dyDescent="0.2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row>
    <row r="167" spans="1:29" ht="15.75" customHeight="1" x14ac:dyDescent="0.2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row>
    <row r="168" spans="1:29" ht="15.75" customHeight="1" x14ac:dyDescent="0.2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row>
    <row r="169" spans="1:29" ht="15.75" customHeight="1" x14ac:dyDescent="0.2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row>
    <row r="170" spans="1:29" ht="15.75" customHeight="1" x14ac:dyDescent="0.2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row>
    <row r="171" spans="1:29" ht="15.75" customHeight="1" x14ac:dyDescent="0.2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row>
    <row r="172" spans="1:29" ht="15.75" customHeight="1" x14ac:dyDescent="0.2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row>
    <row r="173" spans="1:29" ht="15.75" customHeight="1" x14ac:dyDescent="0.2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row>
    <row r="174" spans="1:29" ht="15.75" customHeight="1" x14ac:dyDescent="0.2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row>
    <row r="175" spans="1:29" ht="15.75" customHeight="1" x14ac:dyDescent="0.2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row>
    <row r="176" spans="1:29" ht="15.75" customHeight="1" x14ac:dyDescent="0.2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row>
    <row r="177" spans="1:29" ht="15.75" customHeight="1" x14ac:dyDescent="0.2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row>
    <row r="178" spans="1:29" ht="15.75" customHeight="1" x14ac:dyDescent="0.2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row>
    <row r="179" spans="1:29" ht="15.75" customHeight="1" x14ac:dyDescent="0.2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row>
    <row r="180" spans="1:29" ht="15.75" customHeight="1" x14ac:dyDescent="0.2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row>
    <row r="181" spans="1:29" ht="15.75" customHeight="1" x14ac:dyDescent="0.2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row>
    <row r="182" spans="1:29" ht="15.75" customHeight="1" x14ac:dyDescent="0.2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row>
    <row r="183" spans="1:29" ht="15.75" customHeight="1" x14ac:dyDescent="0.2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row>
    <row r="184" spans="1:29" ht="15.75" customHeight="1" x14ac:dyDescent="0.2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row>
    <row r="185" spans="1:29" ht="15.75" customHeight="1" x14ac:dyDescent="0.2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row>
    <row r="186" spans="1:29" ht="15.75" customHeight="1" x14ac:dyDescent="0.2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row>
    <row r="187" spans="1:29" ht="15.75" customHeight="1" x14ac:dyDescent="0.2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row>
    <row r="188" spans="1:29" ht="15.75" customHeight="1" x14ac:dyDescent="0.2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row>
    <row r="189" spans="1:29" ht="15.75" customHeight="1" x14ac:dyDescent="0.2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row>
    <row r="190" spans="1:29" ht="15.75" customHeight="1" x14ac:dyDescent="0.2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row>
    <row r="191" spans="1:29" ht="15.75" customHeight="1" x14ac:dyDescent="0.2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row>
    <row r="192" spans="1:29" ht="15.75" customHeight="1" x14ac:dyDescent="0.2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row>
    <row r="193" spans="1:29" ht="15.75" customHeight="1" x14ac:dyDescent="0.2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row>
    <row r="194" spans="1:29" ht="15.75" customHeight="1" x14ac:dyDescent="0.2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row>
    <row r="195" spans="1:29" ht="15.75" customHeight="1" x14ac:dyDescent="0.2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row>
    <row r="196" spans="1:29" ht="15.75" customHeight="1" x14ac:dyDescent="0.2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row>
    <row r="197" spans="1:29" ht="15.75" customHeight="1" x14ac:dyDescent="0.2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row>
    <row r="198" spans="1:29" ht="15.75" customHeight="1" x14ac:dyDescent="0.2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row>
    <row r="199" spans="1:29" ht="15.75" customHeight="1" x14ac:dyDescent="0.2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row>
    <row r="200" spans="1:29" ht="15.75" customHeight="1" x14ac:dyDescent="0.2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row>
    <row r="201" spans="1:29" ht="15.75" customHeight="1" x14ac:dyDescent="0.2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row>
    <row r="202" spans="1:29" ht="15.75" customHeight="1" x14ac:dyDescent="0.2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row>
    <row r="203" spans="1:29" ht="15.75" customHeight="1" x14ac:dyDescent="0.2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row>
    <row r="204" spans="1:29" ht="15.75" customHeight="1" x14ac:dyDescent="0.2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row>
    <row r="205" spans="1:29" ht="15.75" customHeight="1" x14ac:dyDescent="0.2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row>
    <row r="206" spans="1:29" ht="15.75" customHeight="1" x14ac:dyDescent="0.2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row>
    <row r="207" spans="1:29" ht="15.75" customHeight="1" x14ac:dyDescent="0.2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row>
    <row r="208" spans="1:29" ht="15.75" customHeight="1" x14ac:dyDescent="0.2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row>
    <row r="209" spans="1:29" ht="15.75" customHeight="1" x14ac:dyDescent="0.2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row>
    <row r="210" spans="1:29" ht="15.75" customHeight="1" x14ac:dyDescent="0.2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row>
    <row r="211" spans="1:29" ht="15.75" customHeight="1" x14ac:dyDescent="0.2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row>
    <row r="212" spans="1:29" ht="15.75" customHeight="1" x14ac:dyDescent="0.2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row>
    <row r="213" spans="1:29" ht="15.75" customHeight="1" x14ac:dyDescent="0.2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row>
    <row r="214" spans="1:29" ht="15.75" customHeight="1" x14ac:dyDescent="0.2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row>
    <row r="215" spans="1:29" ht="15.75" customHeight="1" x14ac:dyDescent="0.2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spans="1:29" ht="15.75" customHeight="1" x14ac:dyDescent="0.2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row>
    <row r="217" spans="1:29" ht="15.75" customHeight="1" x14ac:dyDescent="0.2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spans="1:29" ht="15.75" customHeight="1" x14ac:dyDescent="0.2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spans="1:29" ht="15.75" customHeight="1" x14ac:dyDescent="0.2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spans="1:29" ht="15.75" customHeight="1" x14ac:dyDescent="0.2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spans="1:29" ht="15.75" customHeight="1" x14ac:dyDescent="0.2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spans="1:29" ht="15.75" customHeight="1" x14ac:dyDescent="0.2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spans="1:29" ht="15.75" customHeight="1" x14ac:dyDescent="0.2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spans="1:29" ht="15.75" customHeight="1" x14ac:dyDescent="0.2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spans="1:29" ht="15.75" customHeight="1" x14ac:dyDescent="0.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spans="1:29" ht="15.75" customHeight="1" x14ac:dyDescent="0.2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spans="1:29" ht="15.75" customHeight="1" x14ac:dyDescent="0.2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spans="1:29" ht="15.75" customHeight="1" x14ac:dyDescent="0.2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spans="1:29" ht="15.75" customHeight="1" x14ac:dyDescent="0.2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spans="1:29" ht="15.75" customHeight="1" x14ac:dyDescent="0.2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spans="1:29" ht="15.75" customHeight="1" x14ac:dyDescent="0.2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spans="1:29" ht="15.75" customHeight="1" x14ac:dyDescent="0.2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spans="1:29" ht="15.75" customHeight="1" x14ac:dyDescent="0.2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spans="1:29" ht="15.75" customHeight="1" x14ac:dyDescent="0.2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spans="1:29" ht="15.75" customHeight="1" x14ac:dyDescent="0.2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spans="1:29" ht="15.75" customHeight="1" x14ac:dyDescent="0.2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spans="1:29" ht="15.75" customHeight="1" x14ac:dyDescent="0.2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spans="1:29" ht="15.75" customHeight="1" x14ac:dyDescent="0.2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spans="1:29" ht="15.75" customHeight="1" x14ac:dyDescent="0.2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spans="1:29" ht="15.75" customHeight="1" x14ac:dyDescent="0.2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spans="1:29" ht="15.75" customHeight="1" x14ac:dyDescent="0.2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spans="1:29" ht="15.75" customHeight="1" x14ac:dyDescent="0.2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spans="1:29" ht="15.75" customHeight="1" x14ac:dyDescent="0.2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spans="1:29" ht="15.75" customHeight="1" x14ac:dyDescent="0.2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spans="1:29" ht="15.75" customHeight="1" x14ac:dyDescent="0.2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spans="1:29" ht="15.75" customHeight="1" x14ac:dyDescent="0.2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spans="1:29" ht="15.75" customHeight="1" x14ac:dyDescent="0.2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spans="1:29" ht="15.75" customHeight="1" x14ac:dyDescent="0.2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spans="1:29" ht="15.75" customHeight="1" x14ac:dyDescent="0.2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spans="1:29" ht="15.75" customHeight="1" x14ac:dyDescent="0.2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spans="1:29" ht="15.75" customHeight="1" x14ac:dyDescent="0.2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spans="1:29" ht="15.75" customHeight="1" x14ac:dyDescent="0.2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spans="1:29" ht="15.75" customHeight="1" x14ac:dyDescent="0.2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spans="1:29" ht="15.75" customHeight="1" x14ac:dyDescent="0.2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spans="1:29" ht="15.75" customHeight="1" x14ac:dyDescent="0.2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spans="1:29" ht="15.75" customHeight="1" x14ac:dyDescent="0.2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spans="1:29" ht="15.75" customHeight="1" x14ac:dyDescent="0.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spans="1:29" ht="15.75" customHeight="1" x14ac:dyDescent="0.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spans="1:29" ht="15.75" customHeight="1" x14ac:dyDescent="0.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spans="1:29" ht="15.75" customHeight="1" x14ac:dyDescent="0.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spans="1:29" ht="15.75" customHeight="1" x14ac:dyDescent="0.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spans="1:29" ht="15.75" customHeight="1" x14ac:dyDescent="0.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spans="1:29" ht="15.75" customHeight="1" x14ac:dyDescent="0.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spans="1:29" ht="15.75" customHeight="1" x14ac:dyDescent="0.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spans="1:29" ht="15.75" customHeight="1" x14ac:dyDescent="0.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spans="1:29" ht="15.75" customHeight="1" x14ac:dyDescent="0.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spans="1:29" ht="15.75" customHeight="1"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spans="1:29" ht="15.75" customHeight="1"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spans="1:29" ht="15.75" customHeight="1"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spans="1:29" ht="15.75" customHeight="1"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spans="1:29" ht="15.75" customHeight="1"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spans="1:29" ht="15.75" customHeight="1"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spans="1:29" ht="15.75" customHeight="1"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spans="1:29" ht="15.75" customHeight="1"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spans="1:29" ht="15.75" customHeight="1"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spans="1:29" ht="15.75" customHeight="1"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spans="1:29" ht="15.75" customHeight="1"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spans="1:29" ht="15.75" customHeight="1"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spans="1:29" ht="15.75" customHeight="1"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spans="1:29" ht="15.75" customHeight="1"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spans="1:29" ht="15.75" customHeight="1"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spans="1:29" ht="15.75" customHeight="1"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spans="1:29" ht="15.75" customHeight="1"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spans="1:29" ht="15.75" customHeight="1"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spans="1:29" ht="15.75" customHeight="1"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spans="1:29" ht="15.75" customHeight="1"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spans="1:29" ht="15.75" customHeight="1"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spans="1:29" ht="15.75" customHeight="1"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spans="1:29" ht="15.75" customHeight="1"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spans="1:29" ht="15.75" customHeight="1"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spans="1:29" ht="15.75" customHeight="1"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spans="1:29" ht="15.75" customHeight="1"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spans="1:29" ht="15.75" customHeight="1"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spans="1:29" ht="15.75" customHeight="1"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spans="1:29" ht="15.75" customHeight="1"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spans="1:29" ht="15.75" customHeight="1"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spans="1:29" ht="15.75" customHeight="1"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spans="1:29" ht="15.75" customHeight="1"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spans="1:29" ht="15.75" customHeight="1"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spans="1:29" ht="15.75" customHeight="1"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spans="1:29" ht="15.75" customHeight="1"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spans="1:29" ht="15.75" customHeight="1"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spans="1:29" ht="15.75" customHeight="1"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spans="1:29" ht="15.75" customHeight="1"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spans="1:29" ht="15.75" customHeight="1"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spans="1:29" ht="15.75" customHeight="1"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spans="1:29" ht="15.75" customHeight="1"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spans="1:29" ht="15.75" customHeight="1"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spans="1:29" ht="15.75" customHeight="1"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spans="1:29" ht="15.75" customHeight="1"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spans="1:29" ht="15.75" customHeight="1"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spans="1:29" ht="15.75" customHeight="1"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spans="1:29" ht="15.75" customHeight="1"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spans="1:29" ht="15.75" customHeight="1"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spans="1:29" ht="15.75" customHeight="1"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spans="1:29" ht="15.75" customHeight="1"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spans="1:29" ht="15.75" customHeight="1"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spans="1:29" ht="15.75" customHeight="1"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spans="1:29" ht="15.75" customHeight="1"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spans="1:29" ht="15.75" customHeight="1"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spans="1:29" ht="15.75" customHeight="1"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spans="1:29" ht="15.75" customHeight="1"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spans="1:29" ht="15.75" customHeight="1"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spans="1:29" ht="15.75" customHeight="1"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spans="1:29" ht="15.75" customHeight="1"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spans="1:29" ht="15.75" customHeight="1"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spans="1:29" ht="15.75" customHeight="1"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spans="1:29" ht="15.75" customHeight="1"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spans="1:29" ht="15.75" customHeight="1"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spans="1:29" ht="15.75" customHeight="1"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spans="1:29" ht="15.75" customHeight="1"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spans="1:29" ht="15.75" customHeight="1"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spans="1:29" ht="15.75" customHeight="1"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spans="1:29" ht="15.75" customHeight="1"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spans="1:29" ht="15.75" customHeight="1"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spans="1:29" ht="15.75" customHeight="1"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spans="1:29" ht="15.75" customHeight="1"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spans="1:29" ht="15.75" customHeight="1"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spans="1:29" ht="15.75" customHeight="1"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spans="1:29" ht="15.75" customHeight="1"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spans="1:29" ht="15.75" customHeight="1"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spans="1:29" ht="15.75" customHeight="1"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spans="1:29" ht="15.75" customHeight="1"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spans="1:29" ht="15.75" customHeight="1"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spans="1:29" ht="15.75" customHeight="1"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spans="1:29" ht="15.75" customHeight="1"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spans="1:29" ht="15.75" customHeight="1"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spans="1:29" ht="15.75" customHeight="1"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spans="1:29" ht="15.75" customHeight="1"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spans="1:29" ht="15.75" customHeight="1"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spans="1:29" ht="15.75" customHeight="1"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spans="1:29" ht="15.75" customHeight="1"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spans="1:29" ht="15.75" customHeight="1"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spans="1:29" ht="15.75" customHeight="1"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spans="1:29" ht="15.75" customHeight="1"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spans="1:29" ht="15.75" customHeight="1"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spans="1:29" ht="15.75" customHeight="1"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spans="1:29" ht="15.75" customHeight="1"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spans="1:29" ht="15.75" customHeight="1"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spans="1:29" ht="15.75" customHeight="1"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spans="1:29" ht="15.75" customHeight="1"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spans="1:29" ht="15.75" customHeight="1"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spans="1:29" ht="15.75" customHeight="1"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spans="1:29" ht="15.75" customHeight="1"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spans="1:29" ht="15.75" customHeight="1"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spans="1:29" ht="15.75" customHeight="1"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spans="1:29" ht="15.75" customHeight="1"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spans="1:29" ht="15.75" customHeight="1"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spans="1:29" ht="15.75" customHeight="1"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spans="1:29" ht="15.75" customHeight="1"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spans="1:29" ht="15.75" customHeight="1"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spans="1:29" ht="15.75" customHeight="1"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spans="1:29" ht="15.75" customHeight="1"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spans="1:29" ht="15.75" customHeight="1"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spans="1:29" ht="15.75" customHeight="1"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spans="1:29" ht="15.75" customHeight="1"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spans="1:29" ht="15.75" customHeight="1"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spans="1:29" ht="15.75" customHeight="1"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spans="1:29" ht="15.75" customHeight="1"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spans="1:29" ht="15.75" customHeight="1"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spans="1:29" ht="15.75" customHeight="1"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spans="1:29" ht="15.75" customHeight="1"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spans="1:29" ht="15.75" customHeight="1"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spans="1:29" ht="15.75" customHeight="1"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spans="1:29" ht="15.75" customHeight="1" x14ac:dyDescent="0.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spans="1:29" ht="15.75" customHeight="1" x14ac:dyDescent="0.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spans="1:29" ht="15.75" customHeight="1" x14ac:dyDescent="0.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spans="1:29" ht="15.75" customHeight="1" x14ac:dyDescent="0.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spans="1:29" ht="15.75" customHeight="1" x14ac:dyDescent="0.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spans="1:29" ht="15.75" customHeight="1" x14ac:dyDescent="0.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spans="1:29" ht="15.75" customHeight="1" x14ac:dyDescent="0.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spans="1:29" ht="15.75" customHeight="1" x14ac:dyDescent="0.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spans="1:29" ht="15.75" customHeight="1" x14ac:dyDescent="0.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spans="1:29" ht="15.75" customHeight="1" x14ac:dyDescent="0.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spans="1:29" ht="15.75" customHeight="1" x14ac:dyDescent="0.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spans="1:29" ht="15.75" customHeight="1" x14ac:dyDescent="0.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spans="1:29" ht="15.75" customHeight="1" x14ac:dyDescent="0.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spans="1:29" ht="15.75" customHeight="1" x14ac:dyDescent="0.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spans="1:29" ht="15.75" customHeight="1" x14ac:dyDescent="0.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spans="1:29" ht="15.75" customHeight="1" x14ac:dyDescent="0.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spans="1:29" ht="15.75" customHeight="1" x14ac:dyDescent="0.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spans="1:29" ht="15.75" customHeight="1" x14ac:dyDescent="0.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spans="1:29" ht="15.75" customHeight="1" x14ac:dyDescent="0.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spans="1:29" ht="15.75" customHeight="1" x14ac:dyDescent="0.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spans="1:29" ht="15.75" customHeight="1" x14ac:dyDescent="0.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spans="1:29" ht="15.75" customHeight="1" x14ac:dyDescent="0.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spans="1:29" ht="15.75" customHeight="1" x14ac:dyDescent="0.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spans="1:29" ht="15.75" customHeight="1" x14ac:dyDescent="0.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spans="1:29" ht="15.75" customHeight="1" x14ac:dyDescent="0.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spans="1:29" ht="15.75" customHeight="1" x14ac:dyDescent="0.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spans="1:29" ht="15.75" customHeight="1" x14ac:dyDescent="0.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spans="1:29" ht="15.75" customHeight="1" x14ac:dyDescent="0.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spans="1:29" ht="15.75" customHeight="1" x14ac:dyDescent="0.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spans="1:29" ht="15.75" customHeight="1" x14ac:dyDescent="0.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spans="1:29" ht="15.75" customHeight="1" x14ac:dyDescent="0.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spans="1:29" ht="15.75" customHeight="1" x14ac:dyDescent="0.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spans="1:29" ht="15.75" customHeight="1" x14ac:dyDescent="0.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spans="1:29" ht="15.75" customHeight="1" x14ac:dyDescent="0.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spans="1:29" ht="15.75" customHeight="1" x14ac:dyDescent="0.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spans="1:29" ht="15.75" customHeight="1" x14ac:dyDescent="0.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spans="1:29" ht="15.75" customHeight="1" x14ac:dyDescent="0.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spans="1:29" ht="15.75" customHeight="1" x14ac:dyDescent="0.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spans="1:29" ht="15.75" customHeight="1" x14ac:dyDescent="0.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spans="1:29" ht="15.75" customHeight="1" x14ac:dyDescent="0.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spans="1:29" ht="15.75" customHeight="1" x14ac:dyDescent="0.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spans="1:29" ht="15.75" customHeight="1" x14ac:dyDescent="0.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spans="1:29" ht="15.75" customHeight="1" x14ac:dyDescent="0.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spans="1:29" ht="15.75" customHeight="1" x14ac:dyDescent="0.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spans="1:29" ht="15.75" customHeight="1" x14ac:dyDescent="0.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spans="1:29" ht="15.75" customHeight="1" x14ac:dyDescent="0.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spans="1:29" ht="15.75" customHeight="1" x14ac:dyDescent="0.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spans="1:29" ht="15.75" customHeight="1" x14ac:dyDescent="0.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spans="1:29" ht="15.75" customHeight="1" x14ac:dyDescent="0.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spans="1:29" ht="15.75" customHeight="1" x14ac:dyDescent="0.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spans="1:29" ht="15.75" customHeight="1" x14ac:dyDescent="0.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spans="1:29" ht="15.75" customHeight="1" x14ac:dyDescent="0.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spans="1:29" ht="15.75" customHeight="1" x14ac:dyDescent="0.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spans="1:29" ht="15.75" customHeight="1" x14ac:dyDescent="0.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spans="1:29" ht="15.75" customHeight="1" x14ac:dyDescent="0.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spans="1:29" ht="15.75" customHeight="1" x14ac:dyDescent="0.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spans="1:29" ht="15.75" customHeight="1" x14ac:dyDescent="0.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spans="1:29" ht="15.75" customHeight="1" x14ac:dyDescent="0.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spans="1:29" ht="15.75" customHeight="1" x14ac:dyDescent="0.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spans="1:29" ht="15.75" customHeight="1" x14ac:dyDescent="0.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spans="1:29" ht="15.75" customHeight="1" x14ac:dyDescent="0.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spans="1:29" ht="15.75" customHeight="1" x14ac:dyDescent="0.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spans="1:29" ht="15.75" customHeight="1" x14ac:dyDescent="0.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spans="1:29" ht="15.75" customHeight="1" x14ac:dyDescent="0.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spans="1:29" ht="15.75" customHeight="1" x14ac:dyDescent="0.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spans="1:29" ht="15.75" customHeight="1" x14ac:dyDescent="0.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spans="1:29" ht="15.75" customHeight="1" x14ac:dyDescent="0.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spans="1:29" ht="15.75" customHeight="1" x14ac:dyDescent="0.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spans="1:29" ht="15.75" customHeight="1" x14ac:dyDescent="0.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spans="1:29" ht="15.75" customHeight="1" x14ac:dyDescent="0.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spans="1:29" ht="15.75" customHeight="1" x14ac:dyDescent="0.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spans="1:29" ht="15.75" customHeight="1" x14ac:dyDescent="0.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spans="1:29" ht="15.75" customHeight="1" x14ac:dyDescent="0.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spans="1:29" ht="15.75" customHeight="1" x14ac:dyDescent="0.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spans="1:29" ht="15.75" customHeight="1" x14ac:dyDescent="0.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spans="1:29" ht="15.75" customHeight="1" x14ac:dyDescent="0.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spans="1:29" ht="15.75" customHeight="1" x14ac:dyDescent="0.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spans="1:29" ht="15.75" customHeight="1" x14ac:dyDescent="0.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spans="1:29" ht="15.75" customHeight="1" x14ac:dyDescent="0.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spans="1:29" ht="15.75" customHeight="1" x14ac:dyDescent="0.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spans="1:29" ht="15.75" customHeight="1" x14ac:dyDescent="0.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spans="1:29" ht="15.75" customHeight="1" x14ac:dyDescent="0.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spans="1:29" ht="15.75" customHeight="1" x14ac:dyDescent="0.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spans="1:29" ht="15.75" customHeight="1" x14ac:dyDescent="0.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spans="1:29" ht="15.75" customHeight="1" x14ac:dyDescent="0.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spans="1:29" ht="15.75" customHeight="1" x14ac:dyDescent="0.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spans="1:29" ht="15.75" customHeight="1" x14ac:dyDescent="0.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spans="1:29" ht="15.75" customHeight="1" x14ac:dyDescent="0.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spans="1:29" ht="15.75" customHeight="1" x14ac:dyDescent="0.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spans="1:29" ht="15.75" customHeight="1" x14ac:dyDescent="0.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spans="1:29" ht="15.75" customHeight="1" x14ac:dyDescent="0.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spans="1:29" ht="15.75" customHeight="1" x14ac:dyDescent="0.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spans="1:29" ht="15.75" customHeight="1" x14ac:dyDescent="0.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spans="1:29" ht="15.75" customHeight="1" x14ac:dyDescent="0.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spans="1:29" ht="15.75" customHeight="1" x14ac:dyDescent="0.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spans="1:29" ht="15.75" customHeight="1" x14ac:dyDescent="0.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spans="1:29" ht="15.75" customHeight="1" x14ac:dyDescent="0.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spans="1:29" ht="15.75" customHeight="1" x14ac:dyDescent="0.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spans="1:29" ht="15.75" customHeight="1" x14ac:dyDescent="0.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spans="1:29" ht="15.75" customHeight="1" x14ac:dyDescent="0.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spans="1:29" ht="15.75" customHeight="1" x14ac:dyDescent="0.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spans="1:29" ht="15.75" customHeight="1" x14ac:dyDescent="0.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spans="1:29" ht="15.75" customHeight="1" x14ac:dyDescent="0.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spans="1:29" ht="15.75" customHeight="1" x14ac:dyDescent="0.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spans="1:29" ht="15.75" customHeight="1" x14ac:dyDescent="0.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spans="1:29" ht="15.75" customHeight="1" x14ac:dyDescent="0.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spans="1:29" ht="15.75" customHeight="1" x14ac:dyDescent="0.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spans="1:29" ht="15.75" customHeight="1" x14ac:dyDescent="0.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spans="1:29" ht="15.75" customHeight="1" x14ac:dyDescent="0.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spans="1:29" ht="15.75" customHeight="1" x14ac:dyDescent="0.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spans="1:29" ht="15.75" customHeight="1" x14ac:dyDescent="0.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spans="1:29" ht="15.75" customHeight="1" x14ac:dyDescent="0.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spans="1:29" ht="15.75" customHeight="1" x14ac:dyDescent="0.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spans="1:29" ht="15.75" customHeight="1" x14ac:dyDescent="0.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spans="1:29" ht="15.75" customHeight="1" x14ac:dyDescent="0.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spans="1:29" ht="15.75" customHeight="1" x14ac:dyDescent="0.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spans="1:29" ht="15.75" customHeight="1" x14ac:dyDescent="0.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spans="1:29" ht="15.75" customHeight="1" x14ac:dyDescent="0.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spans="1:29" ht="15.75" customHeight="1" x14ac:dyDescent="0.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spans="1:29" ht="15.75" customHeight="1" x14ac:dyDescent="0.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spans="1:29" ht="15.75" customHeight="1" x14ac:dyDescent="0.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spans="1:29" ht="15.75" customHeight="1" x14ac:dyDescent="0.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spans="1:29" ht="15.75" customHeight="1" x14ac:dyDescent="0.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spans="1:29" ht="15.75" customHeight="1" x14ac:dyDescent="0.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spans="1:29" ht="15.75" customHeight="1" x14ac:dyDescent="0.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spans="1:29" ht="15.75" customHeight="1" x14ac:dyDescent="0.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spans="1:29" ht="15.75" customHeight="1" x14ac:dyDescent="0.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spans="1:29" ht="15.75" customHeight="1" x14ac:dyDescent="0.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spans="1:29" ht="15.75" customHeight="1" x14ac:dyDescent="0.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spans="1:29" ht="15.75" customHeight="1" x14ac:dyDescent="0.2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spans="1:29" ht="15.75" customHeight="1" x14ac:dyDescent="0.2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spans="1:29" ht="15.75" customHeight="1" x14ac:dyDescent="0.2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spans="1:29" ht="15.75" customHeight="1" x14ac:dyDescent="0.2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spans="1:29" ht="15.75" customHeight="1" x14ac:dyDescent="0.2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spans="1:29" ht="15.75" customHeight="1" x14ac:dyDescent="0.2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spans="1:29" ht="15.75" customHeight="1" x14ac:dyDescent="0.2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spans="1:29" ht="15.75" customHeight="1" x14ac:dyDescent="0.2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spans="1:29" ht="15.75" customHeight="1" x14ac:dyDescent="0.2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spans="1:29" ht="15.75" customHeight="1" x14ac:dyDescent="0.2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spans="1:29" ht="15.75" customHeight="1" x14ac:dyDescent="0.2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spans="1:29" ht="15.75" customHeight="1" x14ac:dyDescent="0.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spans="1:29" ht="15.75" customHeight="1" x14ac:dyDescent="0.2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spans="1:29" ht="15.75" customHeight="1" x14ac:dyDescent="0.2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spans="1:29" ht="15.75" customHeight="1" x14ac:dyDescent="0.2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spans="1:29" ht="15.75" customHeight="1" x14ac:dyDescent="0.2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spans="1:29" ht="15.75" customHeight="1" x14ac:dyDescent="0.2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spans="1:29" ht="15.75" customHeight="1" x14ac:dyDescent="0.2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spans="1:29" ht="15.75" customHeight="1" x14ac:dyDescent="0.2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spans="1:29" ht="15.75" customHeight="1" x14ac:dyDescent="0.2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spans="1:29" ht="15.75" customHeight="1" x14ac:dyDescent="0.2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spans="1:29" ht="15.75" customHeight="1" x14ac:dyDescent="0.2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spans="1:29" ht="15.75" customHeight="1" x14ac:dyDescent="0.2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spans="1:29" ht="15.75" customHeight="1" x14ac:dyDescent="0.2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spans="1:29" ht="15.75" customHeight="1" x14ac:dyDescent="0.2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spans="1:29" ht="15.75" customHeight="1" x14ac:dyDescent="0.2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spans="1:29" ht="15.75" customHeight="1" x14ac:dyDescent="0.2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spans="1:29" ht="15.75" customHeight="1" x14ac:dyDescent="0.2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spans="1:29" ht="15.75" customHeight="1" x14ac:dyDescent="0.2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spans="1:29" ht="15.75" customHeight="1" x14ac:dyDescent="0.2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spans="1:29" ht="15.75" customHeight="1" x14ac:dyDescent="0.2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spans="1:29" ht="15.75" customHeight="1" x14ac:dyDescent="0.2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spans="1:29" ht="15.75" customHeight="1" x14ac:dyDescent="0.2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spans="1:29" ht="15.75" customHeight="1" x14ac:dyDescent="0.2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spans="1:29" ht="15.75" customHeight="1" x14ac:dyDescent="0.2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spans="1:29" ht="15.75" customHeight="1" x14ac:dyDescent="0.2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spans="1:29" ht="15.75" customHeight="1" x14ac:dyDescent="0.2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spans="1:29" ht="15.75" customHeight="1" x14ac:dyDescent="0.2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spans="1:29" ht="15.75" customHeight="1" x14ac:dyDescent="0.2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spans="1:29" ht="15.75" customHeight="1" x14ac:dyDescent="0.2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spans="1:29" ht="15.75" customHeight="1" x14ac:dyDescent="0.2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spans="1:29" ht="15.75" customHeight="1" x14ac:dyDescent="0.2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spans="1:29" ht="15.75" customHeight="1" x14ac:dyDescent="0.2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spans="1:29" ht="15.75" customHeight="1" x14ac:dyDescent="0.2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spans="1:29" ht="15.75" customHeight="1" x14ac:dyDescent="0.2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spans="1:29" ht="15.75" customHeight="1" x14ac:dyDescent="0.2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spans="1:29" ht="15.75" customHeight="1" x14ac:dyDescent="0.2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spans="1:29" ht="15.75" customHeight="1" x14ac:dyDescent="0.2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spans="1:29" ht="15.75" customHeight="1" x14ac:dyDescent="0.2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spans="1:29" ht="15.75" customHeight="1" x14ac:dyDescent="0.2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spans="1:29" ht="15.75" customHeight="1" x14ac:dyDescent="0.2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spans="1:29" ht="15.75" customHeight="1" x14ac:dyDescent="0.2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spans="1:29" ht="15.75" customHeight="1" x14ac:dyDescent="0.2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spans="1:29" ht="15.75" customHeight="1" x14ac:dyDescent="0.2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spans="1:29" ht="15.75" customHeight="1" x14ac:dyDescent="0.2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spans="1:29" ht="15.75" customHeight="1" x14ac:dyDescent="0.2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spans="1:29" ht="15.75" customHeight="1" x14ac:dyDescent="0.2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spans="1:29" ht="15.75" customHeight="1" x14ac:dyDescent="0.2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spans="1:29" ht="15.75" customHeight="1" x14ac:dyDescent="0.2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spans="1:29" ht="15.75" customHeight="1" x14ac:dyDescent="0.2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spans="1:29" ht="15.75" customHeight="1" x14ac:dyDescent="0.2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spans="1:29" ht="15.75" customHeight="1" x14ac:dyDescent="0.2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spans="1:29" ht="15.75" customHeight="1" x14ac:dyDescent="0.2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spans="1:29" ht="15.75" customHeight="1" x14ac:dyDescent="0.2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spans="1:29" ht="15.75" customHeight="1" x14ac:dyDescent="0.2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spans="1:29" ht="15.75" customHeight="1" x14ac:dyDescent="0.2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spans="1:29" ht="15.75" customHeight="1" x14ac:dyDescent="0.2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spans="1:29" ht="15.75" customHeight="1" x14ac:dyDescent="0.2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spans="1:29" ht="15.75" customHeight="1" x14ac:dyDescent="0.2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spans="1:29" ht="15.75" customHeight="1" x14ac:dyDescent="0.2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spans="1:29" ht="15.75" customHeight="1" x14ac:dyDescent="0.2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spans="1:29" ht="15.75" customHeight="1" x14ac:dyDescent="0.2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spans="1:29" ht="15.75" customHeight="1" x14ac:dyDescent="0.2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spans="1:29" ht="15.75" customHeight="1" x14ac:dyDescent="0.2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spans="1:29" ht="15.75" customHeight="1" x14ac:dyDescent="0.2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spans="1:29" ht="15.75" customHeight="1" x14ac:dyDescent="0.2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spans="1:29" ht="15.75" customHeight="1" x14ac:dyDescent="0.2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spans="1:29" ht="15.75" customHeight="1" x14ac:dyDescent="0.2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spans="1:29" ht="15.75" customHeight="1" x14ac:dyDescent="0.2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spans="1:29" ht="15.75" customHeight="1" x14ac:dyDescent="0.2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spans="1:29" ht="15.75" customHeight="1" x14ac:dyDescent="0.2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spans="1:29" ht="15.75" customHeight="1" x14ac:dyDescent="0.2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spans="1:29" ht="15.75" customHeight="1" x14ac:dyDescent="0.2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spans="1:29" ht="15.75" customHeight="1" x14ac:dyDescent="0.2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spans="1:29" ht="15.75" customHeight="1" x14ac:dyDescent="0.2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spans="1:29" ht="15.75" customHeight="1" x14ac:dyDescent="0.2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spans="1:29" ht="15.75" customHeight="1" x14ac:dyDescent="0.2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spans="1:29" ht="15.75" customHeight="1" x14ac:dyDescent="0.2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spans="1:29" ht="15.75" customHeight="1" x14ac:dyDescent="0.2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spans="1:29" ht="15.75" customHeight="1" x14ac:dyDescent="0.2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spans="1:29" ht="15.75" customHeight="1" x14ac:dyDescent="0.2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spans="1:29" ht="15.75" customHeight="1" x14ac:dyDescent="0.2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spans="1:29" ht="15.75" customHeight="1" x14ac:dyDescent="0.2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spans="1:29" ht="15.75" customHeight="1" x14ac:dyDescent="0.2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spans="1:29" ht="15.75" customHeight="1" x14ac:dyDescent="0.2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spans="1:29" ht="15.75" customHeight="1" x14ac:dyDescent="0.2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spans="1:29" ht="15.75" customHeight="1" x14ac:dyDescent="0.2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spans="1:29" ht="15.75" customHeight="1" x14ac:dyDescent="0.2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spans="1:29" ht="15.75" customHeight="1" x14ac:dyDescent="0.2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spans="1:29" ht="15.75" customHeight="1" x14ac:dyDescent="0.2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spans="1:29" ht="15.75" customHeight="1" x14ac:dyDescent="0.2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spans="1:29" ht="15.75" customHeight="1" x14ac:dyDescent="0.2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spans="1:29" ht="15.75" customHeight="1" x14ac:dyDescent="0.2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spans="1:29" ht="15.75" customHeight="1" x14ac:dyDescent="0.2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spans="1:29" ht="15.75" customHeight="1" x14ac:dyDescent="0.2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spans="1:29" ht="15.75" customHeight="1" x14ac:dyDescent="0.2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spans="1:29" ht="15.75" customHeight="1" x14ac:dyDescent="0.2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spans="1:29" ht="15.75" customHeight="1" x14ac:dyDescent="0.2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spans="1:29" ht="15.75" customHeight="1" x14ac:dyDescent="0.2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spans="1:29" ht="15.75" customHeight="1" x14ac:dyDescent="0.2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spans="1:29" ht="15.75" customHeight="1" x14ac:dyDescent="0.2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spans="1:29" ht="15.75" customHeight="1" x14ac:dyDescent="0.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spans="1:29" ht="15.75" customHeight="1" x14ac:dyDescent="0.2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spans="1:29" ht="15.75" customHeight="1" x14ac:dyDescent="0.2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spans="1:29" ht="15.75" customHeight="1" x14ac:dyDescent="0.2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spans="1:29" ht="15.75" customHeight="1" x14ac:dyDescent="0.2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spans="1:29" ht="15.75" customHeight="1" x14ac:dyDescent="0.2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spans="1:29" ht="15.75" customHeight="1" x14ac:dyDescent="0.2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spans="1:29" ht="15.75" customHeight="1" x14ac:dyDescent="0.2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spans="1:29" ht="15.75" customHeight="1" x14ac:dyDescent="0.2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spans="1:29" ht="15.75" customHeight="1" x14ac:dyDescent="0.2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spans="1:29" ht="15.75" customHeight="1" x14ac:dyDescent="0.2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spans="1:29" ht="15.75" customHeight="1" x14ac:dyDescent="0.2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spans="1:29" ht="15.75" customHeight="1" x14ac:dyDescent="0.2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spans="1:29" ht="15.75" customHeight="1" x14ac:dyDescent="0.2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spans="1:29" ht="15.75" customHeight="1" x14ac:dyDescent="0.2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spans="1:29" ht="15.75" customHeight="1" x14ac:dyDescent="0.2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spans="1:29" ht="15.75" customHeight="1" x14ac:dyDescent="0.2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spans="1:29" ht="15.75" customHeight="1" x14ac:dyDescent="0.2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spans="1:29" ht="15.75" customHeight="1" x14ac:dyDescent="0.2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spans="1:29" ht="15.75" customHeight="1" x14ac:dyDescent="0.2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spans="1:29" ht="15.75" customHeight="1" x14ac:dyDescent="0.2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spans="1:29" ht="15.75" customHeight="1" x14ac:dyDescent="0.2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spans="1:29" ht="15.75" customHeight="1" x14ac:dyDescent="0.2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spans="1:29" ht="15.75" customHeight="1" x14ac:dyDescent="0.2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spans="1:29" ht="15.75" customHeight="1" x14ac:dyDescent="0.2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spans="1:29" ht="15.75" customHeight="1" x14ac:dyDescent="0.2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spans="1:29" ht="15.75" customHeight="1" x14ac:dyDescent="0.2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spans="1:29" ht="15.75" customHeight="1" x14ac:dyDescent="0.2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spans="1:29" ht="15.75" customHeight="1" x14ac:dyDescent="0.2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spans="1:29" ht="15.75" customHeight="1" x14ac:dyDescent="0.2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spans="1:29" ht="15.75" customHeight="1" x14ac:dyDescent="0.2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spans="1:29" ht="15.75" customHeight="1" x14ac:dyDescent="0.2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spans="1:29" ht="15.75" customHeight="1" x14ac:dyDescent="0.2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spans="1:29" ht="15.75" customHeight="1" x14ac:dyDescent="0.2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spans="1:29" ht="15.75" customHeight="1" x14ac:dyDescent="0.2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spans="1:29" ht="15.75" customHeight="1" x14ac:dyDescent="0.2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spans="1:29" ht="15.75" customHeight="1" x14ac:dyDescent="0.2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spans="1:29" ht="15.75" customHeight="1" x14ac:dyDescent="0.2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spans="1:29" ht="15.75" customHeight="1" x14ac:dyDescent="0.2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spans="1:29" ht="15.75" customHeight="1" x14ac:dyDescent="0.2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spans="1:29" ht="15.75" customHeight="1" x14ac:dyDescent="0.2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spans="1:29" ht="15.75" customHeight="1" x14ac:dyDescent="0.2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spans="1:29" ht="15.75" customHeight="1" x14ac:dyDescent="0.2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spans="1:29" ht="15.75" customHeight="1" x14ac:dyDescent="0.2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spans="1:29" ht="15.75" customHeight="1" x14ac:dyDescent="0.2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spans="1:29" ht="15.75" customHeight="1" x14ac:dyDescent="0.2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spans="1:29" ht="15.75" customHeight="1" x14ac:dyDescent="0.2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spans="1:29" ht="15.75" customHeight="1" x14ac:dyDescent="0.2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spans="1:29" ht="15.75" customHeight="1" x14ac:dyDescent="0.2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spans="1:29" ht="15.75" customHeight="1" x14ac:dyDescent="0.2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spans="1:29" ht="15.75" customHeight="1" x14ac:dyDescent="0.2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spans="1:29" ht="15.75" customHeight="1" x14ac:dyDescent="0.2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spans="1:29" ht="15.75" customHeight="1" x14ac:dyDescent="0.2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spans="1:29" ht="15.75" customHeight="1" x14ac:dyDescent="0.2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spans="1:29" ht="15.75" customHeight="1" x14ac:dyDescent="0.2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spans="1:29" ht="15.75" customHeight="1" x14ac:dyDescent="0.2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spans="1:29" ht="15.75" customHeight="1" x14ac:dyDescent="0.2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spans="1:29" ht="15.75" customHeight="1" x14ac:dyDescent="0.2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spans="1:29" ht="15.75" customHeight="1" x14ac:dyDescent="0.2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spans="1:29" ht="15.75" customHeight="1" x14ac:dyDescent="0.2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spans="1:29" ht="15.75" customHeight="1" x14ac:dyDescent="0.2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spans="1:29" ht="15.75" customHeight="1" x14ac:dyDescent="0.2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spans="1:29" ht="15.75" customHeight="1" x14ac:dyDescent="0.2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spans="1:29" ht="15.75" customHeight="1" x14ac:dyDescent="0.2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spans="1:29" ht="15.75" customHeight="1" x14ac:dyDescent="0.2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spans="1:29" ht="15.75" customHeight="1" x14ac:dyDescent="0.2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spans="1:29" ht="15.75" customHeight="1" x14ac:dyDescent="0.2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spans="1:29" ht="15.75" customHeight="1" x14ac:dyDescent="0.2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spans="1:29" ht="15.75" customHeight="1" x14ac:dyDescent="0.2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spans="1:29" ht="15.75" customHeight="1" x14ac:dyDescent="0.2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spans="1:29" ht="15.75" customHeight="1" x14ac:dyDescent="0.2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spans="1:29" ht="15.75" customHeight="1" x14ac:dyDescent="0.2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spans="1:29" ht="15.75" customHeight="1" x14ac:dyDescent="0.2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spans="1:29" ht="15.75" customHeight="1" x14ac:dyDescent="0.2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spans="1:29" ht="15.75" customHeight="1" x14ac:dyDescent="0.2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spans="1:29" ht="15.75" customHeight="1" x14ac:dyDescent="0.2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spans="1:29" ht="15.75" customHeight="1" x14ac:dyDescent="0.2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spans="1:29" ht="15.75" customHeight="1" x14ac:dyDescent="0.2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spans="1:29" ht="15.75" customHeight="1" x14ac:dyDescent="0.2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spans="1:29" ht="15.75" customHeight="1" x14ac:dyDescent="0.2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spans="1:29" ht="15.75" customHeight="1" x14ac:dyDescent="0.2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spans="1:29" ht="15.75" customHeight="1" x14ac:dyDescent="0.2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spans="1:29" ht="15.75" customHeight="1" x14ac:dyDescent="0.2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spans="1:29" ht="15.75" customHeight="1" x14ac:dyDescent="0.2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spans="1:29" ht="15.75" customHeight="1" x14ac:dyDescent="0.2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spans="1:29" ht="15.75" customHeight="1" x14ac:dyDescent="0.2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spans="1:29" ht="15.75" customHeight="1" x14ac:dyDescent="0.2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spans="1:29" ht="15.75" customHeight="1" x14ac:dyDescent="0.2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spans="1:29" ht="15.75" customHeight="1" x14ac:dyDescent="0.2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spans="1:29" ht="15.75" customHeight="1" x14ac:dyDescent="0.2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spans="1:29" ht="15.75" customHeight="1" x14ac:dyDescent="0.2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spans="1:29" ht="15.75" customHeight="1" x14ac:dyDescent="0.2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spans="1:29" ht="15.75" customHeight="1" x14ac:dyDescent="0.2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spans="1:29" ht="15.75" customHeight="1" x14ac:dyDescent="0.2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spans="1:29" ht="15.75" customHeight="1" x14ac:dyDescent="0.2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spans="1:29" ht="15.75" customHeight="1" x14ac:dyDescent="0.2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spans="1:29" ht="15.75" customHeight="1" x14ac:dyDescent="0.2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spans="1:29" ht="15.75" customHeight="1" x14ac:dyDescent="0.2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spans="1:29" ht="15.75" customHeight="1" x14ac:dyDescent="0.2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spans="1:29" ht="15.75" customHeight="1" x14ac:dyDescent="0.2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spans="1:29" ht="15.75" customHeight="1" x14ac:dyDescent="0.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spans="1:29" ht="15.75" customHeight="1" x14ac:dyDescent="0.2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spans="1:29" ht="15.75" customHeight="1" x14ac:dyDescent="0.2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spans="1:29" ht="15.75" customHeight="1" x14ac:dyDescent="0.2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spans="1:29" ht="15.75" customHeight="1" x14ac:dyDescent="0.2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spans="1:29" ht="15.75" customHeight="1" x14ac:dyDescent="0.2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spans="1:29" ht="15.75" customHeight="1" x14ac:dyDescent="0.2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spans="1:29" ht="15.75" customHeight="1" x14ac:dyDescent="0.2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spans="1:29" ht="15.75" customHeight="1" x14ac:dyDescent="0.2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spans="1:29" ht="15.75" customHeight="1" x14ac:dyDescent="0.2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spans="1:29" ht="15.75" customHeight="1" x14ac:dyDescent="0.2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spans="1:29" ht="15.75" customHeight="1" x14ac:dyDescent="0.2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spans="1:29" ht="15.75" customHeight="1" x14ac:dyDescent="0.2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spans="1:29" ht="15.75" customHeight="1" x14ac:dyDescent="0.2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spans="1:29" ht="15.75" customHeight="1" x14ac:dyDescent="0.2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spans="1:29" ht="15.75" customHeight="1" x14ac:dyDescent="0.2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spans="1:29" ht="15.75" customHeight="1" x14ac:dyDescent="0.2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spans="1:29" ht="15.75" customHeight="1" x14ac:dyDescent="0.2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spans="1:29" ht="15.75" customHeight="1" x14ac:dyDescent="0.2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spans="1:29" ht="15.75" customHeight="1" x14ac:dyDescent="0.2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spans="1:29" ht="15.75" customHeight="1" x14ac:dyDescent="0.2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spans="1:29" ht="15.75" customHeight="1" x14ac:dyDescent="0.2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spans="1:29" ht="15.75" customHeight="1" x14ac:dyDescent="0.2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spans="1:29" ht="15.75" customHeight="1" x14ac:dyDescent="0.2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spans="1:29" ht="15.75" customHeight="1" x14ac:dyDescent="0.2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spans="1:29" ht="15.75" customHeight="1" x14ac:dyDescent="0.2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spans="1:29" ht="15.75" customHeight="1" x14ac:dyDescent="0.2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spans="1:29" ht="15.75" customHeight="1" x14ac:dyDescent="0.2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spans="1:29" ht="15.75" customHeight="1" x14ac:dyDescent="0.2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spans="1:29" ht="15.75" customHeight="1" x14ac:dyDescent="0.2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spans="1:29" ht="15.75" customHeight="1" x14ac:dyDescent="0.2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spans="1:29" ht="15.75" customHeight="1" x14ac:dyDescent="0.2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spans="1:29" ht="15.75" customHeight="1" x14ac:dyDescent="0.2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spans="1:29" ht="15.75" customHeight="1" x14ac:dyDescent="0.2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spans="1:29" ht="15.75" customHeight="1" x14ac:dyDescent="0.2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spans="1:29" ht="15.75" customHeight="1" x14ac:dyDescent="0.2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spans="1:29" ht="15.75" customHeight="1" x14ac:dyDescent="0.2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spans="1:29" ht="15.75" customHeight="1" x14ac:dyDescent="0.2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spans="1:29" ht="15.75" customHeight="1" x14ac:dyDescent="0.2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spans="1:29" ht="15.75" customHeight="1" x14ac:dyDescent="0.2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spans="1:29" ht="15.75" customHeight="1" x14ac:dyDescent="0.2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spans="1:29" ht="15.75" customHeight="1" x14ac:dyDescent="0.2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spans="1:29" ht="15.75" customHeight="1" x14ac:dyDescent="0.2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spans="1:29" ht="15.75" customHeight="1" x14ac:dyDescent="0.2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spans="1:29" ht="15.75" customHeight="1" x14ac:dyDescent="0.2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spans="1:29" ht="15.75" customHeight="1" x14ac:dyDescent="0.2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spans="1:29" ht="15.75" customHeight="1" x14ac:dyDescent="0.2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spans="1:29" ht="15.75" customHeight="1" x14ac:dyDescent="0.2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spans="1:29" ht="15.75" customHeight="1" x14ac:dyDescent="0.2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spans="1:29" ht="15.75" customHeight="1" x14ac:dyDescent="0.2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spans="1:29" ht="15.75" customHeight="1" x14ac:dyDescent="0.2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spans="1:29" ht="15.75" customHeight="1" x14ac:dyDescent="0.2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spans="1:29" ht="15.75" customHeight="1" x14ac:dyDescent="0.2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spans="1:29" ht="15.75" customHeight="1" x14ac:dyDescent="0.2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spans="1:29" ht="15.75" customHeight="1" x14ac:dyDescent="0.2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spans="1:29" ht="15.75" customHeight="1" x14ac:dyDescent="0.2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spans="1:29" ht="15.75" customHeight="1" x14ac:dyDescent="0.2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spans="1:29" ht="15.75" customHeight="1" x14ac:dyDescent="0.2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spans="1:29" ht="15.75" customHeight="1" x14ac:dyDescent="0.2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spans="1:29" ht="15.75" customHeight="1" x14ac:dyDescent="0.2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spans="1:29" ht="15.75" customHeight="1" x14ac:dyDescent="0.2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spans="1:29" ht="15.75" customHeight="1" x14ac:dyDescent="0.2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spans="1:29" ht="15.75" customHeight="1" x14ac:dyDescent="0.2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spans="1:29" ht="15.75" customHeight="1" x14ac:dyDescent="0.2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spans="1:29" ht="15.75" customHeight="1" x14ac:dyDescent="0.2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spans="1:29" ht="15.75" customHeight="1" x14ac:dyDescent="0.2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spans="1:29" ht="15.75" customHeight="1" x14ac:dyDescent="0.2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spans="1:29" ht="15.75" customHeight="1" x14ac:dyDescent="0.2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spans="1:29" ht="15.75" customHeight="1" x14ac:dyDescent="0.2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spans="1:29" ht="15.75" customHeight="1" x14ac:dyDescent="0.2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spans="1:29" ht="15.75" customHeight="1" x14ac:dyDescent="0.2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spans="1:29" ht="15.75" customHeight="1" x14ac:dyDescent="0.2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spans="1:29" ht="15.75" customHeight="1" x14ac:dyDescent="0.2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spans="1:29" ht="15.75" customHeight="1" x14ac:dyDescent="0.2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spans="1:29" ht="15.75" customHeight="1" x14ac:dyDescent="0.2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spans="1:29" ht="15.75" customHeight="1" x14ac:dyDescent="0.2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spans="1:29" ht="15.75" customHeight="1" x14ac:dyDescent="0.2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spans="1:29" ht="15.75" customHeight="1" x14ac:dyDescent="0.2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spans="1:29" ht="15.75" customHeight="1" x14ac:dyDescent="0.2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spans="1:29" ht="15.75" customHeight="1" x14ac:dyDescent="0.2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spans="1:29" ht="15.75" customHeight="1" x14ac:dyDescent="0.2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spans="1:29" ht="15.75" customHeight="1" x14ac:dyDescent="0.2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spans="1:29" ht="15.75" customHeight="1" x14ac:dyDescent="0.2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spans="1:29" ht="15.75" customHeight="1" x14ac:dyDescent="0.2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spans="1:29" ht="15.75" customHeight="1" x14ac:dyDescent="0.2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spans="1:29" ht="15.75" customHeight="1" x14ac:dyDescent="0.2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spans="1:29" ht="15.75" customHeight="1" x14ac:dyDescent="0.2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spans="1:29" ht="15.75" customHeight="1" x14ac:dyDescent="0.2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spans="1:29" ht="15.75" customHeight="1" x14ac:dyDescent="0.2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spans="1:29" ht="15.75" customHeight="1" x14ac:dyDescent="0.2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spans="1:29" ht="15.75" customHeight="1" x14ac:dyDescent="0.2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spans="1:29" ht="15.75" customHeight="1" x14ac:dyDescent="0.2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spans="1:29" ht="15.75" customHeight="1" x14ac:dyDescent="0.2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spans="1:29" ht="15.75" customHeight="1" x14ac:dyDescent="0.2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spans="1:29" ht="15.75" customHeight="1" x14ac:dyDescent="0.2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spans="1:29" ht="15.75" customHeight="1" x14ac:dyDescent="0.2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spans="1:29" ht="15.75" customHeight="1" x14ac:dyDescent="0.2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spans="1:29" ht="15.75" customHeight="1" x14ac:dyDescent="0.2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spans="1:29" ht="15.75" customHeight="1" x14ac:dyDescent="0.2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spans="1:29" ht="15.75" customHeight="1" x14ac:dyDescent="0.2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spans="1:29" ht="15.75" customHeight="1" x14ac:dyDescent="0.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spans="1:29" ht="15.75" customHeight="1" x14ac:dyDescent="0.2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spans="1:29" ht="15.75" customHeight="1" x14ac:dyDescent="0.2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spans="1:29" ht="15.75" customHeight="1" x14ac:dyDescent="0.2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spans="1:29" ht="15.75" customHeight="1" x14ac:dyDescent="0.2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spans="1:29" ht="15.75" customHeight="1" x14ac:dyDescent="0.2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spans="1:29" ht="15.75" customHeight="1" x14ac:dyDescent="0.2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spans="1:29" ht="15.75" customHeight="1" x14ac:dyDescent="0.2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spans="1:29" ht="15.75" customHeight="1" x14ac:dyDescent="0.2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spans="1:29" ht="15.75" customHeight="1" x14ac:dyDescent="0.2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spans="1:29" ht="15.75" customHeight="1" x14ac:dyDescent="0.2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spans="1:29" ht="15.75" customHeight="1" x14ac:dyDescent="0.2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spans="1:29" ht="15.75" customHeight="1" x14ac:dyDescent="0.2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spans="1:29" ht="15.75" customHeight="1" x14ac:dyDescent="0.2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spans="1:29" ht="15.75" customHeight="1" x14ac:dyDescent="0.2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spans="1:29" ht="15.75" customHeight="1" x14ac:dyDescent="0.2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spans="1:29" ht="15.75" customHeight="1" x14ac:dyDescent="0.2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spans="1:29" ht="15.75" customHeight="1" x14ac:dyDescent="0.2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spans="1:29" ht="15.75" customHeight="1" x14ac:dyDescent="0.2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spans="1:29" ht="15.75" customHeight="1" x14ac:dyDescent="0.2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spans="1:29" ht="15.75" customHeight="1" x14ac:dyDescent="0.2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spans="1:29" ht="15.75" customHeight="1" x14ac:dyDescent="0.2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spans="1:29" ht="15.75" customHeight="1" x14ac:dyDescent="0.2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spans="1:29" ht="15.75" customHeight="1" x14ac:dyDescent="0.2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spans="1:29" ht="15.75" customHeight="1" x14ac:dyDescent="0.2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spans="1:29" ht="15.75" customHeight="1" x14ac:dyDescent="0.2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spans="1:29" ht="15.75" customHeight="1" x14ac:dyDescent="0.2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spans="1:29" ht="15.75" customHeight="1" x14ac:dyDescent="0.2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spans="1:29" ht="15.75" customHeight="1" x14ac:dyDescent="0.2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spans="1:29" ht="15.75" customHeight="1" x14ac:dyDescent="0.2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spans="1:29" ht="15.75" customHeight="1" x14ac:dyDescent="0.2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spans="1:29" ht="15.75" customHeight="1" x14ac:dyDescent="0.2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spans="1:29" ht="15.75" customHeight="1" x14ac:dyDescent="0.2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spans="1:29" ht="15.75" customHeight="1" x14ac:dyDescent="0.2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spans="1:29" ht="15.75" customHeight="1" x14ac:dyDescent="0.2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spans="1:29" ht="15.75" customHeight="1" x14ac:dyDescent="0.2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spans="1:29" ht="15.75" customHeight="1" x14ac:dyDescent="0.2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spans="1:29" ht="15.75" customHeight="1" x14ac:dyDescent="0.2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spans="1:29" ht="15.75" customHeight="1" x14ac:dyDescent="0.2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spans="1:29" ht="15.75" customHeight="1" x14ac:dyDescent="0.2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spans="1:29" ht="15.75" customHeight="1" x14ac:dyDescent="0.2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spans="1:29" ht="15.75" customHeight="1" x14ac:dyDescent="0.2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spans="1:29" ht="15.75" customHeight="1" x14ac:dyDescent="0.2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spans="1:29" ht="15.75" customHeight="1" x14ac:dyDescent="0.2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spans="1:29" ht="15.75" customHeight="1" x14ac:dyDescent="0.2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spans="1:29" ht="15.75" customHeight="1" x14ac:dyDescent="0.2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spans="1:29" ht="15.75" customHeight="1" x14ac:dyDescent="0.2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spans="1:29" ht="15.75" customHeight="1" x14ac:dyDescent="0.2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spans="1:29" ht="15.75" customHeight="1" x14ac:dyDescent="0.2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spans="1:29" ht="15.75" customHeight="1" x14ac:dyDescent="0.2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spans="1:29" ht="15.75" customHeight="1" x14ac:dyDescent="0.2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spans="1:29" ht="15.75" customHeight="1" x14ac:dyDescent="0.2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spans="1:29" ht="15.75" customHeight="1" x14ac:dyDescent="0.2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spans="1:29" ht="15.75" customHeight="1" x14ac:dyDescent="0.2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spans="1:29" ht="15.75" customHeight="1" x14ac:dyDescent="0.2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spans="1:29" ht="15.75" customHeight="1" x14ac:dyDescent="0.2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spans="1:29" ht="15.75" customHeight="1" x14ac:dyDescent="0.2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spans="1:29" ht="15.75" customHeight="1" x14ac:dyDescent="0.2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spans="1:29" ht="15.75" customHeight="1" x14ac:dyDescent="0.2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spans="1:29" ht="15.75" customHeight="1" x14ac:dyDescent="0.2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spans="1:29" ht="15.75" customHeight="1" x14ac:dyDescent="0.2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spans="1:29" ht="15.75" customHeight="1" x14ac:dyDescent="0.2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spans="1:29" ht="15.75" customHeight="1" x14ac:dyDescent="0.2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spans="1:29" ht="15.75" customHeight="1" x14ac:dyDescent="0.2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spans="1:29" ht="15.75" customHeight="1" x14ac:dyDescent="0.2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spans="1:29" ht="15.75" customHeight="1" x14ac:dyDescent="0.2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spans="1:29" ht="15.75" customHeight="1" x14ac:dyDescent="0.2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spans="1:29" ht="15.75" customHeight="1" x14ac:dyDescent="0.2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spans="1:29" ht="15.75" customHeight="1" x14ac:dyDescent="0.2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spans="1:29" ht="15.75" customHeight="1" x14ac:dyDescent="0.2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spans="1:29" ht="15.75" customHeight="1" x14ac:dyDescent="0.2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spans="1:29" ht="15.75" customHeight="1" x14ac:dyDescent="0.2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spans="1:29" ht="15.75" customHeight="1" x14ac:dyDescent="0.2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spans="1:29" ht="15.75" customHeight="1" x14ac:dyDescent="0.2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spans="1:29" ht="15.75" customHeight="1" x14ac:dyDescent="0.2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spans="1:29" ht="15.75" customHeight="1" x14ac:dyDescent="0.2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spans="1:29" ht="15.75" customHeight="1" x14ac:dyDescent="0.2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spans="1:29" ht="15.75" customHeight="1" x14ac:dyDescent="0.2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spans="1:29" ht="15.75" customHeight="1" x14ac:dyDescent="0.2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spans="1:29" ht="15.75" customHeight="1" x14ac:dyDescent="0.2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spans="1:29" ht="15.75" customHeight="1" x14ac:dyDescent="0.2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spans="1:29" ht="15.75" customHeight="1" x14ac:dyDescent="0.2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spans="1:29" ht="15.75" customHeight="1" x14ac:dyDescent="0.2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spans="1:29" ht="15.75" customHeight="1" x14ac:dyDescent="0.2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spans="1:29" ht="15.75" customHeight="1" x14ac:dyDescent="0.2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spans="1:29" ht="15.75" customHeight="1" x14ac:dyDescent="0.2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spans="1:29" ht="15.75" customHeight="1" x14ac:dyDescent="0.2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spans="1:29" ht="15.75" customHeight="1" x14ac:dyDescent="0.2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spans="1:29" ht="15.75" customHeight="1" x14ac:dyDescent="0.2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spans="1:29" ht="15.75" customHeight="1" x14ac:dyDescent="0.2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spans="1:29" ht="15.75" customHeight="1" x14ac:dyDescent="0.2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spans="1:29" ht="15.75" customHeight="1" x14ac:dyDescent="0.2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spans="1:29" ht="15.75" customHeight="1" x14ac:dyDescent="0.2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spans="1:29" ht="15.75" customHeight="1" x14ac:dyDescent="0.2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spans="1:29" ht="15.75" customHeight="1" x14ac:dyDescent="0.2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spans="1:29" ht="15.75" customHeight="1" x14ac:dyDescent="0.2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spans="1:29" ht="15.75" customHeight="1" x14ac:dyDescent="0.2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spans="1:29" ht="15.75" customHeight="1" x14ac:dyDescent="0.2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spans="1:29" ht="15.75" customHeight="1" x14ac:dyDescent="0.2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spans="1:29" ht="15.75" customHeight="1" x14ac:dyDescent="0.2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spans="1:29" ht="15.75" customHeight="1" x14ac:dyDescent="0.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spans="1:29" ht="15.75" customHeight="1" x14ac:dyDescent="0.2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spans="1:29" ht="15.75" customHeight="1" x14ac:dyDescent="0.2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spans="1:29" ht="15.75" customHeight="1" x14ac:dyDescent="0.2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spans="1:29" ht="15.75" customHeight="1" x14ac:dyDescent="0.2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spans="1:29" ht="15.75" customHeight="1" x14ac:dyDescent="0.2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spans="1:29" ht="15.75" customHeight="1" x14ac:dyDescent="0.2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spans="1:29" ht="15.75" customHeight="1" x14ac:dyDescent="0.2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spans="1:29" ht="15.75" customHeight="1" x14ac:dyDescent="0.2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spans="1:29" ht="15.75" customHeight="1" x14ac:dyDescent="0.2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spans="1:29" ht="15.75" customHeight="1" x14ac:dyDescent="0.2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spans="1:29" ht="15.75" customHeight="1" x14ac:dyDescent="0.2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spans="1:29" ht="15.75" customHeight="1" x14ac:dyDescent="0.2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spans="1:29" ht="15.75" customHeight="1" x14ac:dyDescent="0.2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spans="1:29" ht="15.75" customHeight="1" x14ac:dyDescent="0.2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spans="1:29" ht="15.75" customHeight="1" x14ac:dyDescent="0.2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spans="1:29" ht="15.75" customHeight="1" x14ac:dyDescent="0.2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spans="1:29" ht="15.75" customHeight="1" x14ac:dyDescent="0.2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spans="1:29" ht="15.75" customHeight="1" x14ac:dyDescent="0.2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spans="1:29" ht="15.75" customHeight="1" x14ac:dyDescent="0.2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spans="1:29" ht="15.75" customHeight="1" x14ac:dyDescent="0.2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spans="1:29" ht="15.75" customHeight="1" x14ac:dyDescent="0.2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spans="1:29" ht="15.75" customHeight="1" x14ac:dyDescent="0.2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spans="1:29" ht="15.75" customHeight="1" x14ac:dyDescent="0.2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spans="1:29" ht="15.75" customHeight="1" x14ac:dyDescent="0.2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spans="1:29" ht="15.75" customHeight="1" x14ac:dyDescent="0.2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spans="1:29" ht="15.75" customHeight="1" x14ac:dyDescent="0.2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spans="1:29" ht="15.75" customHeight="1" x14ac:dyDescent="0.2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spans="1:29" ht="15.75" customHeight="1" x14ac:dyDescent="0.2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spans="1:29" ht="15.75" customHeight="1" x14ac:dyDescent="0.2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spans="1:29" ht="15.75" customHeight="1" x14ac:dyDescent="0.2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spans="1:29" ht="15.75" customHeight="1" x14ac:dyDescent="0.2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spans="1:29" ht="15.75" customHeight="1" x14ac:dyDescent="0.2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spans="1:29" ht="15.75" customHeight="1" x14ac:dyDescent="0.2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spans="1:29" ht="15.75" customHeight="1" x14ac:dyDescent="0.2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spans="1:29" ht="15.75" customHeight="1" x14ac:dyDescent="0.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spans="1:29" ht="15.75" customHeight="1" x14ac:dyDescent="0.2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spans="1:29" ht="15.75" customHeight="1" x14ac:dyDescent="0.2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spans="1:29" ht="15.75" customHeight="1" x14ac:dyDescent="0.2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spans="1:29" ht="15.75" customHeight="1" x14ac:dyDescent="0.2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spans="1:29" ht="15.75" customHeight="1" x14ac:dyDescent="0.2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spans="1:29" ht="15.75" customHeight="1" x14ac:dyDescent="0.2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spans="1:29" ht="15.75" customHeight="1" x14ac:dyDescent="0.2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spans="1:29" ht="15.75" customHeight="1" x14ac:dyDescent="0.2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spans="1:29" ht="15.75" customHeight="1" x14ac:dyDescent="0.2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spans="1:29" ht="15.75" customHeight="1" x14ac:dyDescent="0.2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spans="1:29" ht="15.75" customHeight="1" x14ac:dyDescent="0.2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spans="1:29" ht="15.75" customHeight="1" x14ac:dyDescent="0.2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spans="1:29" ht="15.75" customHeight="1" x14ac:dyDescent="0.2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spans="1:29" ht="15.75" customHeight="1" x14ac:dyDescent="0.2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spans="1:29" ht="15.75" customHeight="1" x14ac:dyDescent="0.2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spans="1:29" ht="15.75" customHeight="1" x14ac:dyDescent="0.2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spans="1:29" ht="15.75" customHeight="1" x14ac:dyDescent="0.2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spans="1:29" ht="15.75" customHeight="1" x14ac:dyDescent="0.2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spans="1:29" ht="15.75" customHeight="1" x14ac:dyDescent="0.2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spans="1:29" ht="15.75" customHeight="1" x14ac:dyDescent="0.2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spans="1:29" ht="15.75" customHeight="1" x14ac:dyDescent="0.2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spans="1:29" ht="15.75" customHeight="1" x14ac:dyDescent="0.2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spans="1:29" ht="15.75" customHeight="1" x14ac:dyDescent="0.2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spans="1:29" ht="15.75" customHeight="1" x14ac:dyDescent="0.2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spans="1:29" ht="15.75" customHeight="1" x14ac:dyDescent="0.2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spans="1:29" ht="15.75" customHeight="1" x14ac:dyDescent="0.2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spans="1:29" ht="15.75" customHeight="1" x14ac:dyDescent="0.2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spans="1:29" ht="15.75" customHeight="1" x14ac:dyDescent="0.2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spans="1:29" ht="15.75" customHeight="1" x14ac:dyDescent="0.2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spans="1:29" ht="15.75" customHeight="1" x14ac:dyDescent="0.2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spans="1:29" ht="15.75" customHeight="1" x14ac:dyDescent="0.2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spans="1:29" ht="15.75" customHeight="1" x14ac:dyDescent="0.2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spans="1:29" ht="15.75" customHeight="1" x14ac:dyDescent="0.2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spans="1:29" ht="15.75" customHeight="1" x14ac:dyDescent="0.2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spans="1:29" ht="15.75" customHeight="1" x14ac:dyDescent="0.2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spans="1:29" ht="15.75" customHeight="1" x14ac:dyDescent="0.2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row>
    <row r="997" spans="1:29" ht="15.75" customHeight="1" x14ac:dyDescent="0.2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spans="1:29" ht="15.75" customHeight="1" x14ac:dyDescent="0.2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row>
    <row r="999" spans="1:29" ht="15.75" customHeight="1" x14ac:dyDescent="0.2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spans="1:29" ht="15.75" customHeight="1" x14ac:dyDescent="0.2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row>
  </sheetData>
  <mergeCells count="229">
    <mergeCell ref="C94:E94"/>
    <mergeCell ref="F94:G94"/>
    <mergeCell ref="C95:E95"/>
    <mergeCell ref="F95:G95"/>
    <mergeCell ref="C96:E96"/>
    <mergeCell ref="F96:G96"/>
    <mergeCell ref="C89:E89"/>
    <mergeCell ref="F89:G89"/>
    <mergeCell ref="C90:E90"/>
    <mergeCell ref="F90:G90"/>
    <mergeCell ref="C91:E91"/>
    <mergeCell ref="F91:G91"/>
    <mergeCell ref="C92:E92"/>
    <mergeCell ref="F92:G92"/>
    <mergeCell ref="F93:G93"/>
    <mergeCell ref="C93:E93"/>
    <mergeCell ref="C84:E84"/>
    <mergeCell ref="F84:G84"/>
    <mergeCell ref="C85:E85"/>
    <mergeCell ref="F85:G85"/>
    <mergeCell ref="F86:G86"/>
    <mergeCell ref="C86:E86"/>
    <mergeCell ref="C87:E87"/>
    <mergeCell ref="F87:G87"/>
    <mergeCell ref="C88:E88"/>
    <mergeCell ref="F88:G88"/>
    <mergeCell ref="F79:G79"/>
    <mergeCell ref="C79:E79"/>
    <mergeCell ref="C80:E80"/>
    <mergeCell ref="F80:G80"/>
    <mergeCell ref="C81:E81"/>
    <mergeCell ref="F81:G81"/>
    <mergeCell ref="C82:E82"/>
    <mergeCell ref="F82:G82"/>
    <mergeCell ref="C83:E83"/>
    <mergeCell ref="F83:G83"/>
    <mergeCell ref="C59:E59"/>
    <mergeCell ref="F59:G59"/>
    <mergeCell ref="C60:E60"/>
    <mergeCell ref="F60:G60"/>
    <mergeCell ref="C69:E69"/>
    <mergeCell ref="F69:G69"/>
    <mergeCell ref="C70:E70"/>
    <mergeCell ref="F70:G70"/>
    <mergeCell ref="C71:E71"/>
    <mergeCell ref="F71:G71"/>
    <mergeCell ref="C54:E54"/>
    <mergeCell ref="F54:G54"/>
    <mergeCell ref="C55:E55"/>
    <mergeCell ref="F55:G55"/>
    <mergeCell ref="C56:E56"/>
    <mergeCell ref="F56:G56"/>
    <mergeCell ref="F57:G57"/>
    <mergeCell ref="C57:E57"/>
    <mergeCell ref="C58:E58"/>
    <mergeCell ref="F58:G58"/>
    <mergeCell ref="C49:E49"/>
    <mergeCell ref="F49:G49"/>
    <mergeCell ref="F50:G50"/>
    <mergeCell ref="C50:E50"/>
    <mergeCell ref="C51:E51"/>
    <mergeCell ref="F51:G51"/>
    <mergeCell ref="C52:E52"/>
    <mergeCell ref="F52:G52"/>
    <mergeCell ref="C53:E53"/>
    <mergeCell ref="F53:G53"/>
    <mergeCell ref="C23:E23"/>
    <mergeCell ref="F23:G23"/>
    <mergeCell ref="C24:E24"/>
    <mergeCell ref="F24:G24"/>
    <mergeCell ref="C25:E25"/>
    <mergeCell ref="F25:G25"/>
    <mergeCell ref="C47:E47"/>
    <mergeCell ref="F47:G47"/>
    <mergeCell ref="C48:E48"/>
    <mergeCell ref="F48:G48"/>
    <mergeCell ref="C18:E18"/>
    <mergeCell ref="F18:G18"/>
    <mergeCell ref="C19:E19"/>
    <mergeCell ref="F19:G19"/>
    <mergeCell ref="C20:E20"/>
    <mergeCell ref="F20:G20"/>
    <mergeCell ref="C21:E21"/>
    <mergeCell ref="F21:G21"/>
    <mergeCell ref="F22:G22"/>
    <mergeCell ref="C22:E22"/>
    <mergeCell ref="O13:O14"/>
    <mergeCell ref="P13:P14"/>
    <mergeCell ref="Q13:Q14"/>
    <mergeCell ref="R13:R14"/>
    <mergeCell ref="B15:R15"/>
    <mergeCell ref="C16:E16"/>
    <mergeCell ref="F16:G16"/>
    <mergeCell ref="C17:E17"/>
    <mergeCell ref="F17:G17"/>
    <mergeCell ref="E6:G6"/>
    <mergeCell ref="B9:E10"/>
    <mergeCell ref="B11:E14"/>
    <mergeCell ref="F11:G14"/>
    <mergeCell ref="H11:H14"/>
    <mergeCell ref="I11:I14"/>
    <mergeCell ref="J11:J14"/>
    <mergeCell ref="A1:S4"/>
    <mergeCell ref="E5:G5"/>
    <mergeCell ref="J5:M5"/>
    <mergeCell ref="J6:L6"/>
    <mergeCell ref="M6:N6"/>
    <mergeCell ref="O6:P6"/>
    <mergeCell ref="B8:R8"/>
    <mergeCell ref="G9:K9"/>
    <mergeCell ref="L9:N9"/>
    <mergeCell ref="O9:R9"/>
    <mergeCell ref="G10:K10"/>
    <mergeCell ref="L10:N10"/>
    <mergeCell ref="O10:R10"/>
    <mergeCell ref="K11:R11"/>
    <mergeCell ref="K12:Q12"/>
    <mergeCell ref="K13:M13"/>
    <mergeCell ref="N13:N14"/>
    <mergeCell ref="C114:E114"/>
    <mergeCell ref="C115:E115"/>
    <mergeCell ref="F115:G115"/>
    <mergeCell ref="C116:E116"/>
    <mergeCell ref="F116:G116"/>
    <mergeCell ref="C111:E111"/>
    <mergeCell ref="F111:G111"/>
    <mergeCell ref="C112:E112"/>
    <mergeCell ref="F112:G112"/>
    <mergeCell ref="C113:E113"/>
    <mergeCell ref="F113:G113"/>
    <mergeCell ref="F114:G114"/>
    <mergeCell ref="C42:E42"/>
    <mergeCell ref="F42:G42"/>
    <mergeCell ref="F43:G43"/>
    <mergeCell ref="C43:E43"/>
    <mergeCell ref="C44:E44"/>
    <mergeCell ref="F44:G44"/>
    <mergeCell ref="C45:E45"/>
    <mergeCell ref="F45:G45"/>
    <mergeCell ref="C46:E46"/>
    <mergeCell ref="F46:G46"/>
    <mergeCell ref="C37:E37"/>
    <mergeCell ref="F37:G37"/>
    <mergeCell ref="C38:E38"/>
    <mergeCell ref="F38:G38"/>
    <mergeCell ref="C39:E39"/>
    <mergeCell ref="F39:G39"/>
    <mergeCell ref="C40:E40"/>
    <mergeCell ref="F40:G40"/>
    <mergeCell ref="C41:E41"/>
    <mergeCell ref="F41:G41"/>
    <mergeCell ref="C110:E110"/>
    <mergeCell ref="F110:G110"/>
    <mergeCell ref="C26:E26"/>
    <mergeCell ref="F26:G26"/>
    <mergeCell ref="C27:E27"/>
    <mergeCell ref="F27:G27"/>
    <mergeCell ref="C28:E28"/>
    <mergeCell ref="F28:G28"/>
    <mergeCell ref="F29:G29"/>
    <mergeCell ref="C29:E29"/>
    <mergeCell ref="C30:E30"/>
    <mergeCell ref="F30:G30"/>
    <mergeCell ref="C31:E31"/>
    <mergeCell ref="F31:G31"/>
    <mergeCell ref="C32:E32"/>
    <mergeCell ref="F32:G32"/>
    <mergeCell ref="C33:E33"/>
    <mergeCell ref="F33:G33"/>
    <mergeCell ref="C34:E34"/>
    <mergeCell ref="F34:G34"/>
    <mergeCell ref="C35:E35"/>
    <mergeCell ref="F35:G35"/>
    <mergeCell ref="F36:G36"/>
    <mergeCell ref="C36:E36"/>
    <mergeCell ref="C105:E105"/>
    <mergeCell ref="F105:G105"/>
    <mergeCell ref="C106:E106"/>
    <mergeCell ref="F106:G106"/>
    <mergeCell ref="F107:G107"/>
    <mergeCell ref="C107:E107"/>
    <mergeCell ref="C108:E108"/>
    <mergeCell ref="F108:G108"/>
    <mergeCell ref="C109:E109"/>
    <mergeCell ref="F109:G109"/>
    <mergeCell ref="F100:G100"/>
    <mergeCell ref="C100:E100"/>
    <mergeCell ref="C101:E101"/>
    <mergeCell ref="F101:G101"/>
    <mergeCell ref="C102:E102"/>
    <mergeCell ref="F102:G102"/>
    <mergeCell ref="C103:E103"/>
    <mergeCell ref="F103:G103"/>
    <mergeCell ref="C104:E104"/>
    <mergeCell ref="F104:G104"/>
    <mergeCell ref="C67:E67"/>
    <mergeCell ref="F67:G67"/>
    <mergeCell ref="C68:E68"/>
    <mergeCell ref="F68:G68"/>
    <mergeCell ref="C97:E97"/>
    <mergeCell ref="F97:G97"/>
    <mergeCell ref="C98:E98"/>
    <mergeCell ref="F98:G98"/>
    <mergeCell ref="C99:E99"/>
    <mergeCell ref="F99:G99"/>
    <mergeCell ref="F72:G72"/>
    <mergeCell ref="C72:E72"/>
    <mergeCell ref="C73:E73"/>
    <mergeCell ref="F73:G73"/>
    <mergeCell ref="C74:E74"/>
    <mergeCell ref="F74:G74"/>
    <mergeCell ref="C75:E75"/>
    <mergeCell ref="F75:G75"/>
    <mergeCell ref="C76:E76"/>
    <mergeCell ref="F76:G76"/>
    <mergeCell ref="C77:E77"/>
    <mergeCell ref="F77:G77"/>
    <mergeCell ref="C78:E78"/>
    <mergeCell ref="F78:G78"/>
    <mergeCell ref="C61:E61"/>
    <mergeCell ref="F61:G61"/>
    <mergeCell ref="C62:E62"/>
    <mergeCell ref="F62:G62"/>
    <mergeCell ref="C63:E63"/>
    <mergeCell ref="F63:G63"/>
    <mergeCell ref="F64:G64"/>
    <mergeCell ref="C64:E64"/>
    <mergeCell ref="C65:E65"/>
    <mergeCell ref="F65:G65"/>
  </mergeCells>
  <dataValidations count="1">
    <dataValidation type="list" allowBlank="1" showErrorMessage="1" sqref="J16:J65 J67:J116" xr:uid="{00000000-0002-0000-0300-000000000000}">
      <formula1>"M,F"</formula1>
    </dataValidation>
  </dataValidations>
  <pageMargins left="0.7" right="0.7" top="0.75" bottom="0.75" header="0" footer="0"/>
  <pageSetup paperSize="9"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outlinePr summaryBelow="0" summaryRight="0"/>
    <pageSetUpPr fitToPage="1"/>
  </sheetPr>
  <dimension ref="A1:AC1000"/>
  <sheetViews>
    <sheetView showGridLines="0" workbookViewId="0"/>
  </sheetViews>
  <sheetFormatPr defaultColWidth="12.6328125" defaultRowHeight="15" customHeight="1" x14ac:dyDescent="0.25"/>
  <cols>
    <col min="1" max="2" width="3.90625" customWidth="1"/>
    <col min="3" max="3" width="13.08984375" customWidth="1"/>
    <col min="4" max="5" width="12.6328125" customWidth="1"/>
    <col min="6" max="6" width="16.26953125" customWidth="1"/>
    <col min="7" max="7" width="19.453125" customWidth="1"/>
    <col min="8" max="8" width="12.6328125" customWidth="1"/>
    <col min="9" max="10" width="5.08984375" customWidth="1"/>
    <col min="11" max="11" width="13.90625" customWidth="1"/>
    <col min="12" max="13" width="13.7265625" customWidth="1"/>
    <col min="14" max="14" width="12.7265625" customWidth="1"/>
    <col min="15" max="15" width="11.36328125" customWidth="1"/>
    <col min="16" max="16" width="13.453125" customWidth="1"/>
    <col min="17" max="18" width="9.453125" customWidth="1"/>
    <col min="19" max="19" width="3.90625" customWidth="1"/>
    <col min="20" max="29" width="12.6328125" customWidth="1"/>
  </cols>
  <sheetData>
    <row r="1" spans="1:29" ht="15.75" customHeight="1" x14ac:dyDescent="0.25">
      <c r="A1" s="265" t="s">
        <v>1</v>
      </c>
      <c r="B1" s="207"/>
      <c r="C1" s="207"/>
      <c r="D1" s="207"/>
      <c r="E1" s="207"/>
      <c r="F1" s="207"/>
      <c r="G1" s="207"/>
      <c r="H1" s="207"/>
      <c r="I1" s="207"/>
      <c r="J1" s="207"/>
      <c r="K1" s="207"/>
      <c r="L1" s="207"/>
      <c r="M1" s="207"/>
      <c r="N1" s="207"/>
      <c r="O1" s="207"/>
      <c r="P1" s="207"/>
      <c r="Q1" s="207"/>
      <c r="R1" s="207"/>
      <c r="S1" s="207"/>
      <c r="T1" s="2"/>
      <c r="U1" s="2"/>
      <c r="V1" s="2"/>
      <c r="W1" s="2"/>
      <c r="X1" s="2"/>
      <c r="Y1" s="2"/>
      <c r="Z1" s="2"/>
      <c r="AA1" s="2"/>
      <c r="AB1" s="2"/>
      <c r="AC1" s="2"/>
    </row>
    <row r="2" spans="1:29" ht="15.75" customHeight="1" x14ac:dyDescent="0.25">
      <c r="A2" s="207"/>
      <c r="B2" s="207"/>
      <c r="C2" s="207"/>
      <c r="D2" s="207"/>
      <c r="E2" s="207"/>
      <c r="F2" s="207"/>
      <c r="G2" s="207"/>
      <c r="H2" s="207"/>
      <c r="I2" s="207"/>
      <c r="J2" s="207"/>
      <c r="K2" s="207"/>
      <c r="L2" s="207"/>
      <c r="M2" s="207"/>
      <c r="N2" s="207"/>
      <c r="O2" s="207"/>
      <c r="P2" s="207"/>
      <c r="Q2" s="207"/>
      <c r="R2" s="207"/>
      <c r="S2" s="207"/>
      <c r="T2" s="2"/>
      <c r="U2" s="2"/>
      <c r="V2" s="2"/>
      <c r="W2" s="2"/>
      <c r="X2" s="2"/>
      <c r="Y2" s="2"/>
      <c r="Z2" s="2"/>
      <c r="AA2" s="2"/>
      <c r="AB2" s="2"/>
      <c r="AC2" s="2"/>
    </row>
    <row r="3" spans="1:29" ht="15.75" customHeight="1" x14ac:dyDescent="0.25">
      <c r="A3" s="207"/>
      <c r="B3" s="207"/>
      <c r="C3" s="207"/>
      <c r="D3" s="207"/>
      <c r="E3" s="207"/>
      <c r="F3" s="207"/>
      <c r="G3" s="207"/>
      <c r="H3" s="207"/>
      <c r="I3" s="207"/>
      <c r="J3" s="207"/>
      <c r="K3" s="207"/>
      <c r="L3" s="207"/>
      <c r="M3" s="207"/>
      <c r="N3" s="207"/>
      <c r="O3" s="207"/>
      <c r="P3" s="207"/>
      <c r="Q3" s="207"/>
      <c r="R3" s="207"/>
      <c r="S3" s="207"/>
      <c r="T3" s="2"/>
      <c r="U3" s="2"/>
      <c r="V3" s="2"/>
      <c r="W3" s="2"/>
      <c r="X3" s="2"/>
      <c r="Y3" s="2"/>
      <c r="Z3" s="2"/>
      <c r="AA3" s="2"/>
      <c r="AB3" s="2"/>
      <c r="AC3" s="2"/>
    </row>
    <row r="4" spans="1:29" ht="15.75" customHeight="1" x14ac:dyDescent="0.25">
      <c r="A4" s="207"/>
      <c r="B4" s="207"/>
      <c r="C4" s="207"/>
      <c r="D4" s="207"/>
      <c r="E4" s="207"/>
      <c r="F4" s="207"/>
      <c r="G4" s="207"/>
      <c r="H4" s="207"/>
      <c r="I4" s="207"/>
      <c r="J4" s="207"/>
      <c r="K4" s="207"/>
      <c r="L4" s="207"/>
      <c r="M4" s="207"/>
      <c r="N4" s="207"/>
      <c r="O4" s="207"/>
      <c r="P4" s="207"/>
      <c r="Q4" s="207"/>
      <c r="R4" s="207"/>
      <c r="S4" s="207"/>
      <c r="T4" s="3"/>
      <c r="U4" s="3"/>
      <c r="V4" s="3"/>
      <c r="W4" s="3"/>
      <c r="X4" s="3"/>
      <c r="Y4" s="3"/>
      <c r="Z4" s="3"/>
      <c r="AA4" s="3"/>
      <c r="AB4" s="3"/>
      <c r="AC4" s="3"/>
    </row>
    <row r="5" spans="1:29" ht="15.75" customHeight="1" x14ac:dyDescent="0.35">
      <c r="A5" s="4"/>
      <c r="B5" s="5"/>
      <c r="C5" s="6"/>
      <c r="D5" s="7" t="s">
        <v>4</v>
      </c>
      <c r="E5" s="255" t="str">
        <f>IF('INPUT DATA'!F10="","",'INPUT DATA'!F10)</f>
        <v/>
      </c>
      <c r="F5" s="256"/>
      <c r="G5" s="257"/>
      <c r="H5" s="10"/>
      <c r="I5" s="7" t="s">
        <v>5</v>
      </c>
      <c r="J5" s="255" t="str">
        <f>IF('INPUT DATA'!F11="","",'INPUT DATA'!F11)</f>
        <v/>
      </c>
      <c r="K5" s="256"/>
      <c r="L5" s="256"/>
      <c r="M5" s="257"/>
      <c r="N5" s="1"/>
      <c r="O5" s="12"/>
      <c r="P5" s="10"/>
      <c r="Q5" s="10"/>
      <c r="R5" s="10"/>
      <c r="S5" s="4"/>
      <c r="T5" s="4"/>
      <c r="U5" s="4"/>
      <c r="V5" s="4"/>
      <c r="W5" s="4"/>
      <c r="X5" s="4"/>
      <c r="Y5" s="4"/>
      <c r="Z5" s="4"/>
      <c r="AA5" s="4"/>
      <c r="AB5" s="4"/>
      <c r="AC5" s="4"/>
    </row>
    <row r="6" spans="1:29" ht="15.75" customHeight="1" x14ac:dyDescent="0.35">
      <c r="A6" s="4"/>
      <c r="B6" s="5"/>
      <c r="C6" s="14"/>
      <c r="D6" s="7" t="s">
        <v>7</v>
      </c>
      <c r="E6" s="255" t="str">
        <f>IF('INPUT DATA'!F16="","",'INPUT DATA'!F16)</f>
        <v/>
      </c>
      <c r="F6" s="256"/>
      <c r="G6" s="257"/>
      <c r="H6" s="10"/>
      <c r="I6" s="7" t="s">
        <v>8</v>
      </c>
      <c r="J6" s="266" t="str">
        <f>IF('INPUT DATA'!F15="","",'INPUT DATA'!F15)</f>
        <v/>
      </c>
      <c r="K6" s="256"/>
      <c r="L6" s="257"/>
      <c r="M6" s="267" t="s">
        <v>10</v>
      </c>
      <c r="N6" s="207"/>
      <c r="O6" s="266" t="str">
        <f>IF('INPUT DATA'!F18="","",'INPUT DATA'!F18)</f>
        <v/>
      </c>
      <c r="P6" s="257"/>
      <c r="Q6" s="24"/>
      <c r="R6" s="32" t="str">
        <f>IF('INPUT DATA'!F18="","",'INPUT DATA'!F18)</f>
        <v/>
      </c>
      <c r="S6" s="4"/>
      <c r="T6" s="4"/>
      <c r="U6" s="4"/>
      <c r="V6" s="4"/>
      <c r="W6" s="4"/>
      <c r="X6" s="4"/>
      <c r="Y6" s="4"/>
      <c r="Z6" s="4"/>
      <c r="AA6" s="4"/>
      <c r="AB6" s="4"/>
      <c r="AC6" s="4"/>
    </row>
    <row r="7" spans="1:29" ht="15.75" customHeight="1" x14ac:dyDescent="0.25">
      <c r="A7" s="3"/>
      <c r="B7" s="20"/>
      <c r="C7" s="21"/>
      <c r="D7" s="21"/>
      <c r="E7" s="3"/>
      <c r="F7" s="3"/>
      <c r="G7" s="22"/>
      <c r="H7" s="19"/>
      <c r="I7" s="3"/>
      <c r="J7" s="3"/>
      <c r="K7" s="3"/>
      <c r="L7" s="21"/>
      <c r="M7" s="21"/>
      <c r="N7" s="3"/>
      <c r="O7" s="3"/>
      <c r="P7" s="21"/>
      <c r="Q7" s="21"/>
      <c r="R7" s="21"/>
      <c r="S7" s="3"/>
      <c r="T7" s="3"/>
      <c r="U7" s="3"/>
      <c r="V7" s="3"/>
      <c r="W7" s="3"/>
      <c r="X7" s="3"/>
      <c r="Y7" s="3"/>
      <c r="Z7" s="3"/>
      <c r="AA7" s="3"/>
      <c r="AB7" s="3"/>
      <c r="AC7" s="3"/>
    </row>
    <row r="8" spans="1:29" ht="15.75" customHeight="1" x14ac:dyDescent="0.25">
      <c r="A8" s="3"/>
      <c r="B8" s="268"/>
      <c r="C8" s="256"/>
      <c r="D8" s="256"/>
      <c r="E8" s="256"/>
      <c r="F8" s="256"/>
      <c r="G8" s="256"/>
      <c r="H8" s="256"/>
      <c r="I8" s="256"/>
      <c r="J8" s="256"/>
      <c r="K8" s="256"/>
      <c r="L8" s="256"/>
      <c r="M8" s="256"/>
      <c r="N8" s="256"/>
      <c r="O8" s="256"/>
      <c r="P8" s="256"/>
      <c r="Q8" s="256"/>
      <c r="R8" s="257"/>
      <c r="S8" s="3"/>
      <c r="T8" s="3"/>
      <c r="U8" s="3"/>
      <c r="V8" s="3"/>
      <c r="W8" s="3"/>
      <c r="X8" s="3"/>
      <c r="Y8" s="3"/>
      <c r="Z8" s="3"/>
      <c r="AA8" s="3"/>
      <c r="AB8" s="3"/>
      <c r="AC8" s="3"/>
    </row>
    <row r="9" spans="1:29" ht="15.75" customHeight="1" x14ac:dyDescent="0.3">
      <c r="A9" s="2"/>
      <c r="B9" s="258" t="s">
        <v>14</v>
      </c>
      <c r="C9" s="207"/>
      <c r="D9" s="207"/>
      <c r="E9" s="234"/>
      <c r="F9" s="31" t="s">
        <v>15</v>
      </c>
      <c r="G9" s="269" t="str">
        <f>IF('INPUT DATA'!F27="","",'INPUT DATA'!F27)</f>
        <v/>
      </c>
      <c r="H9" s="236"/>
      <c r="I9" s="236"/>
      <c r="J9" s="236"/>
      <c r="K9" s="237"/>
      <c r="L9" s="270" t="s">
        <v>16</v>
      </c>
      <c r="M9" s="256"/>
      <c r="N9" s="257"/>
      <c r="O9" s="271" t="str">
        <f>IF('INPUT DATA'!F29="","",'INPUT DATA'!F29)</f>
        <v/>
      </c>
      <c r="P9" s="256"/>
      <c r="Q9" s="256"/>
      <c r="R9" s="257"/>
      <c r="S9" s="2"/>
      <c r="T9" s="2"/>
      <c r="U9" s="2"/>
      <c r="V9" s="2"/>
      <c r="W9" s="2"/>
      <c r="X9" s="2"/>
      <c r="Y9" s="2"/>
      <c r="Z9" s="2"/>
      <c r="AA9" s="2"/>
      <c r="AB9" s="2"/>
      <c r="AC9" s="2"/>
    </row>
    <row r="10" spans="1:29" ht="15.75" customHeight="1" x14ac:dyDescent="0.25">
      <c r="A10" s="2"/>
      <c r="B10" s="233"/>
      <c r="C10" s="207"/>
      <c r="D10" s="207"/>
      <c r="E10" s="234"/>
      <c r="F10" s="33" t="s">
        <v>18</v>
      </c>
      <c r="G10" s="272" t="str">
        <f>IF('INPUT DATA'!F28="","",'INPUT DATA'!F28)</f>
        <v/>
      </c>
      <c r="H10" s="207"/>
      <c r="I10" s="207"/>
      <c r="J10" s="207"/>
      <c r="K10" s="234"/>
      <c r="L10" s="273" t="s">
        <v>19</v>
      </c>
      <c r="M10" s="213"/>
      <c r="N10" s="214"/>
      <c r="O10" s="274" t="str">
        <f>IF('INPUT DATA'!F26="","",'INPUT DATA'!F26)</f>
        <v/>
      </c>
      <c r="P10" s="213"/>
      <c r="Q10" s="213"/>
      <c r="R10" s="214"/>
      <c r="S10" s="2"/>
      <c r="T10" s="2"/>
      <c r="U10" s="2"/>
      <c r="V10" s="2"/>
      <c r="W10" s="2"/>
      <c r="X10" s="2"/>
      <c r="Y10" s="2"/>
      <c r="Z10" s="2"/>
      <c r="AA10" s="2"/>
      <c r="AB10" s="2"/>
      <c r="AC10" s="2"/>
    </row>
    <row r="11" spans="1:29" ht="14.25" customHeight="1" x14ac:dyDescent="0.25">
      <c r="A11" s="3"/>
      <c r="B11" s="259" t="s">
        <v>20</v>
      </c>
      <c r="C11" s="213"/>
      <c r="D11" s="213"/>
      <c r="E11" s="213"/>
      <c r="F11" s="260" t="s">
        <v>11</v>
      </c>
      <c r="G11" s="214"/>
      <c r="H11" s="261" t="s">
        <v>21</v>
      </c>
      <c r="I11" s="264" t="s">
        <v>23</v>
      </c>
      <c r="J11" s="261" t="s">
        <v>24</v>
      </c>
      <c r="K11" s="275" t="s">
        <v>25</v>
      </c>
      <c r="L11" s="256"/>
      <c r="M11" s="256"/>
      <c r="N11" s="256"/>
      <c r="O11" s="256"/>
      <c r="P11" s="256"/>
      <c r="Q11" s="256"/>
      <c r="R11" s="257"/>
      <c r="S11" s="12"/>
      <c r="T11" s="3"/>
      <c r="U11" s="3"/>
      <c r="V11" s="3"/>
      <c r="W11" s="3"/>
      <c r="X11" s="3"/>
      <c r="Y11" s="3"/>
      <c r="Z11" s="3"/>
      <c r="AA11" s="3"/>
      <c r="AB11" s="3"/>
      <c r="AC11" s="3"/>
    </row>
    <row r="12" spans="1:29" ht="24.75" customHeight="1" x14ac:dyDescent="0.25">
      <c r="A12" s="3"/>
      <c r="B12" s="233"/>
      <c r="C12" s="207"/>
      <c r="D12" s="207"/>
      <c r="E12" s="207"/>
      <c r="F12" s="233"/>
      <c r="G12" s="234"/>
      <c r="H12" s="262"/>
      <c r="I12" s="234"/>
      <c r="J12" s="262"/>
      <c r="K12" s="276" t="s">
        <v>26</v>
      </c>
      <c r="L12" s="256"/>
      <c r="M12" s="256"/>
      <c r="N12" s="256"/>
      <c r="O12" s="256"/>
      <c r="P12" s="256"/>
      <c r="Q12" s="257"/>
      <c r="R12" s="34" t="s">
        <v>27</v>
      </c>
      <c r="S12" s="12"/>
      <c r="T12" s="3"/>
      <c r="U12" s="3"/>
      <c r="V12" s="3"/>
      <c r="W12" s="3"/>
      <c r="X12" s="3"/>
      <c r="Y12" s="3"/>
      <c r="Z12" s="3"/>
      <c r="AA12" s="3"/>
      <c r="AB12" s="3"/>
      <c r="AC12" s="3"/>
    </row>
    <row r="13" spans="1:29" ht="24.75" customHeight="1" x14ac:dyDescent="0.25">
      <c r="A13" s="3"/>
      <c r="B13" s="233"/>
      <c r="C13" s="207"/>
      <c r="D13" s="207"/>
      <c r="E13" s="207"/>
      <c r="F13" s="233"/>
      <c r="G13" s="234"/>
      <c r="H13" s="262"/>
      <c r="I13" s="234"/>
      <c r="J13" s="262"/>
      <c r="K13" s="276" t="s">
        <v>28</v>
      </c>
      <c r="L13" s="256"/>
      <c r="M13" s="257"/>
      <c r="N13" s="277" t="s">
        <v>29</v>
      </c>
      <c r="O13" s="277" t="s">
        <v>30</v>
      </c>
      <c r="P13" s="277" t="s">
        <v>31</v>
      </c>
      <c r="Q13" s="278" t="s">
        <v>32</v>
      </c>
      <c r="R13" s="277" t="s">
        <v>37</v>
      </c>
      <c r="S13" s="12"/>
      <c r="T13" s="3"/>
      <c r="U13" s="3"/>
      <c r="V13" s="3"/>
      <c r="W13" s="3"/>
      <c r="X13" s="3"/>
      <c r="Y13" s="3"/>
      <c r="Z13" s="3"/>
      <c r="AA13" s="3"/>
      <c r="AB13" s="3"/>
      <c r="AC13" s="3"/>
    </row>
    <row r="14" spans="1:29" ht="24.75" customHeight="1" x14ac:dyDescent="0.25">
      <c r="A14" s="3"/>
      <c r="B14" s="233"/>
      <c r="C14" s="207"/>
      <c r="D14" s="207"/>
      <c r="E14" s="207"/>
      <c r="F14" s="235"/>
      <c r="G14" s="237"/>
      <c r="H14" s="263"/>
      <c r="I14" s="237"/>
      <c r="J14" s="263"/>
      <c r="K14" s="35" t="s">
        <v>34</v>
      </c>
      <c r="L14" s="37" t="s">
        <v>35</v>
      </c>
      <c r="M14" s="37" t="s">
        <v>36</v>
      </c>
      <c r="N14" s="263"/>
      <c r="O14" s="263"/>
      <c r="P14" s="263"/>
      <c r="Q14" s="263"/>
      <c r="R14" s="263"/>
      <c r="S14" s="12"/>
      <c r="T14" s="3"/>
      <c r="U14" s="3"/>
      <c r="V14" s="3"/>
      <c r="W14" s="3"/>
      <c r="X14" s="3"/>
      <c r="Y14" s="3"/>
      <c r="Z14" s="3"/>
      <c r="AA14" s="3"/>
      <c r="AB14" s="3"/>
      <c r="AC14" s="3"/>
    </row>
    <row r="15" spans="1:29" ht="15.75" customHeight="1" x14ac:dyDescent="0.25">
      <c r="A15" s="4"/>
      <c r="B15" s="279" t="s">
        <v>9</v>
      </c>
      <c r="C15" s="256"/>
      <c r="D15" s="256"/>
      <c r="E15" s="256"/>
      <c r="F15" s="256"/>
      <c r="G15" s="256"/>
      <c r="H15" s="256"/>
      <c r="I15" s="256"/>
      <c r="J15" s="256"/>
      <c r="K15" s="256"/>
      <c r="L15" s="256"/>
      <c r="M15" s="256"/>
      <c r="N15" s="256"/>
      <c r="O15" s="256"/>
      <c r="P15" s="256"/>
      <c r="Q15" s="256"/>
      <c r="R15" s="257"/>
      <c r="S15" s="4"/>
      <c r="T15" s="4"/>
      <c r="U15" s="4"/>
      <c r="V15" s="4"/>
      <c r="W15" s="4"/>
      <c r="X15" s="4"/>
      <c r="Y15" s="4"/>
      <c r="Z15" s="4"/>
      <c r="AA15" s="4"/>
      <c r="AB15" s="4"/>
      <c r="AC15" s="4"/>
    </row>
    <row r="16" spans="1:29" ht="15.75" customHeight="1" x14ac:dyDescent="0.25">
      <c r="A16" s="4"/>
      <c r="B16" s="40">
        <v>1</v>
      </c>
      <c r="C16" s="239" t="str">
        <f>IF('INPUT DATA'!L11="","",'INPUT DATA'!L11)</f>
        <v/>
      </c>
      <c r="D16" s="240"/>
      <c r="E16" s="241"/>
      <c r="F16" s="242" t="str">
        <f>IF('INPUT DATA'!M11="","",'INPUT DATA'!M11)</f>
        <v/>
      </c>
      <c r="G16" s="241"/>
      <c r="H16" s="43" t="str">
        <f>IF('INPUT DATA'!N11="","",'INPUT DATA'!N11)</f>
        <v/>
      </c>
      <c r="I16" s="49" t="str">
        <f t="shared" ref="I16:I65" ca="1" si="0">IF(H16="","",DATEDIF(H16,TODAY(),"Y"))</f>
        <v/>
      </c>
      <c r="J16" s="44" t="s">
        <v>38</v>
      </c>
      <c r="K16" s="46"/>
      <c r="L16" s="47"/>
      <c r="M16" s="47"/>
      <c r="N16" s="47"/>
      <c r="O16" s="47"/>
      <c r="P16" s="47"/>
      <c r="Q16" s="47"/>
      <c r="R16" s="47"/>
      <c r="S16" s="4"/>
      <c r="T16" s="4"/>
      <c r="U16" s="4"/>
      <c r="V16" s="4"/>
      <c r="W16" s="4"/>
      <c r="X16" s="4"/>
      <c r="Y16" s="4"/>
      <c r="Z16" s="4"/>
      <c r="AA16" s="4"/>
      <c r="AB16" s="4"/>
      <c r="AC16" s="4"/>
    </row>
    <row r="17" spans="1:29" ht="15.75" customHeight="1" x14ac:dyDescent="0.25">
      <c r="A17" s="4"/>
      <c r="B17" s="48">
        <v>2</v>
      </c>
      <c r="C17" s="239" t="str">
        <f>IF('INPUT DATA'!L12="","",'INPUT DATA'!L12)</f>
        <v/>
      </c>
      <c r="D17" s="240"/>
      <c r="E17" s="241"/>
      <c r="F17" s="242" t="str">
        <f>IF('INPUT DATA'!M12="","",'INPUT DATA'!M12)</f>
        <v/>
      </c>
      <c r="G17" s="241"/>
      <c r="H17" s="50" t="str">
        <f>IF('INPUT DATA'!N12="","",'INPUT DATA'!N12)</f>
        <v/>
      </c>
      <c r="I17" s="55" t="str">
        <f t="shared" ca="1" si="0"/>
        <v/>
      </c>
      <c r="J17" s="51" t="s">
        <v>38</v>
      </c>
      <c r="K17" s="53"/>
      <c r="L17" s="54"/>
      <c r="M17" s="54"/>
      <c r="N17" s="54"/>
      <c r="O17" s="54"/>
      <c r="P17" s="54"/>
      <c r="Q17" s="54"/>
      <c r="R17" s="54"/>
      <c r="S17" s="4"/>
      <c r="T17" s="4"/>
      <c r="U17" s="4"/>
      <c r="V17" s="4"/>
      <c r="W17" s="4"/>
      <c r="X17" s="4"/>
      <c r="Y17" s="4"/>
      <c r="Z17" s="4"/>
      <c r="AA17" s="4"/>
      <c r="AB17" s="4"/>
      <c r="AC17" s="4"/>
    </row>
    <row r="18" spans="1:29" ht="15.75" customHeight="1" x14ac:dyDescent="0.25">
      <c r="A18" s="4"/>
      <c r="B18" s="48">
        <v>3</v>
      </c>
      <c r="C18" s="239" t="str">
        <f>IF('INPUT DATA'!L13="","",'INPUT DATA'!L13)</f>
        <v/>
      </c>
      <c r="D18" s="240"/>
      <c r="E18" s="241"/>
      <c r="F18" s="242" t="str">
        <f>IF('INPUT DATA'!M13="","",'INPUT DATA'!M13)</f>
        <v/>
      </c>
      <c r="G18" s="241"/>
      <c r="H18" s="50" t="str">
        <f>IF('INPUT DATA'!N13="","",'INPUT DATA'!N13)</f>
        <v/>
      </c>
      <c r="I18" s="55" t="str">
        <f t="shared" ca="1" si="0"/>
        <v/>
      </c>
      <c r="J18" s="51" t="s">
        <v>38</v>
      </c>
      <c r="K18" s="53"/>
      <c r="L18" s="54"/>
      <c r="M18" s="54"/>
      <c r="N18" s="54"/>
      <c r="O18" s="54"/>
      <c r="P18" s="54"/>
      <c r="Q18" s="54"/>
      <c r="R18" s="54"/>
      <c r="S18" s="4"/>
      <c r="T18" s="4"/>
      <c r="U18" s="4"/>
      <c r="V18" s="4"/>
      <c r="W18" s="4"/>
      <c r="X18" s="4"/>
      <c r="Y18" s="4"/>
      <c r="Z18" s="4"/>
      <c r="AA18" s="4"/>
      <c r="AB18" s="4"/>
      <c r="AC18" s="4"/>
    </row>
    <row r="19" spans="1:29" ht="15.75" customHeight="1" x14ac:dyDescent="0.25">
      <c r="A19" s="4"/>
      <c r="B19" s="48">
        <v>4</v>
      </c>
      <c r="C19" s="239" t="str">
        <f>IF('INPUT DATA'!L14="","",'INPUT DATA'!L14)</f>
        <v/>
      </c>
      <c r="D19" s="240"/>
      <c r="E19" s="241"/>
      <c r="F19" s="242" t="str">
        <f>IF('INPUT DATA'!M14="","",'INPUT DATA'!M14)</f>
        <v/>
      </c>
      <c r="G19" s="241"/>
      <c r="H19" s="50" t="str">
        <f>IF('INPUT DATA'!N14="","",'INPUT DATA'!N14)</f>
        <v/>
      </c>
      <c r="I19" s="55" t="str">
        <f t="shared" ca="1" si="0"/>
        <v/>
      </c>
      <c r="J19" s="51"/>
      <c r="K19" s="53"/>
      <c r="L19" s="54"/>
      <c r="M19" s="54"/>
      <c r="N19" s="54"/>
      <c r="O19" s="54"/>
      <c r="P19" s="54"/>
      <c r="Q19" s="54"/>
      <c r="R19" s="54"/>
      <c r="S19" s="4"/>
      <c r="T19" s="4"/>
      <c r="U19" s="4"/>
      <c r="V19" s="4"/>
      <c r="W19" s="4"/>
      <c r="X19" s="4"/>
      <c r="Y19" s="4"/>
      <c r="Z19" s="4"/>
      <c r="AA19" s="4"/>
      <c r="AB19" s="4"/>
      <c r="AC19" s="4"/>
    </row>
    <row r="20" spans="1:29" ht="15.75" customHeight="1" x14ac:dyDescent="0.25">
      <c r="A20" s="4"/>
      <c r="B20" s="48">
        <v>5</v>
      </c>
      <c r="C20" s="239" t="str">
        <f>IF('INPUT DATA'!L15="","",'INPUT DATA'!L15)</f>
        <v/>
      </c>
      <c r="D20" s="240"/>
      <c r="E20" s="241"/>
      <c r="F20" s="242" t="str">
        <f>IF('INPUT DATA'!M15="","",'INPUT DATA'!M15)</f>
        <v/>
      </c>
      <c r="G20" s="241"/>
      <c r="H20" s="50" t="str">
        <f>IF('INPUT DATA'!N15="","",'INPUT DATA'!N15)</f>
        <v/>
      </c>
      <c r="I20" s="55" t="str">
        <f t="shared" ca="1" si="0"/>
        <v/>
      </c>
      <c r="J20" s="51"/>
      <c r="K20" s="53"/>
      <c r="L20" s="54"/>
      <c r="M20" s="54"/>
      <c r="N20" s="54"/>
      <c r="O20" s="54"/>
      <c r="P20" s="54"/>
      <c r="Q20" s="54"/>
      <c r="R20" s="54"/>
      <c r="S20" s="4"/>
      <c r="T20" s="4"/>
      <c r="U20" s="4"/>
      <c r="V20" s="4"/>
      <c r="W20" s="4"/>
      <c r="X20" s="4"/>
      <c r="Y20" s="4"/>
      <c r="Z20" s="4"/>
      <c r="AA20" s="4"/>
      <c r="AB20" s="4"/>
      <c r="AC20" s="4"/>
    </row>
    <row r="21" spans="1:29" ht="15.75" customHeight="1" x14ac:dyDescent="0.25">
      <c r="A21" s="4"/>
      <c r="B21" s="48">
        <v>6</v>
      </c>
      <c r="C21" s="239" t="str">
        <f>IF('INPUT DATA'!L16="","",'INPUT DATA'!L16)</f>
        <v/>
      </c>
      <c r="D21" s="240"/>
      <c r="E21" s="241"/>
      <c r="F21" s="242" t="str">
        <f>IF('INPUT DATA'!M16="","",'INPUT DATA'!M16)</f>
        <v/>
      </c>
      <c r="G21" s="241"/>
      <c r="H21" s="50" t="str">
        <f>IF('INPUT DATA'!N16="","",'INPUT DATA'!N16)</f>
        <v/>
      </c>
      <c r="I21" s="55" t="str">
        <f t="shared" ca="1" si="0"/>
        <v/>
      </c>
      <c r="J21" s="51"/>
      <c r="K21" s="53"/>
      <c r="L21" s="54"/>
      <c r="M21" s="54"/>
      <c r="N21" s="54"/>
      <c r="O21" s="54"/>
      <c r="P21" s="54"/>
      <c r="Q21" s="54"/>
      <c r="R21" s="54"/>
      <c r="S21" s="4"/>
      <c r="T21" s="4"/>
      <c r="U21" s="4"/>
      <c r="V21" s="4"/>
      <c r="W21" s="4"/>
      <c r="X21" s="4"/>
      <c r="Y21" s="4"/>
      <c r="Z21" s="4"/>
      <c r="AA21" s="4"/>
      <c r="AB21" s="4"/>
      <c r="AC21" s="4"/>
    </row>
    <row r="22" spans="1:29" ht="15.75" customHeight="1" x14ac:dyDescent="0.25">
      <c r="A22" s="4"/>
      <c r="B22" s="48">
        <v>7</v>
      </c>
      <c r="C22" s="239" t="str">
        <f>IF('INPUT DATA'!L17="","",'INPUT DATA'!L17)</f>
        <v/>
      </c>
      <c r="D22" s="240"/>
      <c r="E22" s="241"/>
      <c r="F22" s="242" t="str">
        <f>IF('INPUT DATA'!M17="","",'INPUT DATA'!M17)</f>
        <v/>
      </c>
      <c r="G22" s="241"/>
      <c r="H22" s="50" t="str">
        <f>IF('INPUT DATA'!N17="","",'INPUT DATA'!N17)</f>
        <v/>
      </c>
      <c r="I22" s="55" t="str">
        <f t="shared" ca="1" si="0"/>
        <v/>
      </c>
      <c r="J22" s="51"/>
      <c r="K22" s="53"/>
      <c r="L22" s="54"/>
      <c r="M22" s="54"/>
      <c r="N22" s="54"/>
      <c r="O22" s="54"/>
      <c r="P22" s="54"/>
      <c r="Q22" s="54"/>
      <c r="R22" s="54"/>
      <c r="S22" s="4"/>
      <c r="T22" s="4"/>
      <c r="U22" s="4"/>
      <c r="V22" s="4"/>
      <c r="W22" s="4"/>
      <c r="X22" s="4"/>
      <c r="Y22" s="4"/>
      <c r="Z22" s="4"/>
      <c r="AA22" s="4"/>
      <c r="AB22" s="4"/>
      <c r="AC22" s="4"/>
    </row>
    <row r="23" spans="1:29" ht="15.75" customHeight="1" x14ac:dyDescent="0.25">
      <c r="A23" s="4"/>
      <c r="B23" s="48">
        <v>8</v>
      </c>
      <c r="C23" s="239" t="str">
        <f>IF('INPUT DATA'!L18="","",'INPUT DATA'!L18)</f>
        <v/>
      </c>
      <c r="D23" s="240"/>
      <c r="E23" s="241"/>
      <c r="F23" s="242" t="str">
        <f>IF('INPUT DATA'!M18="","",'INPUT DATA'!M18)</f>
        <v/>
      </c>
      <c r="G23" s="241"/>
      <c r="H23" s="50" t="str">
        <f>IF('INPUT DATA'!N18="","",'INPUT DATA'!N18)</f>
        <v/>
      </c>
      <c r="I23" s="55" t="str">
        <f t="shared" ca="1" si="0"/>
        <v/>
      </c>
      <c r="J23" s="51"/>
      <c r="K23" s="53"/>
      <c r="L23" s="54"/>
      <c r="M23" s="54"/>
      <c r="N23" s="54"/>
      <c r="O23" s="54"/>
      <c r="P23" s="54"/>
      <c r="Q23" s="54"/>
      <c r="R23" s="54"/>
      <c r="S23" s="4"/>
      <c r="T23" s="4"/>
      <c r="U23" s="4"/>
      <c r="V23" s="4"/>
      <c r="W23" s="4"/>
      <c r="X23" s="4"/>
      <c r="Y23" s="4"/>
      <c r="Z23" s="4"/>
      <c r="AA23" s="4"/>
      <c r="AB23" s="4"/>
      <c r="AC23" s="4"/>
    </row>
    <row r="24" spans="1:29" ht="15.75" customHeight="1" x14ac:dyDescent="0.25">
      <c r="A24" s="4"/>
      <c r="B24" s="48">
        <v>9</v>
      </c>
      <c r="C24" s="239" t="str">
        <f>IF('INPUT DATA'!L19="","",'INPUT DATA'!L19)</f>
        <v/>
      </c>
      <c r="D24" s="240"/>
      <c r="E24" s="241"/>
      <c r="F24" s="242" t="str">
        <f>IF('INPUT DATA'!M19="","",'INPUT DATA'!M19)</f>
        <v/>
      </c>
      <c r="G24" s="241"/>
      <c r="H24" s="50" t="str">
        <f>IF('INPUT DATA'!N19="","",'INPUT DATA'!N19)</f>
        <v/>
      </c>
      <c r="I24" s="55" t="str">
        <f t="shared" ca="1" si="0"/>
        <v/>
      </c>
      <c r="J24" s="51"/>
      <c r="K24" s="53"/>
      <c r="L24" s="54"/>
      <c r="M24" s="54"/>
      <c r="N24" s="54"/>
      <c r="O24" s="54"/>
      <c r="P24" s="54"/>
      <c r="Q24" s="54"/>
      <c r="R24" s="54"/>
      <c r="S24" s="4"/>
      <c r="T24" s="4"/>
      <c r="U24" s="4"/>
      <c r="V24" s="4"/>
      <c r="W24" s="4"/>
      <c r="X24" s="4"/>
      <c r="Y24" s="4"/>
      <c r="Z24" s="4"/>
      <c r="AA24" s="4"/>
      <c r="AB24" s="4"/>
      <c r="AC24" s="4"/>
    </row>
    <row r="25" spans="1:29" ht="15.75" customHeight="1" x14ac:dyDescent="0.25">
      <c r="A25" s="4"/>
      <c r="B25" s="48">
        <v>10</v>
      </c>
      <c r="C25" s="239" t="str">
        <f>IF('INPUT DATA'!L20="","",'INPUT DATA'!L20)</f>
        <v/>
      </c>
      <c r="D25" s="240"/>
      <c r="E25" s="241"/>
      <c r="F25" s="242" t="str">
        <f>IF('INPUT DATA'!M20="","",'INPUT DATA'!M20)</f>
        <v/>
      </c>
      <c r="G25" s="241"/>
      <c r="H25" s="50" t="str">
        <f>IF('INPUT DATA'!N20="","",'INPUT DATA'!N20)</f>
        <v/>
      </c>
      <c r="I25" s="55" t="str">
        <f t="shared" ca="1" si="0"/>
        <v/>
      </c>
      <c r="J25" s="51"/>
      <c r="K25" s="53"/>
      <c r="L25" s="54"/>
      <c r="M25" s="54"/>
      <c r="N25" s="54"/>
      <c r="O25" s="54"/>
      <c r="P25" s="54"/>
      <c r="Q25" s="54"/>
      <c r="R25" s="54"/>
      <c r="S25" s="4"/>
      <c r="T25" s="4"/>
      <c r="U25" s="4"/>
      <c r="V25" s="4"/>
      <c r="W25" s="4"/>
      <c r="X25" s="4"/>
      <c r="Y25" s="4"/>
      <c r="Z25" s="4"/>
      <c r="AA25" s="4"/>
      <c r="AB25" s="4"/>
      <c r="AC25" s="4"/>
    </row>
    <row r="26" spans="1:29" ht="15.75" customHeight="1" x14ac:dyDescent="0.25">
      <c r="A26" s="4"/>
      <c r="B26" s="48">
        <v>11</v>
      </c>
      <c r="C26" s="239" t="str">
        <f>IF('INPUT DATA'!L21="","",'INPUT DATA'!L21)</f>
        <v/>
      </c>
      <c r="D26" s="240"/>
      <c r="E26" s="241"/>
      <c r="F26" s="242" t="str">
        <f>IF('INPUT DATA'!M21="","",'INPUT DATA'!M21)</f>
        <v/>
      </c>
      <c r="G26" s="241"/>
      <c r="H26" s="50" t="str">
        <f>IF('INPUT DATA'!N21="","",'INPUT DATA'!N21)</f>
        <v/>
      </c>
      <c r="I26" s="55" t="str">
        <f t="shared" ca="1" si="0"/>
        <v/>
      </c>
      <c r="J26" s="51"/>
      <c r="K26" s="53"/>
      <c r="L26" s="54"/>
      <c r="M26" s="54"/>
      <c r="N26" s="54"/>
      <c r="O26" s="54"/>
      <c r="P26" s="54"/>
      <c r="Q26" s="54"/>
      <c r="R26" s="54"/>
      <c r="S26" s="4"/>
      <c r="T26" s="4"/>
      <c r="U26" s="4"/>
      <c r="V26" s="4"/>
      <c r="W26" s="4"/>
      <c r="X26" s="4"/>
      <c r="Y26" s="4"/>
      <c r="Z26" s="4"/>
      <c r="AA26" s="4"/>
      <c r="AB26" s="4"/>
      <c r="AC26" s="4"/>
    </row>
    <row r="27" spans="1:29" ht="15.75" customHeight="1" x14ac:dyDescent="0.25">
      <c r="A27" s="4"/>
      <c r="B27" s="48">
        <v>12</v>
      </c>
      <c r="C27" s="239" t="str">
        <f>IF('INPUT DATA'!L22="","",'INPUT DATA'!L22)</f>
        <v/>
      </c>
      <c r="D27" s="240"/>
      <c r="E27" s="241"/>
      <c r="F27" s="242" t="str">
        <f>IF('INPUT DATA'!M22="","",'INPUT DATA'!M22)</f>
        <v/>
      </c>
      <c r="G27" s="241"/>
      <c r="H27" s="50" t="str">
        <f>IF('INPUT DATA'!N22="","",'INPUT DATA'!N22)</f>
        <v/>
      </c>
      <c r="I27" s="55" t="str">
        <f t="shared" ca="1" si="0"/>
        <v/>
      </c>
      <c r="J27" s="51"/>
      <c r="K27" s="53"/>
      <c r="L27" s="54"/>
      <c r="M27" s="54"/>
      <c r="N27" s="54"/>
      <c r="O27" s="54"/>
      <c r="P27" s="54"/>
      <c r="Q27" s="54"/>
      <c r="R27" s="54"/>
      <c r="S27" s="4"/>
      <c r="T27" s="4"/>
      <c r="U27" s="4"/>
      <c r="V27" s="4"/>
      <c r="W27" s="4"/>
      <c r="X27" s="4"/>
      <c r="Y27" s="4"/>
      <c r="Z27" s="4"/>
      <c r="AA27" s="4"/>
      <c r="AB27" s="4"/>
      <c r="AC27" s="4"/>
    </row>
    <row r="28" spans="1:29" ht="15.75" customHeight="1" x14ac:dyDescent="0.25">
      <c r="A28" s="4"/>
      <c r="B28" s="48">
        <v>13</v>
      </c>
      <c r="C28" s="239" t="str">
        <f>IF('INPUT DATA'!L23="","",'INPUT DATA'!L23)</f>
        <v/>
      </c>
      <c r="D28" s="240"/>
      <c r="E28" s="241"/>
      <c r="F28" s="242" t="str">
        <f>IF('INPUT DATA'!M23="","",'INPUT DATA'!M23)</f>
        <v/>
      </c>
      <c r="G28" s="241"/>
      <c r="H28" s="50" t="str">
        <f>IF('INPUT DATA'!N23="","",'INPUT DATA'!N23)</f>
        <v/>
      </c>
      <c r="I28" s="55" t="str">
        <f t="shared" ca="1" si="0"/>
        <v/>
      </c>
      <c r="J28" s="51"/>
      <c r="K28" s="53"/>
      <c r="L28" s="54"/>
      <c r="M28" s="54"/>
      <c r="N28" s="54"/>
      <c r="O28" s="54"/>
      <c r="P28" s="54"/>
      <c r="Q28" s="54"/>
      <c r="R28" s="54"/>
      <c r="S28" s="4"/>
      <c r="T28" s="4"/>
      <c r="U28" s="4"/>
      <c r="V28" s="4"/>
      <c r="W28" s="4"/>
      <c r="X28" s="4"/>
      <c r="Y28" s="4"/>
      <c r="Z28" s="4"/>
      <c r="AA28" s="4"/>
      <c r="AB28" s="4"/>
      <c r="AC28" s="4"/>
    </row>
    <row r="29" spans="1:29" ht="15.75" customHeight="1" x14ac:dyDescent="0.25">
      <c r="A29" s="4"/>
      <c r="B29" s="48">
        <v>14</v>
      </c>
      <c r="C29" s="239" t="str">
        <f>IF('INPUT DATA'!L24="","",'INPUT DATA'!L24)</f>
        <v/>
      </c>
      <c r="D29" s="240"/>
      <c r="E29" s="241"/>
      <c r="F29" s="242" t="str">
        <f>IF('INPUT DATA'!M24="","",'INPUT DATA'!M24)</f>
        <v/>
      </c>
      <c r="G29" s="241"/>
      <c r="H29" s="50" t="str">
        <f>IF('INPUT DATA'!N24="","",'INPUT DATA'!N24)</f>
        <v/>
      </c>
      <c r="I29" s="55" t="str">
        <f t="shared" ca="1" si="0"/>
        <v/>
      </c>
      <c r="J29" s="51"/>
      <c r="K29" s="53"/>
      <c r="L29" s="54"/>
      <c r="M29" s="54"/>
      <c r="N29" s="54"/>
      <c r="O29" s="54"/>
      <c r="P29" s="54"/>
      <c r="Q29" s="54"/>
      <c r="R29" s="54"/>
      <c r="S29" s="4"/>
      <c r="T29" s="4"/>
      <c r="U29" s="4"/>
      <c r="V29" s="4"/>
      <c r="W29" s="4"/>
      <c r="X29" s="4"/>
      <c r="Y29" s="4"/>
      <c r="Z29" s="4"/>
      <c r="AA29" s="4"/>
      <c r="AB29" s="4"/>
      <c r="AC29" s="4"/>
    </row>
    <row r="30" spans="1:29" ht="15.75" customHeight="1" x14ac:dyDescent="0.25">
      <c r="A30" s="4"/>
      <c r="B30" s="48">
        <v>15</v>
      </c>
      <c r="C30" s="239" t="str">
        <f>IF('INPUT DATA'!L25="","",'INPUT DATA'!L25)</f>
        <v/>
      </c>
      <c r="D30" s="240"/>
      <c r="E30" s="241"/>
      <c r="F30" s="242" t="str">
        <f>IF('INPUT DATA'!M25="","",'INPUT DATA'!M25)</f>
        <v/>
      </c>
      <c r="G30" s="241"/>
      <c r="H30" s="50" t="str">
        <f>IF('INPUT DATA'!N25="","",'INPUT DATA'!N25)</f>
        <v/>
      </c>
      <c r="I30" s="55" t="str">
        <f t="shared" ca="1" si="0"/>
        <v/>
      </c>
      <c r="J30" s="51"/>
      <c r="K30" s="53"/>
      <c r="L30" s="54"/>
      <c r="M30" s="54"/>
      <c r="N30" s="54"/>
      <c r="O30" s="54"/>
      <c r="P30" s="54"/>
      <c r="Q30" s="54"/>
      <c r="R30" s="54"/>
      <c r="S30" s="4"/>
      <c r="T30" s="4"/>
      <c r="U30" s="4"/>
      <c r="V30" s="4"/>
      <c r="W30" s="4"/>
      <c r="X30" s="4"/>
      <c r="Y30" s="4"/>
      <c r="Z30" s="4"/>
      <c r="AA30" s="4"/>
      <c r="AB30" s="4"/>
      <c r="AC30" s="4"/>
    </row>
    <row r="31" spans="1:29" ht="15.75" customHeight="1" x14ac:dyDescent="0.25">
      <c r="A31" s="4"/>
      <c r="B31" s="48">
        <v>16</v>
      </c>
      <c r="C31" s="239" t="str">
        <f>IF('INPUT DATA'!L26="","",'INPUT DATA'!L26)</f>
        <v/>
      </c>
      <c r="D31" s="240"/>
      <c r="E31" s="241"/>
      <c r="F31" s="242" t="str">
        <f>IF('INPUT DATA'!M26="","",'INPUT DATA'!M26)</f>
        <v/>
      </c>
      <c r="G31" s="241"/>
      <c r="H31" s="50" t="str">
        <f>IF('INPUT DATA'!N26="","",'INPUT DATA'!N26)</f>
        <v/>
      </c>
      <c r="I31" s="55" t="str">
        <f t="shared" ca="1" si="0"/>
        <v/>
      </c>
      <c r="J31" s="51"/>
      <c r="K31" s="53"/>
      <c r="L31" s="54"/>
      <c r="M31" s="54"/>
      <c r="N31" s="54"/>
      <c r="O31" s="54"/>
      <c r="P31" s="54"/>
      <c r="Q31" s="54"/>
      <c r="R31" s="54"/>
      <c r="S31" s="4"/>
      <c r="T31" s="4"/>
      <c r="U31" s="4"/>
      <c r="V31" s="4"/>
      <c r="W31" s="4"/>
      <c r="X31" s="4"/>
      <c r="Y31" s="4"/>
      <c r="Z31" s="4"/>
      <c r="AA31" s="4"/>
      <c r="AB31" s="4"/>
      <c r="AC31" s="4"/>
    </row>
    <row r="32" spans="1:29" ht="15.75" customHeight="1" x14ac:dyDescent="0.25">
      <c r="A32" s="4"/>
      <c r="B32" s="48">
        <v>17</v>
      </c>
      <c r="C32" s="239" t="str">
        <f>IF('INPUT DATA'!L27="","",'INPUT DATA'!L27)</f>
        <v/>
      </c>
      <c r="D32" s="240"/>
      <c r="E32" s="241"/>
      <c r="F32" s="242" t="str">
        <f>IF('INPUT DATA'!M27="","",'INPUT DATA'!M27)</f>
        <v/>
      </c>
      <c r="G32" s="241"/>
      <c r="H32" s="50" t="str">
        <f>IF('INPUT DATA'!N27="","",'INPUT DATA'!N27)</f>
        <v/>
      </c>
      <c r="I32" s="55" t="str">
        <f t="shared" ca="1" si="0"/>
        <v/>
      </c>
      <c r="J32" s="51"/>
      <c r="K32" s="53"/>
      <c r="L32" s="54"/>
      <c r="M32" s="54"/>
      <c r="N32" s="54"/>
      <c r="O32" s="54"/>
      <c r="P32" s="54"/>
      <c r="Q32" s="54"/>
      <c r="R32" s="54"/>
      <c r="S32" s="4"/>
      <c r="T32" s="4"/>
      <c r="U32" s="4"/>
      <c r="V32" s="4"/>
      <c r="W32" s="4"/>
      <c r="X32" s="4"/>
      <c r="Y32" s="4"/>
      <c r="Z32" s="4"/>
      <c r="AA32" s="4"/>
      <c r="AB32" s="4"/>
      <c r="AC32" s="4"/>
    </row>
    <row r="33" spans="1:29" ht="15.75" customHeight="1" x14ac:dyDescent="0.25">
      <c r="A33" s="4"/>
      <c r="B33" s="48">
        <v>18</v>
      </c>
      <c r="C33" s="239" t="str">
        <f>IF('INPUT DATA'!L28="","",'INPUT DATA'!L28)</f>
        <v/>
      </c>
      <c r="D33" s="240"/>
      <c r="E33" s="241"/>
      <c r="F33" s="242" t="str">
        <f>IF('INPUT DATA'!M28="","",'INPUT DATA'!M28)</f>
        <v/>
      </c>
      <c r="G33" s="241"/>
      <c r="H33" s="50" t="str">
        <f>IF('INPUT DATA'!N28="","",'INPUT DATA'!N28)</f>
        <v/>
      </c>
      <c r="I33" s="55" t="str">
        <f t="shared" ca="1" si="0"/>
        <v/>
      </c>
      <c r="J33" s="51"/>
      <c r="K33" s="53"/>
      <c r="L33" s="54"/>
      <c r="M33" s="54"/>
      <c r="N33" s="54"/>
      <c r="O33" s="54"/>
      <c r="P33" s="54"/>
      <c r="Q33" s="54"/>
      <c r="R33" s="54"/>
      <c r="S33" s="4"/>
      <c r="T33" s="4"/>
      <c r="U33" s="4"/>
      <c r="V33" s="4"/>
      <c r="W33" s="4"/>
      <c r="X33" s="4"/>
      <c r="Y33" s="4"/>
      <c r="Z33" s="4"/>
      <c r="AA33" s="4"/>
      <c r="AB33" s="4"/>
      <c r="AC33" s="4"/>
    </row>
    <row r="34" spans="1:29" ht="15.75" customHeight="1" x14ac:dyDescent="0.25">
      <c r="A34" s="4"/>
      <c r="B34" s="48">
        <v>19</v>
      </c>
      <c r="C34" s="239" t="str">
        <f>IF('INPUT DATA'!L29="","",'INPUT DATA'!L29)</f>
        <v/>
      </c>
      <c r="D34" s="240"/>
      <c r="E34" s="241"/>
      <c r="F34" s="242" t="str">
        <f>IF('INPUT DATA'!M29="","",'INPUT DATA'!M29)</f>
        <v/>
      </c>
      <c r="G34" s="241"/>
      <c r="H34" s="50" t="str">
        <f>IF('INPUT DATA'!N29="","",'INPUT DATA'!N29)</f>
        <v/>
      </c>
      <c r="I34" s="55" t="str">
        <f t="shared" ca="1" si="0"/>
        <v/>
      </c>
      <c r="J34" s="51"/>
      <c r="K34" s="53"/>
      <c r="L34" s="54"/>
      <c r="M34" s="54"/>
      <c r="N34" s="54"/>
      <c r="O34" s="54"/>
      <c r="P34" s="54"/>
      <c r="Q34" s="54"/>
      <c r="R34" s="54"/>
      <c r="S34" s="4"/>
      <c r="T34" s="4"/>
      <c r="U34" s="4"/>
      <c r="V34" s="4"/>
      <c r="W34" s="4"/>
      <c r="X34" s="4"/>
      <c r="Y34" s="4"/>
      <c r="Z34" s="4"/>
      <c r="AA34" s="4"/>
      <c r="AB34" s="4"/>
      <c r="AC34" s="4"/>
    </row>
    <row r="35" spans="1:29" ht="15.75" customHeight="1" x14ac:dyDescent="0.25">
      <c r="A35" s="4"/>
      <c r="B35" s="70">
        <v>20</v>
      </c>
      <c r="C35" s="239" t="str">
        <f>IF('INPUT DATA'!L30="","",'INPUT DATA'!L30)</f>
        <v/>
      </c>
      <c r="D35" s="240"/>
      <c r="E35" s="241"/>
      <c r="F35" s="242" t="str">
        <f>IF('INPUT DATA'!M30="","",'INPUT DATA'!M30)</f>
        <v/>
      </c>
      <c r="G35" s="241"/>
      <c r="H35" s="50" t="str">
        <f>IF('INPUT DATA'!N30="","",'INPUT DATA'!N30)</f>
        <v/>
      </c>
      <c r="I35" s="55" t="str">
        <f t="shared" ca="1" si="0"/>
        <v/>
      </c>
      <c r="J35" s="51"/>
      <c r="K35" s="71"/>
      <c r="L35" s="72"/>
      <c r="M35" s="72"/>
      <c r="N35" s="72"/>
      <c r="O35" s="72"/>
      <c r="P35" s="72"/>
      <c r="Q35" s="72"/>
      <c r="R35" s="72"/>
      <c r="S35" s="4"/>
      <c r="T35" s="4"/>
      <c r="U35" s="4"/>
      <c r="V35" s="4"/>
      <c r="W35" s="4"/>
      <c r="X35" s="4"/>
      <c r="Y35" s="4"/>
      <c r="Z35" s="4"/>
      <c r="AA35" s="4"/>
      <c r="AB35" s="4"/>
      <c r="AC35" s="4"/>
    </row>
    <row r="36" spans="1:29" ht="15.75" customHeight="1" x14ac:dyDescent="0.25">
      <c r="A36" s="4"/>
      <c r="B36" s="70">
        <v>21</v>
      </c>
      <c r="C36" s="239" t="str">
        <f>IF('INPUT DATA'!L31="","",'INPUT DATA'!L31)</f>
        <v/>
      </c>
      <c r="D36" s="240"/>
      <c r="E36" s="241"/>
      <c r="F36" s="242" t="str">
        <f>IF('INPUT DATA'!M31="","",'INPUT DATA'!M31)</f>
        <v/>
      </c>
      <c r="G36" s="241"/>
      <c r="H36" s="50" t="str">
        <f>IF('INPUT DATA'!N31="","",'INPUT DATA'!N31)</f>
        <v/>
      </c>
      <c r="I36" s="55" t="str">
        <f t="shared" ca="1" si="0"/>
        <v/>
      </c>
      <c r="J36" s="51"/>
      <c r="K36" s="53"/>
      <c r="L36" s="54"/>
      <c r="M36" s="54"/>
      <c r="N36" s="54"/>
      <c r="O36" s="54"/>
      <c r="P36" s="54"/>
      <c r="Q36" s="54"/>
      <c r="R36" s="54"/>
      <c r="S36" s="4"/>
      <c r="T36" s="4"/>
      <c r="U36" s="4"/>
      <c r="V36" s="4"/>
      <c r="W36" s="4"/>
      <c r="X36" s="4"/>
      <c r="Y36" s="4"/>
      <c r="Z36" s="4"/>
      <c r="AA36" s="4"/>
      <c r="AB36" s="4"/>
      <c r="AC36" s="4"/>
    </row>
    <row r="37" spans="1:29" ht="15.75" customHeight="1" x14ac:dyDescent="0.25">
      <c r="A37" s="4"/>
      <c r="B37" s="70">
        <v>22</v>
      </c>
      <c r="C37" s="239" t="str">
        <f>IF('INPUT DATA'!L32="","",'INPUT DATA'!L32)</f>
        <v/>
      </c>
      <c r="D37" s="240"/>
      <c r="E37" s="241"/>
      <c r="F37" s="242" t="str">
        <f>IF('INPUT DATA'!M32="","",'INPUT DATA'!M32)</f>
        <v/>
      </c>
      <c r="G37" s="241"/>
      <c r="H37" s="50" t="str">
        <f>IF('INPUT DATA'!N32="","",'INPUT DATA'!N32)</f>
        <v/>
      </c>
      <c r="I37" s="55" t="str">
        <f t="shared" ca="1" si="0"/>
        <v/>
      </c>
      <c r="J37" s="51"/>
      <c r="K37" s="53"/>
      <c r="L37" s="54"/>
      <c r="M37" s="54"/>
      <c r="N37" s="54"/>
      <c r="O37" s="54"/>
      <c r="P37" s="54"/>
      <c r="Q37" s="54"/>
      <c r="R37" s="54"/>
      <c r="S37" s="4"/>
      <c r="T37" s="4"/>
      <c r="U37" s="4"/>
      <c r="V37" s="4"/>
      <c r="W37" s="4"/>
      <c r="X37" s="4"/>
      <c r="Y37" s="4"/>
      <c r="Z37" s="4"/>
      <c r="AA37" s="4"/>
      <c r="AB37" s="4"/>
      <c r="AC37" s="4"/>
    </row>
    <row r="38" spans="1:29" ht="15.75" customHeight="1" x14ac:dyDescent="0.25">
      <c r="A38" s="4"/>
      <c r="B38" s="70">
        <v>23</v>
      </c>
      <c r="C38" s="239" t="str">
        <f>IF('INPUT DATA'!L33="","",'INPUT DATA'!L33)</f>
        <v/>
      </c>
      <c r="D38" s="240"/>
      <c r="E38" s="241"/>
      <c r="F38" s="242" t="str">
        <f>IF('INPUT DATA'!M33="","",'INPUT DATA'!M33)</f>
        <v/>
      </c>
      <c r="G38" s="241"/>
      <c r="H38" s="50" t="str">
        <f>IF('INPUT DATA'!N33="","",'INPUT DATA'!N33)</f>
        <v/>
      </c>
      <c r="I38" s="55" t="str">
        <f t="shared" ca="1" si="0"/>
        <v/>
      </c>
      <c r="J38" s="51"/>
      <c r="K38" s="53"/>
      <c r="L38" s="54"/>
      <c r="M38" s="54"/>
      <c r="N38" s="54"/>
      <c r="O38" s="54"/>
      <c r="P38" s="54"/>
      <c r="Q38" s="54"/>
      <c r="R38" s="54"/>
      <c r="S38" s="4"/>
      <c r="T38" s="4"/>
      <c r="U38" s="4"/>
      <c r="V38" s="4"/>
      <c r="W38" s="4"/>
      <c r="X38" s="4"/>
      <c r="Y38" s="4"/>
      <c r="Z38" s="4"/>
      <c r="AA38" s="4"/>
      <c r="AB38" s="4"/>
      <c r="AC38" s="4"/>
    </row>
    <row r="39" spans="1:29" ht="15.75" customHeight="1" x14ac:dyDescent="0.25">
      <c r="A39" s="4"/>
      <c r="B39" s="70">
        <v>24</v>
      </c>
      <c r="C39" s="239" t="str">
        <f>IF('INPUT DATA'!L34="","",'INPUT DATA'!L34)</f>
        <v/>
      </c>
      <c r="D39" s="240"/>
      <c r="E39" s="241"/>
      <c r="F39" s="242" t="str">
        <f>IF('INPUT DATA'!M34="","",'INPUT DATA'!M34)</f>
        <v/>
      </c>
      <c r="G39" s="241"/>
      <c r="H39" s="50" t="str">
        <f>IF('INPUT DATA'!N34="","",'INPUT DATA'!N34)</f>
        <v/>
      </c>
      <c r="I39" s="55" t="str">
        <f t="shared" ca="1" si="0"/>
        <v/>
      </c>
      <c r="J39" s="51"/>
      <c r="K39" s="53"/>
      <c r="L39" s="54"/>
      <c r="M39" s="54"/>
      <c r="N39" s="54"/>
      <c r="O39" s="54"/>
      <c r="P39" s="54"/>
      <c r="Q39" s="54"/>
      <c r="R39" s="54"/>
      <c r="S39" s="4"/>
      <c r="T39" s="4"/>
      <c r="U39" s="4"/>
      <c r="V39" s="4"/>
      <c r="W39" s="4"/>
      <c r="X39" s="4"/>
      <c r="Y39" s="4"/>
      <c r="Z39" s="4"/>
      <c r="AA39" s="4"/>
      <c r="AB39" s="4"/>
      <c r="AC39" s="4"/>
    </row>
    <row r="40" spans="1:29" ht="15.75" customHeight="1" x14ac:dyDescent="0.25">
      <c r="A40" s="4"/>
      <c r="B40" s="70">
        <v>25</v>
      </c>
      <c r="C40" s="239" t="str">
        <f>IF('INPUT DATA'!L35="","",'INPUT DATA'!L35)</f>
        <v/>
      </c>
      <c r="D40" s="240"/>
      <c r="E40" s="241"/>
      <c r="F40" s="242" t="str">
        <f>IF('INPUT DATA'!M35="","",'INPUT DATA'!M35)</f>
        <v/>
      </c>
      <c r="G40" s="241"/>
      <c r="H40" s="50" t="str">
        <f>IF('INPUT DATA'!N35="","",'INPUT DATA'!N35)</f>
        <v/>
      </c>
      <c r="I40" s="55" t="str">
        <f t="shared" ca="1" si="0"/>
        <v/>
      </c>
      <c r="J40" s="51"/>
      <c r="K40" s="53"/>
      <c r="L40" s="54"/>
      <c r="M40" s="54"/>
      <c r="N40" s="54"/>
      <c r="O40" s="54"/>
      <c r="P40" s="54"/>
      <c r="Q40" s="54"/>
      <c r="R40" s="54"/>
      <c r="S40" s="4"/>
      <c r="T40" s="4"/>
      <c r="U40" s="4"/>
      <c r="V40" s="4"/>
      <c r="W40" s="4"/>
      <c r="X40" s="4"/>
      <c r="Y40" s="4"/>
      <c r="Z40" s="4"/>
      <c r="AA40" s="4"/>
      <c r="AB40" s="4"/>
      <c r="AC40" s="4"/>
    </row>
    <row r="41" spans="1:29" ht="15.75" customHeight="1" x14ac:dyDescent="0.25">
      <c r="A41" s="4"/>
      <c r="B41" s="70">
        <v>26</v>
      </c>
      <c r="C41" s="239" t="str">
        <f>IF('INPUT DATA'!L36="","",'INPUT DATA'!L36)</f>
        <v/>
      </c>
      <c r="D41" s="240"/>
      <c r="E41" s="241"/>
      <c r="F41" s="242" t="str">
        <f>IF('INPUT DATA'!M36="","",'INPUT DATA'!M36)</f>
        <v/>
      </c>
      <c r="G41" s="241"/>
      <c r="H41" s="50" t="str">
        <f>IF('INPUT DATA'!N36="","",'INPUT DATA'!N36)</f>
        <v/>
      </c>
      <c r="I41" s="55" t="str">
        <f t="shared" ca="1" si="0"/>
        <v/>
      </c>
      <c r="J41" s="51"/>
      <c r="K41" s="53"/>
      <c r="L41" s="54"/>
      <c r="M41" s="54"/>
      <c r="N41" s="54"/>
      <c r="O41" s="54"/>
      <c r="P41" s="54"/>
      <c r="Q41" s="54"/>
      <c r="R41" s="54"/>
      <c r="S41" s="4"/>
      <c r="T41" s="4"/>
      <c r="U41" s="4"/>
      <c r="V41" s="4"/>
      <c r="W41" s="4"/>
      <c r="X41" s="4"/>
      <c r="Y41" s="4"/>
      <c r="Z41" s="4"/>
      <c r="AA41" s="4"/>
      <c r="AB41" s="4"/>
      <c r="AC41" s="4"/>
    </row>
    <row r="42" spans="1:29" ht="15.75" customHeight="1" x14ac:dyDescent="0.25">
      <c r="A42" s="4"/>
      <c r="B42" s="70">
        <v>27</v>
      </c>
      <c r="C42" s="239" t="str">
        <f>IF('INPUT DATA'!L37="","",'INPUT DATA'!L37)</f>
        <v/>
      </c>
      <c r="D42" s="240"/>
      <c r="E42" s="241"/>
      <c r="F42" s="242" t="str">
        <f>IF('INPUT DATA'!M37="","",'INPUT DATA'!M37)</f>
        <v/>
      </c>
      <c r="G42" s="241"/>
      <c r="H42" s="50" t="str">
        <f>IF('INPUT DATA'!N37="","",'INPUT DATA'!N37)</f>
        <v/>
      </c>
      <c r="I42" s="55" t="str">
        <f t="shared" ca="1" si="0"/>
        <v/>
      </c>
      <c r="J42" s="51"/>
      <c r="K42" s="53"/>
      <c r="L42" s="54"/>
      <c r="M42" s="54"/>
      <c r="N42" s="54"/>
      <c r="O42" s="54"/>
      <c r="P42" s="54"/>
      <c r="Q42" s="54"/>
      <c r="R42" s="54"/>
      <c r="S42" s="4"/>
      <c r="T42" s="4"/>
      <c r="U42" s="4"/>
      <c r="V42" s="4"/>
      <c r="W42" s="4"/>
      <c r="X42" s="4"/>
      <c r="Y42" s="4"/>
      <c r="Z42" s="4"/>
      <c r="AA42" s="4"/>
      <c r="AB42" s="4"/>
      <c r="AC42" s="4"/>
    </row>
    <row r="43" spans="1:29" ht="15.75" customHeight="1" x14ac:dyDescent="0.25">
      <c r="A43" s="4"/>
      <c r="B43" s="70">
        <v>28</v>
      </c>
      <c r="C43" s="239" t="str">
        <f>IF('INPUT DATA'!L38="","",'INPUT DATA'!L38)</f>
        <v/>
      </c>
      <c r="D43" s="240"/>
      <c r="E43" s="241"/>
      <c r="F43" s="242" t="str">
        <f>IF('INPUT DATA'!M38="","",'INPUT DATA'!M38)</f>
        <v/>
      </c>
      <c r="G43" s="241"/>
      <c r="H43" s="50" t="str">
        <f>IF('INPUT DATA'!N38="","",'INPUT DATA'!N38)</f>
        <v/>
      </c>
      <c r="I43" s="55" t="str">
        <f t="shared" ca="1" si="0"/>
        <v/>
      </c>
      <c r="J43" s="51"/>
      <c r="K43" s="53"/>
      <c r="L43" s="54"/>
      <c r="M43" s="54"/>
      <c r="N43" s="54"/>
      <c r="O43" s="54"/>
      <c r="P43" s="54"/>
      <c r="Q43" s="54"/>
      <c r="R43" s="54"/>
      <c r="S43" s="4"/>
      <c r="T43" s="4"/>
      <c r="U43" s="4"/>
      <c r="V43" s="4"/>
      <c r="W43" s="4"/>
      <c r="X43" s="4"/>
      <c r="Y43" s="4"/>
      <c r="Z43" s="4"/>
      <c r="AA43" s="4"/>
      <c r="AB43" s="4"/>
      <c r="AC43" s="4"/>
    </row>
    <row r="44" spans="1:29" ht="15.75" customHeight="1" x14ac:dyDescent="0.25">
      <c r="A44" s="4"/>
      <c r="B44" s="70">
        <v>29</v>
      </c>
      <c r="C44" s="239" t="str">
        <f>IF('INPUT DATA'!L39="","",'INPUT DATA'!L39)</f>
        <v/>
      </c>
      <c r="D44" s="240"/>
      <c r="E44" s="241"/>
      <c r="F44" s="242" t="str">
        <f>IF('INPUT DATA'!M39="","",'INPUT DATA'!M39)</f>
        <v/>
      </c>
      <c r="G44" s="241"/>
      <c r="H44" s="50" t="str">
        <f>IF('INPUT DATA'!N39="","",'INPUT DATA'!N39)</f>
        <v/>
      </c>
      <c r="I44" s="55" t="str">
        <f t="shared" ca="1" si="0"/>
        <v/>
      </c>
      <c r="J44" s="51"/>
      <c r="K44" s="53"/>
      <c r="L44" s="54"/>
      <c r="M44" s="54"/>
      <c r="N44" s="54"/>
      <c r="O44" s="54"/>
      <c r="P44" s="54"/>
      <c r="Q44" s="54"/>
      <c r="R44" s="54"/>
      <c r="S44" s="4"/>
      <c r="T44" s="4"/>
      <c r="U44" s="4"/>
      <c r="V44" s="4"/>
      <c r="W44" s="4"/>
      <c r="X44" s="4"/>
      <c r="Y44" s="4"/>
      <c r="Z44" s="4"/>
      <c r="AA44" s="4"/>
      <c r="AB44" s="4"/>
      <c r="AC44" s="4"/>
    </row>
    <row r="45" spans="1:29" ht="15.75" customHeight="1" x14ac:dyDescent="0.25">
      <c r="A45" s="4"/>
      <c r="B45" s="70">
        <v>30</v>
      </c>
      <c r="C45" s="239" t="str">
        <f>IF('INPUT DATA'!L40="","",'INPUT DATA'!L40)</f>
        <v/>
      </c>
      <c r="D45" s="240"/>
      <c r="E45" s="241"/>
      <c r="F45" s="242" t="str">
        <f>IF('INPUT DATA'!M40="","",'INPUT DATA'!M40)</f>
        <v/>
      </c>
      <c r="G45" s="241"/>
      <c r="H45" s="50" t="str">
        <f>IF('INPUT DATA'!N40="","",'INPUT DATA'!N40)</f>
        <v/>
      </c>
      <c r="I45" s="55" t="str">
        <f t="shared" ca="1" si="0"/>
        <v/>
      </c>
      <c r="J45" s="51"/>
      <c r="K45" s="53"/>
      <c r="L45" s="54"/>
      <c r="M45" s="54"/>
      <c r="N45" s="54"/>
      <c r="O45" s="54"/>
      <c r="P45" s="54"/>
      <c r="Q45" s="54"/>
      <c r="R45" s="54"/>
      <c r="S45" s="4"/>
      <c r="T45" s="4"/>
      <c r="U45" s="4"/>
      <c r="V45" s="4"/>
      <c r="W45" s="4"/>
      <c r="X45" s="4"/>
      <c r="Y45" s="4"/>
      <c r="Z45" s="4"/>
      <c r="AA45" s="4"/>
      <c r="AB45" s="4"/>
      <c r="AC45" s="4"/>
    </row>
    <row r="46" spans="1:29" ht="15.75" customHeight="1" x14ac:dyDescent="0.25">
      <c r="A46" s="4"/>
      <c r="B46" s="70">
        <v>31</v>
      </c>
      <c r="C46" s="239" t="str">
        <f>IF('INPUT DATA'!L41="","",'INPUT DATA'!L41)</f>
        <v/>
      </c>
      <c r="D46" s="240"/>
      <c r="E46" s="241"/>
      <c r="F46" s="242" t="str">
        <f>IF('INPUT DATA'!M41="","",'INPUT DATA'!M41)</f>
        <v/>
      </c>
      <c r="G46" s="241"/>
      <c r="H46" s="50" t="str">
        <f>IF('INPUT DATA'!N41="","",'INPUT DATA'!N41)</f>
        <v/>
      </c>
      <c r="I46" s="55" t="str">
        <f t="shared" ca="1" si="0"/>
        <v/>
      </c>
      <c r="J46" s="51"/>
      <c r="K46" s="53"/>
      <c r="L46" s="54"/>
      <c r="M46" s="54"/>
      <c r="N46" s="54"/>
      <c r="O46" s="54"/>
      <c r="P46" s="54"/>
      <c r="Q46" s="54"/>
      <c r="R46" s="54"/>
      <c r="S46" s="4"/>
      <c r="T46" s="4"/>
      <c r="U46" s="4"/>
      <c r="V46" s="4"/>
      <c r="W46" s="4"/>
      <c r="X46" s="4"/>
      <c r="Y46" s="4"/>
      <c r="Z46" s="4"/>
      <c r="AA46" s="4"/>
      <c r="AB46" s="4"/>
      <c r="AC46" s="4"/>
    </row>
    <row r="47" spans="1:29" ht="15.75" customHeight="1" x14ac:dyDescent="0.25">
      <c r="A47" s="4"/>
      <c r="B47" s="70">
        <v>32</v>
      </c>
      <c r="C47" s="239" t="str">
        <f>IF('INPUT DATA'!L42="","",'INPUT DATA'!L42)</f>
        <v/>
      </c>
      <c r="D47" s="240"/>
      <c r="E47" s="241"/>
      <c r="F47" s="242" t="str">
        <f>IF('INPUT DATA'!M42="","",'INPUT DATA'!M42)</f>
        <v/>
      </c>
      <c r="G47" s="241"/>
      <c r="H47" s="50" t="str">
        <f>IF('INPUT DATA'!N42="","",'INPUT DATA'!N42)</f>
        <v/>
      </c>
      <c r="I47" s="55" t="str">
        <f t="shared" ca="1" si="0"/>
        <v/>
      </c>
      <c r="J47" s="51"/>
      <c r="K47" s="53"/>
      <c r="L47" s="54"/>
      <c r="M47" s="54"/>
      <c r="N47" s="54"/>
      <c r="O47" s="54"/>
      <c r="P47" s="54"/>
      <c r="Q47" s="54"/>
      <c r="R47" s="54"/>
      <c r="S47" s="4"/>
      <c r="T47" s="4"/>
      <c r="U47" s="4"/>
      <c r="V47" s="4"/>
      <c r="W47" s="4"/>
      <c r="X47" s="4"/>
      <c r="Y47" s="4"/>
      <c r="Z47" s="4"/>
      <c r="AA47" s="4"/>
      <c r="AB47" s="4"/>
      <c r="AC47" s="4"/>
    </row>
    <row r="48" spans="1:29" ht="15.75" customHeight="1" x14ac:dyDescent="0.25">
      <c r="A48" s="4"/>
      <c r="B48" s="70">
        <v>33</v>
      </c>
      <c r="C48" s="239" t="str">
        <f>IF('INPUT DATA'!L43="","",'INPUT DATA'!L43)</f>
        <v/>
      </c>
      <c r="D48" s="240"/>
      <c r="E48" s="241"/>
      <c r="F48" s="242" t="str">
        <f>IF('INPUT DATA'!M43="","",'INPUT DATA'!M43)</f>
        <v/>
      </c>
      <c r="G48" s="241"/>
      <c r="H48" s="50" t="str">
        <f>IF('INPUT DATA'!N43="","",'INPUT DATA'!N43)</f>
        <v/>
      </c>
      <c r="I48" s="55" t="str">
        <f t="shared" ca="1" si="0"/>
        <v/>
      </c>
      <c r="J48" s="51"/>
      <c r="K48" s="53"/>
      <c r="L48" s="54"/>
      <c r="M48" s="54"/>
      <c r="N48" s="54"/>
      <c r="O48" s="54"/>
      <c r="P48" s="54"/>
      <c r="Q48" s="54"/>
      <c r="R48" s="54"/>
      <c r="S48" s="4"/>
      <c r="T48" s="4"/>
      <c r="U48" s="4"/>
      <c r="V48" s="4"/>
      <c r="W48" s="4"/>
      <c r="X48" s="4"/>
      <c r="Y48" s="4"/>
      <c r="Z48" s="4"/>
      <c r="AA48" s="4"/>
      <c r="AB48" s="4"/>
      <c r="AC48" s="4"/>
    </row>
    <row r="49" spans="1:29" ht="15.75" customHeight="1" x14ac:dyDescent="0.25">
      <c r="A49" s="4"/>
      <c r="B49" s="70">
        <v>34</v>
      </c>
      <c r="C49" s="239" t="str">
        <f>IF('INPUT DATA'!L44="","",'INPUT DATA'!L44)</f>
        <v/>
      </c>
      <c r="D49" s="240"/>
      <c r="E49" s="241"/>
      <c r="F49" s="242" t="str">
        <f>IF('INPUT DATA'!M44="","",'INPUT DATA'!M44)</f>
        <v/>
      </c>
      <c r="G49" s="241"/>
      <c r="H49" s="50" t="str">
        <f>IF('INPUT DATA'!N44="","",'INPUT DATA'!N44)</f>
        <v/>
      </c>
      <c r="I49" s="55" t="str">
        <f t="shared" ca="1" si="0"/>
        <v/>
      </c>
      <c r="J49" s="51"/>
      <c r="K49" s="53"/>
      <c r="L49" s="54"/>
      <c r="M49" s="54"/>
      <c r="N49" s="54"/>
      <c r="O49" s="54"/>
      <c r="P49" s="54"/>
      <c r="Q49" s="54"/>
      <c r="R49" s="54"/>
      <c r="S49" s="4"/>
      <c r="T49" s="4"/>
      <c r="U49" s="4"/>
      <c r="V49" s="4"/>
      <c r="W49" s="4"/>
      <c r="X49" s="4"/>
      <c r="Y49" s="4"/>
      <c r="Z49" s="4"/>
      <c r="AA49" s="4"/>
      <c r="AB49" s="4"/>
      <c r="AC49" s="4"/>
    </row>
    <row r="50" spans="1:29" ht="15.75" customHeight="1" x14ac:dyDescent="0.25">
      <c r="A50" s="4"/>
      <c r="B50" s="70">
        <v>35</v>
      </c>
      <c r="C50" s="239" t="str">
        <f>IF('INPUT DATA'!L45="","",'INPUT DATA'!L45)</f>
        <v/>
      </c>
      <c r="D50" s="240"/>
      <c r="E50" s="241"/>
      <c r="F50" s="242" t="str">
        <f>IF('INPUT DATA'!M45="","",'INPUT DATA'!M45)</f>
        <v/>
      </c>
      <c r="G50" s="241"/>
      <c r="H50" s="50" t="str">
        <f>IF('INPUT DATA'!N45="","",'INPUT DATA'!N45)</f>
        <v/>
      </c>
      <c r="I50" s="55" t="str">
        <f t="shared" ca="1" si="0"/>
        <v/>
      </c>
      <c r="J50" s="51"/>
      <c r="K50" s="53"/>
      <c r="L50" s="54"/>
      <c r="M50" s="54"/>
      <c r="N50" s="54"/>
      <c r="O50" s="54"/>
      <c r="P50" s="54"/>
      <c r="Q50" s="54"/>
      <c r="R50" s="54"/>
      <c r="S50" s="4"/>
      <c r="T50" s="4"/>
      <c r="U50" s="4"/>
      <c r="V50" s="4"/>
      <c r="W50" s="4"/>
      <c r="X50" s="4"/>
      <c r="Y50" s="4"/>
      <c r="Z50" s="4"/>
      <c r="AA50" s="4"/>
      <c r="AB50" s="4"/>
      <c r="AC50" s="4"/>
    </row>
    <row r="51" spans="1:29" ht="15.75" customHeight="1" x14ac:dyDescent="0.25">
      <c r="A51" s="4"/>
      <c r="B51" s="70">
        <v>36</v>
      </c>
      <c r="C51" s="239" t="str">
        <f>IF('INPUT DATA'!L46="","",'INPUT DATA'!L46)</f>
        <v/>
      </c>
      <c r="D51" s="240"/>
      <c r="E51" s="241"/>
      <c r="F51" s="242" t="str">
        <f>IF('INPUT DATA'!M46="","",'INPUT DATA'!M46)</f>
        <v/>
      </c>
      <c r="G51" s="241"/>
      <c r="H51" s="50" t="str">
        <f>IF('INPUT DATA'!N46="","",'INPUT DATA'!N46)</f>
        <v/>
      </c>
      <c r="I51" s="55" t="str">
        <f t="shared" ca="1" si="0"/>
        <v/>
      </c>
      <c r="J51" s="51"/>
      <c r="K51" s="53"/>
      <c r="L51" s="54"/>
      <c r="M51" s="54"/>
      <c r="N51" s="54"/>
      <c r="O51" s="54"/>
      <c r="P51" s="54"/>
      <c r="Q51" s="54"/>
      <c r="R51" s="54"/>
      <c r="S51" s="4"/>
      <c r="T51" s="4"/>
      <c r="U51" s="4"/>
      <c r="V51" s="4"/>
      <c r="W51" s="4"/>
      <c r="X51" s="4"/>
      <c r="Y51" s="4"/>
      <c r="Z51" s="4"/>
      <c r="AA51" s="4"/>
      <c r="AB51" s="4"/>
      <c r="AC51" s="4"/>
    </row>
    <row r="52" spans="1:29" ht="15.75" customHeight="1" x14ac:dyDescent="0.25">
      <c r="A52" s="4"/>
      <c r="B52" s="70">
        <v>37</v>
      </c>
      <c r="C52" s="239" t="str">
        <f>IF('INPUT DATA'!L47="","",'INPUT DATA'!L47)</f>
        <v/>
      </c>
      <c r="D52" s="240"/>
      <c r="E52" s="241"/>
      <c r="F52" s="242" t="str">
        <f>IF('INPUT DATA'!M47="","",'INPUT DATA'!M47)</f>
        <v/>
      </c>
      <c r="G52" s="241"/>
      <c r="H52" s="50" t="str">
        <f>IF('INPUT DATA'!N47="","",'INPUT DATA'!N47)</f>
        <v/>
      </c>
      <c r="I52" s="55" t="str">
        <f t="shared" ca="1" si="0"/>
        <v/>
      </c>
      <c r="J52" s="51"/>
      <c r="K52" s="53"/>
      <c r="L52" s="54"/>
      <c r="M52" s="54"/>
      <c r="N52" s="54"/>
      <c r="O52" s="54"/>
      <c r="P52" s="54"/>
      <c r="Q52" s="54"/>
      <c r="R52" s="54"/>
      <c r="S52" s="4"/>
      <c r="T52" s="4"/>
      <c r="U52" s="4"/>
      <c r="V52" s="4"/>
      <c r="W52" s="4"/>
      <c r="X52" s="4"/>
      <c r="Y52" s="4"/>
      <c r="Z52" s="4"/>
      <c r="AA52" s="4"/>
      <c r="AB52" s="4"/>
      <c r="AC52" s="4"/>
    </row>
    <row r="53" spans="1:29" ht="15.75" customHeight="1" x14ac:dyDescent="0.25">
      <c r="A53" s="4"/>
      <c r="B53" s="70">
        <v>38</v>
      </c>
      <c r="C53" s="239" t="str">
        <f>IF('INPUT DATA'!L48="","",'INPUT DATA'!L48)</f>
        <v/>
      </c>
      <c r="D53" s="240"/>
      <c r="E53" s="241"/>
      <c r="F53" s="242" t="str">
        <f>IF('INPUT DATA'!M48="","",'INPUT DATA'!M48)</f>
        <v/>
      </c>
      <c r="G53" s="241"/>
      <c r="H53" s="50" t="str">
        <f>IF('INPUT DATA'!N48="","",'INPUT DATA'!N48)</f>
        <v/>
      </c>
      <c r="I53" s="55" t="str">
        <f t="shared" ca="1" si="0"/>
        <v/>
      </c>
      <c r="J53" s="51"/>
      <c r="K53" s="53"/>
      <c r="L53" s="54"/>
      <c r="M53" s="54"/>
      <c r="N53" s="54"/>
      <c r="O53" s="54"/>
      <c r="P53" s="54"/>
      <c r="Q53" s="54"/>
      <c r="R53" s="54"/>
      <c r="S53" s="4"/>
      <c r="T53" s="4"/>
      <c r="U53" s="4"/>
      <c r="V53" s="4"/>
      <c r="W53" s="4"/>
      <c r="X53" s="4"/>
      <c r="Y53" s="4"/>
      <c r="Z53" s="4"/>
      <c r="AA53" s="4"/>
      <c r="AB53" s="4"/>
      <c r="AC53" s="4"/>
    </row>
    <row r="54" spans="1:29" ht="15.75" customHeight="1" x14ac:dyDescent="0.25">
      <c r="A54" s="4"/>
      <c r="B54" s="70">
        <v>39</v>
      </c>
      <c r="C54" s="239" t="str">
        <f>IF('INPUT DATA'!L49="","",'INPUT DATA'!L49)</f>
        <v/>
      </c>
      <c r="D54" s="240"/>
      <c r="E54" s="241"/>
      <c r="F54" s="242" t="str">
        <f>IF('INPUT DATA'!M49="","",'INPUT DATA'!M49)</f>
        <v/>
      </c>
      <c r="G54" s="241"/>
      <c r="H54" s="50" t="str">
        <f>IF('INPUT DATA'!N49="","",'INPUT DATA'!N49)</f>
        <v/>
      </c>
      <c r="I54" s="55" t="str">
        <f t="shared" ca="1" si="0"/>
        <v/>
      </c>
      <c r="J54" s="51"/>
      <c r="K54" s="53"/>
      <c r="L54" s="54"/>
      <c r="M54" s="54"/>
      <c r="N54" s="54"/>
      <c r="O54" s="54"/>
      <c r="P54" s="54"/>
      <c r="Q54" s="54"/>
      <c r="R54" s="54"/>
      <c r="S54" s="4"/>
      <c r="T54" s="4"/>
      <c r="U54" s="4"/>
      <c r="V54" s="4"/>
      <c r="W54" s="4"/>
      <c r="X54" s="4"/>
      <c r="Y54" s="4"/>
      <c r="Z54" s="4"/>
      <c r="AA54" s="4"/>
      <c r="AB54" s="4"/>
      <c r="AC54" s="4"/>
    </row>
    <row r="55" spans="1:29" ht="15.75" customHeight="1" x14ac:dyDescent="0.25">
      <c r="A55" s="4"/>
      <c r="B55" s="70">
        <v>40</v>
      </c>
      <c r="C55" s="239" t="str">
        <f>IF('INPUT DATA'!L50="","",'INPUT DATA'!L50)</f>
        <v/>
      </c>
      <c r="D55" s="240"/>
      <c r="E55" s="241"/>
      <c r="F55" s="242" t="str">
        <f>IF('INPUT DATA'!M50="","",'INPUT DATA'!M50)</f>
        <v/>
      </c>
      <c r="G55" s="241"/>
      <c r="H55" s="50" t="str">
        <f>IF('INPUT DATA'!N50="","",'INPUT DATA'!N50)</f>
        <v/>
      </c>
      <c r="I55" s="55" t="str">
        <f t="shared" ca="1" si="0"/>
        <v/>
      </c>
      <c r="J55" s="51"/>
      <c r="K55" s="53"/>
      <c r="L55" s="54"/>
      <c r="M55" s="54"/>
      <c r="N55" s="54"/>
      <c r="O55" s="54"/>
      <c r="P55" s="54"/>
      <c r="Q55" s="54"/>
      <c r="R55" s="54"/>
      <c r="S55" s="4"/>
      <c r="T55" s="4"/>
      <c r="U55" s="4"/>
      <c r="V55" s="4"/>
      <c r="W55" s="4"/>
      <c r="X55" s="4"/>
      <c r="Y55" s="4"/>
      <c r="Z55" s="4"/>
      <c r="AA55" s="4"/>
      <c r="AB55" s="4"/>
      <c r="AC55" s="4"/>
    </row>
    <row r="56" spans="1:29" ht="15.75" customHeight="1" x14ac:dyDescent="0.25">
      <c r="A56" s="4"/>
      <c r="B56" s="70">
        <v>41</v>
      </c>
      <c r="C56" s="239" t="str">
        <f>IF('INPUT DATA'!L51="","",'INPUT DATA'!L51)</f>
        <v/>
      </c>
      <c r="D56" s="240"/>
      <c r="E56" s="241"/>
      <c r="F56" s="242" t="str">
        <f>IF('INPUT DATA'!M51="","",'INPUT DATA'!M51)</f>
        <v/>
      </c>
      <c r="G56" s="241"/>
      <c r="H56" s="50" t="str">
        <f>IF('INPUT DATA'!N51="","",'INPUT DATA'!N51)</f>
        <v/>
      </c>
      <c r="I56" s="55" t="str">
        <f t="shared" ca="1" si="0"/>
        <v/>
      </c>
      <c r="J56" s="51"/>
      <c r="K56" s="53"/>
      <c r="L56" s="54"/>
      <c r="M56" s="54"/>
      <c r="N56" s="54"/>
      <c r="O56" s="54"/>
      <c r="P56" s="54"/>
      <c r="Q56" s="54"/>
      <c r="R56" s="54"/>
      <c r="S56" s="4"/>
      <c r="T56" s="4"/>
      <c r="U56" s="4"/>
      <c r="V56" s="4"/>
      <c r="W56" s="4"/>
      <c r="X56" s="4"/>
      <c r="Y56" s="4"/>
      <c r="Z56" s="4"/>
      <c r="AA56" s="4"/>
      <c r="AB56" s="4"/>
      <c r="AC56" s="4"/>
    </row>
    <row r="57" spans="1:29" ht="15.75" customHeight="1" x14ac:dyDescent="0.25">
      <c r="A57" s="4"/>
      <c r="B57" s="70">
        <v>42</v>
      </c>
      <c r="C57" s="239" t="str">
        <f>IF('INPUT DATA'!L52="","",'INPUT DATA'!L52)</f>
        <v/>
      </c>
      <c r="D57" s="240"/>
      <c r="E57" s="241"/>
      <c r="F57" s="242" t="str">
        <f>IF('INPUT DATA'!M52="","",'INPUT DATA'!M52)</f>
        <v/>
      </c>
      <c r="G57" s="241"/>
      <c r="H57" s="50" t="str">
        <f>IF('INPUT DATA'!N52="","",'INPUT DATA'!N52)</f>
        <v/>
      </c>
      <c r="I57" s="55" t="str">
        <f t="shared" ca="1" si="0"/>
        <v/>
      </c>
      <c r="J57" s="51"/>
      <c r="K57" s="53"/>
      <c r="L57" s="54"/>
      <c r="M57" s="54"/>
      <c r="N57" s="54"/>
      <c r="O57" s="54"/>
      <c r="P57" s="54"/>
      <c r="Q57" s="54"/>
      <c r="R57" s="54"/>
      <c r="S57" s="4"/>
      <c r="T57" s="4"/>
      <c r="U57" s="4"/>
      <c r="V57" s="4"/>
      <c r="W57" s="4"/>
      <c r="X57" s="4"/>
      <c r="Y57" s="4"/>
      <c r="Z57" s="4"/>
      <c r="AA57" s="4"/>
      <c r="AB57" s="4"/>
      <c r="AC57" s="4"/>
    </row>
    <row r="58" spans="1:29" ht="15.75" customHeight="1" x14ac:dyDescent="0.25">
      <c r="A58" s="4"/>
      <c r="B58" s="70">
        <v>43</v>
      </c>
      <c r="C58" s="239" t="str">
        <f>IF('INPUT DATA'!L53="","",'INPUT DATA'!L53)</f>
        <v/>
      </c>
      <c r="D58" s="240"/>
      <c r="E58" s="241"/>
      <c r="F58" s="242" t="str">
        <f>IF('INPUT DATA'!M53="","",'INPUT DATA'!M53)</f>
        <v/>
      </c>
      <c r="G58" s="241"/>
      <c r="H58" s="50" t="str">
        <f>IF('INPUT DATA'!N53="","",'INPUT DATA'!N53)</f>
        <v/>
      </c>
      <c r="I58" s="55" t="str">
        <f t="shared" ca="1" si="0"/>
        <v/>
      </c>
      <c r="J58" s="51"/>
      <c r="K58" s="53"/>
      <c r="L58" s="54"/>
      <c r="M58" s="54"/>
      <c r="N58" s="54"/>
      <c r="O58" s="54"/>
      <c r="P58" s="54"/>
      <c r="Q58" s="54"/>
      <c r="R58" s="54"/>
      <c r="S58" s="4"/>
      <c r="T58" s="4"/>
      <c r="U58" s="4"/>
      <c r="V58" s="4"/>
      <c r="W58" s="4"/>
      <c r="X58" s="4"/>
      <c r="Y58" s="4"/>
      <c r="Z58" s="4"/>
      <c r="AA58" s="4"/>
      <c r="AB58" s="4"/>
      <c r="AC58" s="4"/>
    </row>
    <row r="59" spans="1:29" ht="15.75" customHeight="1" x14ac:dyDescent="0.25">
      <c r="A59" s="4"/>
      <c r="B59" s="70">
        <v>44</v>
      </c>
      <c r="C59" s="239" t="str">
        <f>IF('INPUT DATA'!L54="","",'INPUT DATA'!L54)</f>
        <v/>
      </c>
      <c r="D59" s="240"/>
      <c r="E59" s="241"/>
      <c r="F59" s="242" t="str">
        <f>IF('INPUT DATA'!M54="","",'INPUT DATA'!M54)</f>
        <v/>
      </c>
      <c r="G59" s="241"/>
      <c r="H59" s="50" t="str">
        <f>IF('INPUT DATA'!N54="","",'INPUT DATA'!N54)</f>
        <v/>
      </c>
      <c r="I59" s="55" t="str">
        <f t="shared" ca="1" si="0"/>
        <v/>
      </c>
      <c r="J59" s="51"/>
      <c r="K59" s="53"/>
      <c r="L59" s="54"/>
      <c r="M59" s="54"/>
      <c r="N59" s="54"/>
      <c r="O59" s="54"/>
      <c r="P59" s="54"/>
      <c r="Q59" s="54"/>
      <c r="R59" s="54"/>
      <c r="S59" s="4"/>
      <c r="T59" s="4"/>
      <c r="U59" s="4"/>
      <c r="V59" s="4"/>
      <c r="W59" s="4"/>
      <c r="X59" s="4"/>
      <c r="Y59" s="4"/>
      <c r="Z59" s="4"/>
      <c r="AA59" s="4"/>
      <c r="AB59" s="4"/>
      <c r="AC59" s="4"/>
    </row>
    <row r="60" spans="1:29" ht="15.75" customHeight="1" x14ac:dyDescent="0.25">
      <c r="A60" s="4"/>
      <c r="B60" s="70">
        <v>45</v>
      </c>
      <c r="C60" s="239" t="str">
        <f>IF('INPUT DATA'!L55="","",'INPUT DATA'!L55)</f>
        <v/>
      </c>
      <c r="D60" s="240"/>
      <c r="E60" s="241"/>
      <c r="F60" s="242" t="str">
        <f>IF('INPUT DATA'!M55="","",'INPUT DATA'!M55)</f>
        <v/>
      </c>
      <c r="G60" s="241"/>
      <c r="H60" s="50" t="str">
        <f>IF('INPUT DATA'!N55="","",'INPUT DATA'!N55)</f>
        <v/>
      </c>
      <c r="I60" s="55" t="str">
        <f t="shared" ca="1" si="0"/>
        <v/>
      </c>
      <c r="J60" s="51"/>
      <c r="K60" s="71"/>
      <c r="L60" s="72"/>
      <c r="M60" s="72"/>
      <c r="N60" s="72"/>
      <c r="O60" s="72"/>
      <c r="P60" s="72"/>
      <c r="Q60" s="72"/>
      <c r="R60" s="72"/>
      <c r="S60" s="4"/>
      <c r="T60" s="4"/>
      <c r="U60" s="4"/>
      <c r="V60" s="4"/>
      <c r="W60" s="4"/>
      <c r="X60" s="4"/>
      <c r="Y60" s="4"/>
      <c r="Z60" s="4"/>
      <c r="AA60" s="4"/>
      <c r="AB60" s="4"/>
      <c r="AC60" s="4"/>
    </row>
    <row r="61" spans="1:29" ht="15.75" customHeight="1" x14ac:dyDescent="0.25">
      <c r="A61" s="4"/>
      <c r="B61" s="70">
        <v>46</v>
      </c>
      <c r="C61" s="239" t="str">
        <f>IF('INPUT DATA'!L56="","",'INPUT DATA'!L56)</f>
        <v/>
      </c>
      <c r="D61" s="240"/>
      <c r="E61" s="241"/>
      <c r="F61" s="242" t="str">
        <f>IF('INPUT DATA'!M56="","",'INPUT DATA'!M56)</f>
        <v/>
      </c>
      <c r="G61" s="241"/>
      <c r="H61" s="50" t="str">
        <f>IF('INPUT DATA'!N56="","",'INPUT DATA'!N56)</f>
        <v/>
      </c>
      <c r="I61" s="55" t="str">
        <f t="shared" ca="1" si="0"/>
        <v/>
      </c>
      <c r="J61" s="51"/>
      <c r="K61" s="53"/>
      <c r="L61" s="54"/>
      <c r="M61" s="54"/>
      <c r="N61" s="54"/>
      <c r="O61" s="54"/>
      <c r="P61" s="54"/>
      <c r="Q61" s="54"/>
      <c r="R61" s="54"/>
      <c r="S61" s="4"/>
      <c r="T61" s="4"/>
      <c r="U61" s="4"/>
      <c r="V61" s="4"/>
      <c r="W61" s="4"/>
      <c r="X61" s="4"/>
      <c r="Y61" s="4"/>
      <c r="Z61" s="4"/>
      <c r="AA61" s="4"/>
      <c r="AB61" s="4"/>
      <c r="AC61" s="4"/>
    </row>
    <row r="62" spans="1:29" ht="15.75" customHeight="1" x14ac:dyDescent="0.25">
      <c r="A62" s="4"/>
      <c r="B62" s="70">
        <v>47</v>
      </c>
      <c r="C62" s="239" t="str">
        <f>IF('INPUT DATA'!L57="","",'INPUT DATA'!L57)</f>
        <v/>
      </c>
      <c r="D62" s="240"/>
      <c r="E62" s="241"/>
      <c r="F62" s="242" t="str">
        <f>IF('INPUT DATA'!M57="","",'INPUT DATA'!M57)</f>
        <v/>
      </c>
      <c r="G62" s="241"/>
      <c r="H62" s="50" t="str">
        <f>IF('INPUT DATA'!N57="","",'INPUT DATA'!N57)</f>
        <v/>
      </c>
      <c r="I62" s="55" t="str">
        <f t="shared" ca="1" si="0"/>
        <v/>
      </c>
      <c r="J62" s="51"/>
      <c r="K62" s="53"/>
      <c r="L62" s="54"/>
      <c r="M62" s="54"/>
      <c r="N62" s="54"/>
      <c r="O62" s="54"/>
      <c r="P62" s="54"/>
      <c r="Q62" s="54"/>
      <c r="R62" s="54"/>
      <c r="S62" s="4"/>
      <c r="T62" s="4"/>
      <c r="U62" s="4"/>
      <c r="V62" s="4"/>
      <c r="W62" s="4"/>
      <c r="X62" s="4"/>
      <c r="Y62" s="4"/>
      <c r="Z62" s="4"/>
      <c r="AA62" s="4"/>
      <c r="AB62" s="4"/>
      <c r="AC62" s="4"/>
    </row>
    <row r="63" spans="1:29" ht="15.75" customHeight="1" x14ac:dyDescent="0.25">
      <c r="A63" s="4"/>
      <c r="B63" s="70">
        <v>48</v>
      </c>
      <c r="C63" s="239" t="str">
        <f>IF('INPUT DATA'!L58="","",'INPUT DATA'!L58)</f>
        <v/>
      </c>
      <c r="D63" s="240"/>
      <c r="E63" s="241"/>
      <c r="F63" s="242" t="str">
        <f>IF('INPUT DATA'!M58="","",'INPUT DATA'!M58)</f>
        <v/>
      </c>
      <c r="G63" s="241"/>
      <c r="H63" s="50" t="str">
        <f>IF('INPUT DATA'!N58="","",'INPUT DATA'!N58)</f>
        <v/>
      </c>
      <c r="I63" s="55" t="str">
        <f t="shared" ca="1" si="0"/>
        <v/>
      </c>
      <c r="J63" s="51"/>
      <c r="K63" s="53"/>
      <c r="L63" s="54"/>
      <c r="M63" s="54"/>
      <c r="N63" s="54"/>
      <c r="O63" s="54"/>
      <c r="P63" s="54"/>
      <c r="Q63" s="54"/>
      <c r="R63" s="54"/>
      <c r="S63" s="4"/>
      <c r="T63" s="4"/>
      <c r="U63" s="4"/>
      <c r="V63" s="4"/>
      <c r="W63" s="4"/>
      <c r="X63" s="4"/>
      <c r="Y63" s="4"/>
      <c r="Z63" s="4"/>
      <c r="AA63" s="4"/>
      <c r="AB63" s="4"/>
      <c r="AC63" s="4"/>
    </row>
    <row r="64" spans="1:29" ht="15.75" customHeight="1" x14ac:dyDescent="0.25">
      <c r="A64" s="4"/>
      <c r="B64" s="70">
        <v>49</v>
      </c>
      <c r="C64" s="239" t="str">
        <f>IF('INPUT DATA'!L59="","",'INPUT DATA'!L59)</f>
        <v/>
      </c>
      <c r="D64" s="240"/>
      <c r="E64" s="241"/>
      <c r="F64" s="242" t="str">
        <f>IF('INPUT DATA'!M59="","",'INPUT DATA'!M59)</f>
        <v/>
      </c>
      <c r="G64" s="241"/>
      <c r="H64" s="50" t="str">
        <f>IF('INPUT DATA'!N59="","",'INPUT DATA'!N59)</f>
        <v/>
      </c>
      <c r="I64" s="55" t="str">
        <f t="shared" ca="1" si="0"/>
        <v/>
      </c>
      <c r="J64" s="51"/>
      <c r="K64" s="53"/>
      <c r="L64" s="54"/>
      <c r="M64" s="54"/>
      <c r="N64" s="54"/>
      <c r="O64" s="54"/>
      <c r="P64" s="54"/>
      <c r="Q64" s="54"/>
      <c r="R64" s="54"/>
      <c r="S64" s="4"/>
      <c r="T64" s="4"/>
      <c r="U64" s="4"/>
      <c r="V64" s="4"/>
      <c r="W64" s="4"/>
      <c r="X64" s="4"/>
      <c r="Y64" s="4"/>
      <c r="Z64" s="4"/>
      <c r="AA64" s="4"/>
      <c r="AB64" s="4"/>
      <c r="AC64" s="4"/>
    </row>
    <row r="65" spans="1:29" ht="15.75" customHeight="1" x14ac:dyDescent="0.25">
      <c r="A65" s="4"/>
      <c r="B65" s="75">
        <v>50</v>
      </c>
      <c r="C65" s="243" t="str">
        <f>IF('INPUT DATA'!L60="","",'INPUT DATA'!L60)</f>
        <v/>
      </c>
      <c r="D65" s="244"/>
      <c r="E65" s="245"/>
      <c r="F65" s="246" t="str">
        <f>IF('INPUT DATA'!M60="","",'INPUT DATA'!M60)</f>
        <v/>
      </c>
      <c r="G65" s="245"/>
      <c r="H65" s="90" t="str">
        <f>IF('INPUT DATA'!N60="","",'INPUT DATA'!N60)</f>
        <v/>
      </c>
      <c r="I65" s="55" t="str">
        <f t="shared" ca="1" si="0"/>
        <v/>
      </c>
      <c r="J65" s="77"/>
      <c r="K65" s="79"/>
      <c r="L65" s="80"/>
      <c r="M65" s="80"/>
      <c r="N65" s="80"/>
      <c r="O65" s="80"/>
      <c r="P65" s="80"/>
      <c r="Q65" s="80"/>
      <c r="R65" s="80"/>
      <c r="S65" s="4"/>
      <c r="T65" s="4"/>
      <c r="U65" s="4"/>
      <c r="V65" s="4"/>
      <c r="W65" s="4"/>
      <c r="X65" s="4"/>
      <c r="Y65" s="4"/>
      <c r="Z65" s="4"/>
      <c r="AA65" s="4"/>
      <c r="AB65" s="4"/>
      <c r="AC65" s="4"/>
    </row>
    <row r="66" spans="1:29" ht="15.75" customHeight="1" x14ac:dyDescent="0.25">
      <c r="A66" s="4"/>
      <c r="B66" s="81" t="s">
        <v>13</v>
      </c>
      <c r="C66" s="82"/>
      <c r="D66" s="82"/>
      <c r="E66" s="82"/>
      <c r="F66" s="82"/>
      <c r="G66" s="82"/>
      <c r="H66" s="82"/>
      <c r="I66" s="84"/>
      <c r="J66" s="83"/>
      <c r="K66" s="84"/>
      <c r="L66" s="84"/>
      <c r="M66" s="84"/>
      <c r="N66" s="84"/>
      <c r="O66" s="84"/>
      <c r="P66" s="84"/>
      <c r="Q66" s="84"/>
      <c r="R66" s="85"/>
      <c r="S66" s="4"/>
      <c r="T66" s="4"/>
      <c r="U66" s="4"/>
      <c r="V66" s="4"/>
      <c r="W66" s="4"/>
      <c r="X66" s="4"/>
      <c r="Y66" s="4"/>
      <c r="Z66" s="4"/>
      <c r="AA66" s="4"/>
      <c r="AB66" s="4"/>
      <c r="AC66" s="4"/>
    </row>
    <row r="67" spans="1:29" ht="15.75" customHeight="1" x14ac:dyDescent="0.25">
      <c r="A67" s="4"/>
      <c r="B67" s="40">
        <v>1</v>
      </c>
      <c r="C67" s="247" t="str">
        <f>IF('INPUT DATA'!Q11="","",'INPUT DATA'!Q11)</f>
        <v/>
      </c>
      <c r="D67" s="248"/>
      <c r="E67" s="249"/>
      <c r="F67" s="250" t="str">
        <f>IF('INPUT DATA'!T11="","",'INPUT DATA'!T11)</f>
        <v/>
      </c>
      <c r="G67" s="251"/>
      <c r="H67" s="86" t="str">
        <f>IF('INPUT DATA'!S11="","",'INPUT DATA'!S11)</f>
        <v/>
      </c>
      <c r="I67" s="49" t="str">
        <f t="shared" ref="I67:I116" ca="1" si="1">IF(H67="","",DATEDIF(H67,TODAY(),"Y"))</f>
        <v/>
      </c>
      <c r="J67" s="44" t="s">
        <v>46</v>
      </c>
      <c r="K67" s="46"/>
      <c r="L67" s="47"/>
      <c r="M67" s="47"/>
      <c r="N67" s="47"/>
      <c r="O67" s="47"/>
      <c r="P67" s="47"/>
      <c r="Q67" s="47"/>
      <c r="R67" s="47"/>
      <c r="S67" s="4"/>
      <c r="T67" s="4"/>
      <c r="U67" s="4"/>
      <c r="V67" s="4"/>
      <c r="W67" s="4"/>
      <c r="X67" s="4"/>
      <c r="Y67" s="4"/>
      <c r="Z67" s="4"/>
      <c r="AA67" s="4"/>
      <c r="AB67" s="4"/>
      <c r="AC67" s="4"/>
    </row>
    <row r="68" spans="1:29" ht="15.75" customHeight="1" x14ac:dyDescent="0.25">
      <c r="A68" s="4"/>
      <c r="B68" s="48">
        <v>2</v>
      </c>
      <c r="C68" s="252" t="str">
        <f>IF('INPUT DATA'!Q12="","",'INPUT DATA'!Q12)</f>
        <v/>
      </c>
      <c r="D68" s="253"/>
      <c r="E68" s="251"/>
      <c r="F68" s="250" t="str">
        <f>IF('INPUT DATA'!T12="","",'INPUT DATA'!T12)</f>
        <v/>
      </c>
      <c r="G68" s="251"/>
      <c r="H68" s="87" t="str">
        <f>IF('INPUT DATA'!S12="","",'INPUT DATA'!S12)</f>
        <v/>
      </c>
      <c r="I68" s="55" t="str">
        <f t="shared" ca="1" si="1"/>
        <v/>
      </c>
      <c r="J68" s="51" t="s">
        <v>46</v>
      </c>
      <c r="K68" s="53"/>
      <c r="L68" s="54"/>
      <c r="M68" s="54"/>
      <c r="N68" s="54"/>
      <c r="O68" s="54"/>
      <c r="P68" s="54"/>
      <c r="Q68" s="54"/>
      <c r="R68" s="54"/>
      <c r="S68" s="4"/>
      <c r="T68" s="4"/>
      <c r="U68" s="4"/>
      <c r="V68" s="4"/>
      <c r="W68" s="4"/>
      <c r="X68" s="4"/>
      <c r="Y68" s="4"/>
      <c r="Z68" s="4"/>
      <c r="AA68" s="4"/>
      <c r="AB68" s="4"/>
      <c r="AC68" s="4"/>
    </row>
    <row r="69" spans="1:29" ht="15.75" customHeight="1" x14ac:dyDescent="0.25">
      <c r="A69" s="4"/>
      <c r="B69" s="48">
        <v>3</v>
      </c>
      <c r="C69" s="252" t="str">
        <f>IF('INPUT DATA'!Q13="","",'INPUT DATA'!Q13)</f>
        <v/>
      </c>
      <c r="D69" s="253"/>
      <c r="E69" s="251"/>
      <c r="F69" s="250" t="str">
        <f>IF('INPUT DATA'!T13="","",'INPUT DATA'!T13)</f>
        <v/>
      </c>
      <c r="G69" s="251"/>
      <c r="H69" s="87" t="str">
        <f>IF('INPUT DATA'!S13="","",'INPUT DATA'!S13)</f>
        <v/>
      </c>
      <c r="I69" s="55" t="str">
        <f t="shared" ca="1" si="1"/>
        <v/>
      </c>
      <c r="J69" s="51" t="s">
        <v>46</v>
      </c>
      <c r="K69" s="53"/>
      <c r="L69" s="54"/>
      <c r="M69" s="54"/>
      <c r="N69" s="54"/>
      <c r="O69" s="54"/>
      <c r="P69" s="54"/>
      <c r="Q69" s="54"/>
      <c r="R69" s="54"/>
      <c r="S69" s="4"/>
      <c r="T69" s="4"/>
      <c r="U69" s="4"/>
      <c r="V69" s="4"/>
      <c r="W69" s="4"/>
      <c r="X69" s="4"/>
      <c r="Y69" s="4"/>
      <c r="Z69" s="4"/>
      <c r="AA69" s="4"/>
      <c r="AB69" s="4"/>
      <c r="AC69" s="4"/>
    </row>
    <row r="70" spans="1:29" ht="15.75" customHeight="1" x14ac:dyDescent="0.25">
      <c r="A70" s="4"/>
      <c r="B70" s="48">
        <v>4</v>
      </c>
      <c r="C70" s="252" t="str">
        <f>IF('INPUT DATA'!Q14="","",'INPUT DATA'!Q14)</f>
        <v/>
      </c>
      <c r="D70" s="253"/>
      <c r="E70" s="251"/>
      <c r="F70" s="250" t="str">
        <f>IF('INPUT DATA'!T14="","",'INPUT DATA'!T14)</f>
        <v/>
      </c>
      <c r="G70" s="251"/>
      <c r="H70" s="87" t="str">
        <f>IF('INPUT DATA'!S14="","",'INPUT DATA'!S14)</f>
        <v/>
      </c>
      <c r="I70" s="55" t="str">
        <f t="shared" ca="1" si="1"/>
        <v/>
      </c>
      <c r="J70" s="51"/>
      <c r="K70" s="53"/>
      <c r="L70" s="54"/>
      <c r="M70" s="54"/>
      <c r="N70" s="54"/>
      <c r="O70" s="54"/>
      <c r="P70" s="54"/>
      <c r="Q70" s="88"/>
      <c r="R70" s="54"/>
      <c r="S70" s="4"/>
      <c r="T70" s="4"/>
      <c r="U70" s="4"/>
      <c r="V70" s="4"/>
      <c r="W70" s="4"/>
      <c r="X70" s="4"/>
      <c r="Y70" s="4"/>
      <c r="Z70" s="4"/>
      <c r="AA70" s="4"/>
      <c r="AB70" s="4"/>
      <c r="AC70" s="4"/>
    </row>
    <row r="71" spans="1:29" ht="15.75" customHeight="1" x14ac:dyDescent="0.25">
      <c r="A71" s="4"/>
      <c r="B71" s="48">
        <v>5</v>
      </c>
      <c r="C71" s="252" t="str">
        <f>IF('INPUT DATA'!Q15="","",'INPUT DATA'!Q15)</f>
        <v/>
      </c>
      <c r="D71" s="253"/>
      <c r="E71" s="251"/>
      <c r="F71" s="250" t="str">
        <f>IF('INPUT DATA'!T15="","",'INPUT DATA'!T15)</f>
        <v/>
      </c>
      <c r="G71" s="251"/>
      <c r="H71" s="87" t="str">
        <f>IF('INPUT DATA'!S15="","",'INPUT DATA'!S15)</f>
        <v/>
      </c>
      <c r="I71" s="55" t="str">
        <f t="shared" ca="1" si="1"/>
        <v/>
      </c>
      <c r="J71" s="51"/>
      <c r="K71" s="53"/>
      <c r="L71" s="54"/>
      <c r="M71" s="54"/>
      <c r="N71" s="54"/>
      <c r="O71" s="54"/>
      <c r="P71" s="54"/>
      <c r="Q71" s="88"/>
      <c r="R71" s="54"/>
      <c r="S71" s="4"/>
      <c r="T71" s="4"/>
      <c r="U71" s="4"/>
      <c r="V71" s="4"/>
      <c r="W71" s="4"/>
      <c r="X71" s="4"/>
      <c r="Y71" s="4"/>
      <c r="Z71" s="4"/>
      <c r="AA71" s="4"/>
      <c r="AB71" s="4"/>
      <c r="AC71" s="4"/>
    </row>
    <row r="72" spans="1:29" ht="15.75" customHeight="1" x14ac:dyDescent="0.25">
      <c r="A72" s="4"/>
      <c r="B72" s="48">
        <v>6</v>
      </c>
      <c r="C72" s="252" t="str">
        <f>IF('INPUT DATA'!Q16="","",'INPUT DATA'!Q16)</f>
        <v/>
      </c>
      <c r="D72" s="253"/>
      <c r="E72" s="251"/>
      <c r="F72" s="250" t="str">
        <f>IF('INPUT DATA'!T16="","",'INPUT DATA'!T16)</f>
        <v/>
      </c>
      <c r="G72" s="251"/>
      <c r="H72" s="87" t="str">
        <f>IF('INPUT DATA'!S16="","",'INPUT DATA'!S16)</f>
        <v/>
      </c>
      <c r="I72" s="55" t="str">
        <f t="shared" ca="1" si="1"/>
        <v/>
      </c>
      <c r="J72" s="51"/>
      <c r="K72" s="53"/>
      <c r="L72" s="54"/>
      <c r="M72" s="54"/>
      <c r="N72" s="54"/>
      <c r="O72" s="54"/>
      <c r="P72" s="54"/>
      <c r="Q72" s="88"/>
      <c r="R72" s="54"/>
      <c r="S72" s="4"/>
      <c r="T72" s="4"/>
      <c r="U72" s="4"/>
      <c r="V72" s="4"/>
      <c r="W72" s="4"/>
      <c r="X72" s="4"/>
      <c r="Y72" s="4"/>
      <c r="Z72" s="4"/>
      <c r="AA72" s="4"/>
      <c r="AB72" s="4"/>
      <c r="AC72" s="4"/>
    </row>
    <row r="73" spans="1:29" ht="15.75" customHeight="1" x14ac:dyDescent="0.25">
      <c r="A73" s="4"/>
      <c r="B73" s="48">
        <v>7</v>
      </c>
      <c r="C73" s="252" t="str">
        <f>IF('INPUT DATA'!Q17="","",'INPUT DATA'!Q17)</f>
        <v/>
      </c>
      <c r="D73" s="253"/>
      <c r="E73" s="251"/>
      <c r="F73" s="250" t="str">
        <f>IF('INPUT DATA'!T17="","",'INPUT DATA'!T17)</f>
        <v/>
      </c>
      <c r="G73" s="251"/>
      <c r="H73" s="87" t="str">
        <f>IF('INPUT DATA'!S17="","",'INPUT DATA'!S17)</f>
        <v/>
      </c>
      <c r="I73" s="55" t="str">
        <f t="shared" ca="1" si="1"/>
        <v/>
      </c>
      <c r="J73" s="51"/>
      <c r="K73" s="53"/>
      <c r="L73" s="54"/>
      <c r="M73" s="54"/>
      <c r="N73" s="54"/>
      <c r="O73" s="54"/>
      <c r="P73" s="54"/>
      <c r="Q73" s="88"/>
      <c r="R73" s="54"/>
      <c r="S73" s="4"/>
      <c r="T73" s="4"/>
      <c r="U73" s="4"/>
      <c r="V73" s="4"/>
      <c r="W73" s="4"/>
      <c r="X73" s="4"/>
      <c r="Y73" s="4"/>
      <c r="Z73" s="4"/>
      <c r="AA73" s="4"/>
      <c r="AB73" s="4"/>
      <c r="AC73" s="4"/>
    </row>
    <row r="74" spans="1:29" ht="15.75" customHeight="1" x14ac:dyDescent="0.25">
      <c r="A74" s="4"/>
      <c r="B74" s="48">
        <v>8</v>
      </c>
      <c r="C74" s="252" t="str">
        <f>IF('INPUT DATA'!Q18="","",'INPUT DATA'!Q18)</f>
        <v/>
      </c>
      <c r="D74" s="253"/>
      <c r="E74" s="251"/>
      <c r="F74" s="250" t="str">
        <f>IF('INPUT DATA'!T18="","",'INPUT DATA'!T18)</f>
        <v/>
      </c>
      <c r="G74" s="251"/>
      <c r="H74" s="87" t="str">
        <f>IF('INPUT DATA'!S18="","",'INPUT DATA'!S18)</f>
        <v/>
      </c>
      <c r="I74" s="55" t="str">
        <f t="shared" ca="1" si="1"/>
        <v/>
      </c>
      <c r="J74" s="51"/>
      <c r="K74" s="53"/>
      <c r="L74" s="54"/>
      <c r="M74" s="54"/>
      <c r="N74" s="54"/>
      <c r="O74" s="54"/>
      <c r="P74" s="54"/>
      <c r="Q74" s="88"/>
      <c r="R74" s="54"/>
      <c r="S74" s="4"/>
      <c r="T74" s="4"/>
      <c r="U74" s="4"/>
      <c r="V74" s="4"/>
      <c r="W74" s="4"/>
      <c r="X74" s="4"/>
      <c r="Y74" s="4"/>
      <c r="Z74" s="4"/>
      <c r="AA74" s="4"/>
      <c r="AB74" s="4"/>
      <c r="AC74" s="4"/>
    </row>
    <row r="75" spans="1:29" ht="15.75" customHeight="1" x14ac:dyDescent="0.25">
      <c r="A75" s="4"/>
      <c r="B75" s="48">
        <v>9</v>
      </c>
      <c r="C75" s="252" t="str">
        <f>IF('INPUT DATA'!Q19="","",'INPUT DATA'!Q19)</f>
        <v/>
      </c>
      <c r="D75" s="253"/>
      <c r="E75" s="251"/>
      <c r="F75" s="250" t="str">
        <f>IF('INPUT DATA'!T19="","",'INPUT DATA'!T19)</f>
        <v/>
      </c>
      <c r="G75" s="251"/>
      <c r="H75" s="87" t="str">
        <f>IF('INPUT DATA'!S19="","",'INPUT DATA'!S19)</f>
        <v/>
      </c>
      <c r="I75" s="55" t="str">
        <f t="shared" ca="1" si="1"/>
        <v/>
      </c>
      <c r="J75" s="51"/>
      <c r="K75" s="53"/>
      <c r="L75" s="54"/>
      <c r="M75" s="54"/>
      <c r="N75" s="54"/>
      <c r="O75" s="54"/>
      <c r="P75" s="54"/>
      <c r="Q75" s="88"/>
      <c r="R75" s="54"/>
      <c r="S75" s="4"/>
      <c r="T75" s="4"/>
      <c r="U75" s="4"/>
      <c r="V75" s="4"/>
      <c r="W75" s="4"/>
      <c r="X75" s="4"/>
      <c r="Y75" s="4"/>
      <c r="Z75" s="4"/>
      <c r="AA75" s="4"/>
      <c r="AB75" s="4"/>
      <c r="AC75" s="4"/>
    </row>
    <row r="76" spans="1:29" ht="15.75" customHeight="1" x14ac:dyDescent="0.25">
      <c r="A76" s="4"/>
      <c r="B76" s="48">
        <v>10</v>
      </c>
      <c r="C76" s="252" t="str">
        <f>IF('INPUT DATA'!Q20="","",'INPUT DATA'!Q20)</f>
        <v/>
      </c>
      <c r="D76" s="253"/>
      <c r="E76" s="251"/>
      <c r="F76" s="250" t="str">
        <f>IF('INPUT DATA'!T20="","",'INPUT DATA'!T20)</f>
        <v/>
      </c>
      <c r="G76" s="251"/>
      <c r="H76" s="87" t="str">
        <f>IF('INPUT DATA'!S20="","",'INPUT DATA'!S20)</f>
        <v/>
      </c>
      <c r="I76" s="55" t="str">
        <f t="shared" ca="1" si="1"/>
        <v/>
      </c>
      <c r="J76" s="51"/>
      <c r="K76" s="53"/>
      <c r="L76" s="54"/>
      <c r="M76" s="54"/>
      <c r="N76" s="54"/>
      <c r="O76" s="54"/>
      <c r="P76" s="54"/>
      <c r="Q76" s="88"/>
      <c r="R76" s="54"/>
      <c r="S76" s="4"/>
      <c r="T76" s="4"/>
      <c r="U76" s="4"/>
      <c r="V76" s="4"/>
      <c r="W76" s="4"/>
      <c r="X76" s="4"/>
      <c r="Y76" s="4"/>
      <c r="Z76" s="4"/>
      <c r="AA76" s="4"/>
      <c r="AB76" s="4"/>
      <c r="AC76" s="4"/>
    </row>
    <row r="77" spans="1:29" ht="15.75" customHeight="1" x14ac:dyDescent="0.25">
      <c r="A77" s="4"/>
      <c r="B77" s="48">
        <v>11</v>
      </c>
      <c r="C77" s="252" t="str">
        <f>IF('INPUT DATA'!Q21="","",'INPUT DATA'!Q21)</f>
        <v/>
      </c>
      <c r="D77" s="253"/>
      <c r="E77" s="251"/>
      <c r="F77" s="250" t="str">
        <f>IF('INPUT DATA'!T21="","",'INPUT DATA'!T21)</f>
        <v/>
      </c>
      <c r="G77" s="251"/>
      <c r="H77" s="87" t="str">
        <f>IF('INPUT DATA'!S21="","",'INPUT DATA'!S21)</f>
        <v/>
      </c>
      <c r="I77" s="55" t="str">
        <f t="shared" ca="1" si="1"/>
        <v/>
      </c>
      <c r="J77" s="51"/>
      <c r="K77" s="53"/>
      <c r="L77" s="54"/>
      <c r="M77" s="54"/>
      <c r="N77" s="54"/>
      <c r="O77" s="54"/>
      <c r="P77" s="54"/>
      <c r="Q77" s="88"/>
      <c r="R77" s="54"/>
      <c r="S77" s="4"/>
      <c r="T77" s="4"/>
      <c r="U77" s="4"/>
      <c r="V77" s="4"/>
      <c r="W77" s="4"/>
      <c r="X77" s="4"/>
      <c r="Y77" s="4"/>
      <c r="Z77" s="4"/>
      <c r="AA77" s="4"/>
      <c r="AB77" s="4"/>
      <c r="AC77" s="4"/>
    </row>
    <row r="78" spans="1:29" ht="15.75" customHeight="1" x14ac:dyDescent="0.25">
      <c r="A78" s="4"/>
      <c r="B78" s="48">
        <v>12</v>
      </c>
      <c r="C78" s="252" t="str">
        <f>IF('INPUT DATA'!Q22="","",'INPUT DATA'!Q22)</f>
        <v/>
      </c>
      <c r="D78" s="253"/>
      <c r="E78" s="251"/>
      <c r="F78" s="250" t="str">
        <f>IF('INPUT DATA'!T22="","",'INPUT DATA'!T22)</f>
        <v/>
      </c>
      <c r="G78" s="251"/>
      <c r="H78" s="87" t="str">
        <f>IF('INPUT DATA'!S22="","",'INPUT DATA'!S22)</f>
        <v/>
      </c>
      <c r="I78" s="55" t="str">
        <f t="shared" ca="1" si="1"/>
        <v/>
      </c>
      <c r="J78" s="51"/>
      <c r="K78" s="53"/>
      <c r="L78" s="54"/>
      <c r="M78" s="54"/>
      <c r="N78" s="54"/>
      <c r="O78" s="54"/>
      <c r="P78" s="54"/>
      <c r="Q78" s="88"/>
      <c r="R78" s="54"/>
      <c r="S78" s="4"/>
      <c r="T78" s="4"/>
      <c r="U78" s="4"/>
      <c r="V78" s="4"/>
      <c r="W78" s="4"/>
      <c r="X78" s="4"/>
      <c r="Y78" s="4"/>
      <c r="Z78" s="4"/>
      <c r="AA78" s="4"/>
      <c r="AB78" s="4"/>
      <c r="AC78" s="4"/>
    </row>
    <row r="79" spans="1:29" ht="15.75" customHeight="1" x14ac:dyDescent="0.25">
      <c r="A79" s="4"/>
      <c r="B79" s="48">
        <v>13</v>
      </c>
      <c r="C79" s="252" t="str">
        <f>IF('INPUT DATA'!Q23="","",'INPUT DATA'!Q23)</f>
        <v/>
      </c>
      <c r="D79" s="253"/>
      <c r="E79" s="251"/>
      <c r="F79" s="250" t="str">
        <f>IF('INPUT DATA'!T23="","",'INPUT DATA'!T23)</f>
        <v/>
      </c>
      <c r="G79" s="251"/>
      <c r="H79" s="87" t="str">
        <f>IF('INPUT DATA'!S23="","",'INPUT DATA'!S23)</f>
        <v/>
      </c>
      <c r="I79" s="55" t="str">
        <f t="shared" ca="1" si="1"/>
        <v/>
      </c>
      <c r="J79" s="51"/>
      <c r="K79" s="53"/>
      <c r="L79" s="54"/>
      <c r="M79" s="54"/>
      <c r="N79" s="54"/>
      <c r="O79" s="54"/>
      <c r="P79" s="54"/>
      <c r="Q79" s="88"/>
      <c r="R79" s="54"/>
      <c r="S79" s="4"/>
      <c r="T79" s="4"/>
      <c r="U79" s="4"/>
      <c r="V79" s="4"/>
      <c r="W79" s="4"/>
      <c r="X79" s="4"/>
      <c r="Y79" s="4"/>
      <c r="Z79" s="4"/>
      <c r="AA79" s="4"/>
      <c r="AB79" s="4"/>
      <c r="AC79" s="4"/>
    </row>
    <row r="80" spans="1:29" ht="15.75" customHeight="1" x14ac:dyDescent="0.25">
      <c r="A80" s="4"/>
      <c r="B80" s="48">
        <v>14</v>
      </c>
      <c r="C80" s="252" t="str">
        <f>IF('INPUT DATA'!Q24="","",'INPUT DATA'!Q24)</f>
        <v/>
      </c>
      <c r="D80" s="253"/>
      <c r="E80" s="251"/>
      <c r="F80" s="250" t="str">
        <f>IF('INPUT DATA'!T24="","",'INPUT DATA'!T24)</f>
        <v/>
      </c>
      <c r="G80" s="251"/>
      <c r="H80" s="87" t="str">
        <f>IF('INPUT DATA'!S24="","",'INPUT DATA'!S24)</f>
        <v/>
      </c>
      <c r="I80" s="55" t="str">
        <f t="shared" ca="1" si="1"/>
        <v/>
      </c>
      <c r="J80" s="51"/>
      <c r="K80" s="53"/>
      <c r="L80" s="54"/>
      <c r="M80" s="54"/>
      <c r="N80" s="54"/>
      <c r="O80" s="54"/>
      <c r="P80" s="54"/>
      <c r="Q80" s="88"/>
      <c r="R80" s="54"/>
      <c r="S80" s="4"/>
      <c r="T80" s="4"/>
      <c r="U80" s="4"/>
      <c r="V80" s="4"/>
      <c r="W80" s="4"/>
      <c r="X80" s="4"/>
      <c r="Y80" s="4"/>
      <c r="Z80" s="4"/>
      <c r="AA80" s="4"/>
      <c r="AB80" s="4"/>
      <c r="AC80" s="4"/>
    </row>
    <row r="81" spans="1:29" ht="15.75" customHeight="1" x14ac:dyDescent="0.25">
      <c r="A81" s="4"/>
      <c r="B81" s="48">
        <v>15</v>
      </c>
      <c r="C81" s="252" t="str">
        <f>IF('INPUT DATA'!Q25="","",'INPUT DATA'!Q25)</f>
        <v/>
      </c>
      <c r="D81" s="253"/>
      <c r="E81" s="251"/>
      <c r="F81" s="250" t="str">
        <f>IF('INPUT DATA'!T25="","",'INPUT DATA'!T25)</f>
        <v/>
      </c>
      <c r="G81" s="251"/>
      <c r="H81" s="87" t="str">
        <f>IF('INPUT DATA'!S25="","",'INPUT DATA'!S25)</f>
        <v/>
      </c>
      <c r="I81" s="55" t="str">
        <f t="shared" ca="1" si="1"/>
        <v/>
      </c>
      <c r="J81" s="51"/>
      <c r="K81" s="53"/>
      <c r="L81" s="54"/>
      <c r="M81" s="54"/>
      <c r="N81" s="54"/>
      <c r="O81" s="54"/>
      <c r="P81" s="54"/>
      <c r="Q81" s="88"/>
      <c r="R81" s="54"/>
      <c r="S81" s="4"/>
      <c r="T81" s="4"/>
      <c r="U81" s="4"/>
      <c r="V81" s="4"/>
      <c r="W81" s="4"/>
      <c r="X81" s="4"/>
      <c r="Y81" s="4"/>
      <c r="Z81" s="4"/>
      <c r="AA81" s="4"/>
      <c r="AB81" s="4"/>
      <c r="AC81" s="4"/>
    </row>
    <row r="82" spans="1:29" ht="15.75" customHeight="1" x14ac:dyDescent="0.25">
      <c r="A82" s="4"/>
      <c r="B82" s="48">
        <v>16</v>
      </c>
      <c r="C82" s="252" t="str">
        <f>IF('INPUT DATA'!Q26="","",'INPUT DATA'!Q26)</f>
        <v/>
      </c>
      <c r="D82" s="253"/>
      <c r="E82" s="251"/>
      <c r="F82" s="250" t="str">
        <f>IF('INPUT DATA'!T26="","",'INPUT DATA'!T26)</f>
        <v/>
      </c>
      <c r="G82" s="251"/>
      <c r="H82" s="87" t="str">
        <f>IF('INPUT DATA'!S26="","",'INPUT DATA'!S26)</f>
        <v/>
      </c>
      <c r="I82" s="55" t="str">
        <f t="shared" ca="1" si="1"/>
        <v/>
      </c>
      <c r="J82" s="51"/>
      <c r="K82" s="53"/>
      <c r="L82" s="54"/>
      <c r="M82" s="54"/>
      <c r="N82" s="54"/>
      <c r="O82" s="54"/>
      <c r="P82" s="54"/>
      <c r="Q82" s="88"/>
      <c r="R82" s="54"/>
      <c r="S82" s="4"/>
      <c r="T82" s="4"/>
      <c r="U82" s="4"/>
      <c r="V82" s="4"/>
      <c r="W82" s="4"/>
      <c r="X82" s="4"/>
      <c r="Y82" s="4"/>
      <c r="Z82" s="4"/>
      <c r="AA82" s="4"/>
      <c r="AB82" s="4"/>
      <c r="AC82" s="4"/>
    </row>
    <row r="83" spans="1:29" ht="15.75" customHeight="1" x14ac:dyDescent="0.25">
      <c r="A83" s="4"/>
      <c r="B83" s="48">
        <v>17</v>
      </c>
      <c r="C83" s="252" t="str">
        <f>IF('INPUT DATA'!Q27="","",'INPUT DATA'!Q27)</f>
        <v/>
      </c>
      <c r="D83" s="253"/>
      <c r="E83" s="251"/>
      <c r="F83" s="250" t="str">
        <f>IF('INPUT DATA'!T27="","",'INPUT DATA'!T27)</f>
        <v/>
      </c>
      <c r="G83" s="251"/>
      <c r="H83" s="87" t="str">
        <f>IF('INPUT DATA'!S27="","",'INPUT DATA'!S27)</f>
        <v/>
      </c>
      <c r="I83" s="55" t="str">
        <f t="shared" ca="1" si="1"/>
        <v/>
      </c>
      <c r="J83" s="51"/>
      <c r="K83" s="53"/>
      <c r="L83" s="54"/>
      <c r="M83" s="54"/>
      <c r="N83" s="54"/>
      <c r="O83" s="54"/>
      <c r="P83" s="54"/>
      <c r="Q83" s="88"/>
      <c r="R83" s="54"/>
      <c r="S83" s="4"/>
      <c r="T83" s="4"/>
      <c r="U83" s="4"/>
      <c r="V83" s="4"/>
      <c r="W83" s="4"/>
      <c r="X83" s="4"/>
      <c r="Y83" s="4"/>
      <c r="Z83" s="4"/>
      <c r="AA83" s="4"/>
      <c r="AB83" s="4"/>
      <c r="AC83" s="4"/>
    </row>
    <row r="84" spans="1:29" ht="15.75" customHeight="1" x14ac:dyDescent="0.25">
      <c r="A84" s="4"/>
      <c r="B84" s="48">
        <v>18</v>
      </c>
      <c r="C84" s="252" t="str">
        <f>IF('INPUT DATA'!Q28="","",'INPUT DATA'!Q28)</f>
        <v/>
      </c>
      <c r="D84" s="253"/>
      <c r="E84" s="251"/>
      <c r="F84" s="250" t="str">
        <f>IF('INPUT DATA'!T28="","",'INPUT DATA'!T28)</f>
        <v/>
      </c>
      <c r="G84" s="251"/>
      <c r="H84" s="87" t="str">
        <f>IF('INPUT DATA'!S28="","",'INPUT DATA'!S28)</f>
        <v/>
      </c>
      <c r="I84" s="55" t="str">
        <f t="shared" ca="1" si="1"/>
        <v/>
      </c>
      <c r="J84" s="51"/>
      <c r="K84" s="53"/>
      <c r="L84" s="54"/>
      <c r="M84" s="54"/>
      <c r="N84" s="54"/>
      <c r="O84" s="54"/>
      <c r="P84" s="54"/>
      <c r="Q84" s="88"/>
      <c r="R84" s="54"/>
      <c r="S84" s="4"/>
      <c r="T84" s="4"/>
      <c r="U84" s="4"/>
      <c r="V84" s="4"/>
      <c r="W84" s="4"/>
      <c r="X84" s="4"/>
      <c r="Y84" s="4"/>
      <c r="Z84" s="4"/>
      <c r="AA84" s="4"/>
      <c r="AB84" s="4"/>
      <c r="AC84" s="4"/>
    </row>
    <row r="85" spans="1:29" ht="15.75" customHeight="1" x14ac:dyDescent="0.25">
      <c r="A85" s="4"/>
      <c r="B85" s="48">
        <v>19</v>
      </c>
      <c r="C85" s="252" t="str">
        <f>IF('INPUT DATA'!Q29="","",'INPUT DATA'!Q29)</f>
        <v/>
      </c>
      <c r="D85" s="253"/>
      <c r="E85" s="251"/>
      <c r="F85" s="250" t="str">
        <f>IF('INPUT DATA'!T29="","",'INPUT DATA'!T29)</f>
        <v/>
      </c>
      <c r="G85" s="251"/>
      <c r="H85" s="87" t="str">
        <f>IF('INPUT DATA'!S29="","",'INPUT DATA'!S29)</f>
        <v/>
      </c>
      <c r="I85" s="55" t="str">
        <f t="shared" ca="1" si="1"/>
        <v/>
      </c>
      <c r="J85" s="51"/>
      <c r="K85" s="53"/>
      <c r="L85" s="54"/>
      <c r="M85" s="54"/>
      <c r="N85" s="54"/>
      <c r="O85" s="54"/>
      <c r="P85" s="54"/>
      <c r="Q85" s="88"/>
      <c r="R85" s="54"/>
      <c r="S85" s="4"/>
      <c r="T85" s="4"/>
      <c r="U85" s="4"/>
      <c r="V85" s="4"/>
      <c r="W85" s="4"/>
      <c r="X85" s="4"/>
      <c r="Y85" s="4"/>
      <c r="Z85" s="4"/>
      <c r="AA85" s="4"/>
      <c r="AB85" s="4"/>
      <c r="AC85" s="4"/>
    </row>
    <row r="86" spans="1:29" ht="15.75" customHeight="1" x14ac:dyDescent="0.25">
      <c r="A86" s="4"/>
      <c r="B86" s="70">
        <v>20</v>
      </c>
      <c r="C86" s="252" t="str">
        <f>IF('INPUT DATA'!Q30="","",'INPUT DATA'!Q30)</f>
        <v/>
      </c>
      <c r="D86" s="253"/>
      <c r="E86" s="251"/>
      <c r="F86" s="250" t="str">
        <f>IF('INPUT DATA'!T30="","",'INPUT DATA'!T30)</f>
        <v/>
      </c>
      <c r="G86" s="251"/>
      <c r="H86" s="87" t="str">
        <f>IF('INPUT DATA'!S30="","",'INPUT DATA'!S30)</f>
        <v/>
      </c>
      <c r="I86" s="55" t="str">
        <f t="shared" ca="1" si="1"/>
        <v/>
      </c>
      <c r="J86" s="51"/>
      <c r="K86" s="71"/>
      <c r="L86" s="72"/>
      <c r="M86" s="72"/>
      <c r="N86" s="72"/>
      <c r="O86" s="72"/>
      <c r="P86" s="72"/>
      <c r="Q86" s="89"/>
      <c r="R86" s="72"/>
      <c r="S86" s="4"/>
      <c r="T86" s="4"/>
      <c r="U86" s="4"/>
      <c r="V86" s="4"/>
      <c r="W86" s="4"/>
      <c r="X86" s="4"/>
      <c r="Y86" s="4"/>
      <c r="Z86" s="4"/>
      <c r="AA86" s="4"/>
      <c r="AB86" s="4"/>
      <c r="AC86" s="4"/>
    </row>
    <row r="87" spans="1:29" ht="15.75" customHeight="1" x14ac:dyDescent="0.25">
      <c r="A87" s="4"/>
      <c r="B87" s="70">
        <v>21</v>
      </c>
      <c r="C87" s="252" t="str">
        <f>IF('INPUT DATA'!Q31="","",'INPUT DATA'!Q31)</f>
        <v/>
      </c>
      <c r="D87" s="253"/>
      <c r="E87" s="251"/>
      <c r="F87" s="250" t="str">
        <f>IF('INPUT DATA'!T31="","",'INPUT DATA'!T31)</f>
        <v/>
      </c>
      <c r="G87" s="251"/>
      <c r="H87" s="87" t="str">
        <f>IF('INPUT DATA'!S31="","",'INPUT DATA'!S31)</f>
        <v/>
      </c>
      <c r="I87" s="55" t="str">
        <f t="shared" ca="1" si="1"/>
        <v/>
      </c>
      <c r="J87" s="51"/>
      <c r="K87" s="53"/>
      <c r="L87" s="54"/>
      <c r="M87" s="54"/>
      <c r="N87" s="54"/>
      <c r="O87" s="54"/>
      <c r="P87" s="54"/>
      <c r="Q87" s="88"/>
      <c r="R87" s="54"/>
      <c r="S87" s="4"/>
      <c r="T87" s="4"/>
      <c r="U87" s="4"/>
      <c r="V87" s="4"/>
      <c r="W87" s="4"/>
      <c r="X87" s="4"/>
      <c r="Y87" s="4"/>
      <c r="Z87" s="4"/>
      <c r="AA87" s="4"/>
      <c r="AB87" s="4"/>
      <c r="AC87" s="4"/>
    </row>
    <row r="88" spans="1:29" ht="15.75" customHeight="1" x14ac:dyDescent="0.25">
      <c r="A88" s="4"/>
      <c r="B88" s="70">
        <v>22</v>
      </c>
      <c r="C88" s="252" t="str">
        <f>IF('INPUT DATA'!Q32="","",'INPUT DATA'!Q32)</f>
        <v/>
      </c>
      <c r="D88" s="253"/>
      <c r="E88" s="251"/>
      <c r="F88" s="250" t="str">
        <f>IF('INPUT DATA'!T32="","",'INPUT DATA'!T32)</f>
        <v/>
      </c>
      <c r="G88" s="251"/>
      <c r="H88" s="87" t="str">
        <f>IF('INPUT DATA'!S32="","",'INPUT DATA'!S32)</f>
        <v/>
      </c>
      <c r="I88" s="55" t="str">
        <f t="shared" ca="1" si="1"/>
        <v/>
      </c>
      <c r="J88" s="51"/>
      <c r="K88" s="53"/>
      <c r="L88" s="54"/>
      <c r="M88" s="54"/>
      <c r="N88" s="54"/>
      <c r="O88" s="54"/>
      <c r="P88" s="54"/>
      <c r="Q88" s="88"/>
      <c r="R88" s="54"/>
      <c r="S88" s="4"/>
      <c r="T88" s="4"/>
      <c r="U88" s="4"/>
      <c r="V88" s="4"/>
      <c r="W88" s="4"/>
      <c r="X88" s="4"/>
      <c r="Y88" s="4"/>
      <c r="Z88" s="4"/>
      <c r="AA88" s="4"/>
      <c r="AB88" s="4"/>
      <c r="AC88" s="4"/>
    </row>
    <row r="89" spans="1:29" ht="15.75" customHeight="1" x14ac:dyDescent="0.25">
      <c r="A89" s="4"/>
      <c r="B89" s="70">
        <v>23</v>
      </c>
      <c r="C89" s="252" t="str">
        <f>IF('INPUT DATA'!Q33="","",'INPUT DATA'!Q33)</f>
        <v/>
      </c>
      <c r="D89" s="253"/>
      <c r="E89" s="251"/>
      <c r="F89" s="250" t="str">
        <f>IF('INPUT DATA'!T33="","",'INPUT DATA'!T33)</f>
        <v/>
      </c>
      <c r="G89" s="251"/>
      <c r="H89" s="87" t="str">
        <f>IF('INPUT DATA'!S33="","",'INPUT DATA'!S33)</f>
        <v/>
      </c>
      <c r="I89" s="55" t="str">
        <f t="shared" ca="1" si="1"/>
        <v/>
      </c>
      <c r="J89" s="51"/>
      <c r="K89" s="53"/>
      <c r="L89" s="54"/>
      <c r="M89" s="54"/>
      <c r="N89" s="54"/>
      <c r="O89" s="54"/>
      <c r="P89" s="54"/>
      <c r="Q89" s="88"/>
      <c r="R89" s="54"/>
      <c r="S89" s="4"/>
      <c r="T89" s="4"/>
      <c r="U89" s="4"/>
      <c r="V89" s="4"/>
      <c r="W89" s="4"/>
      <c r="X89" s="4"/>
      <c r="Y89" s="4"/>
      <c r="Z89" s="4"/>
      <c r="AA89" s="4"/>
      <c r="AB89" s="4"/>
      <c r="AC89" s="4"/>
    </row>
    <row r="90" spans="1:29" ht="15.75" customHeight="1" x14ac:dyDescent="0.25">
      <c r="A90" s="4"/>
      <c r="B90" s="70">
        <v>24</v>
      </c>
      <c r="C90" s="252" t="str">
        <f>IF('INPUT DATA'!Q34="","",'INPUT DATA'!Q34)</f>
        <v/>
      </c>
      <c r="D90" s="253"/>
      <c r="E90" s="251"/>
      <c r="F90" s="250" t="str">
        <f>IF('INPUT DATA'!T34="","",'INPUT DATA'!T34)</f>
        <v/>
      </c>
      <c r="G90" s="251"/>
      <c r="H90" s="87" t="str">
        <f>IF('INPUT DATA'!S34="","",'INPUT DATA'!S34)</f>
        <v/>
      </c>
      <c r="I90" s="55" t="str">
        <f t="shared" ca="1" si="1"/>
        <v/>
      </c>
      <c r="J90" s="51"/>
      <c r="K90" s="53"/>
      <c r="L90" s="54"/>
      <c r="M90" s="54"/>
      <c r="N90" s="54"/>
      <c r="O90" s="54"/>
      <c r="P90" s="54"/>
      <c r="Q90" s="88"/>
      <c r="R90" s="54"/>
      <c r="S90" s="4"/>
      <c r="T90" s="4"/>
      <c r="U90" s="4"/>
      <c r="V90" s="4"/>
      <c r="W90" s="4"/>
      <c r="X90" s="4"/>
      <c r="Y90" s="4"/>
      <c r="Z90" s="4"/>
      <c r="AA90" s="4"/>
      <c r="AB90" s="4"/>
      <c r="AC90" s="4"/>
    </row>
    <row r="91" spans="1:29" ht="15.75" customHeight="1" x14ac:dyDescent="0.25">
      <c r="A91" s="4"/>
      <c r="B91" s="70">
        <v>25</v>
      </c>
      <c r="C91" s="252" t="str">
        <f>IF('INPUT DATA'!Q35="","",'INPUT DATA'!Q35)</f>
        <v/>
      </c>
      <c r="D91" s="253"/>
      <c r="E91" s="251"/>
      <c r="F91" s="250" t="str">
        <f>IF('INPUT DATA'!T35="","",'INPUT DATA'!T35)</f>
        <v/>
      </c>
      <c r="G91" s="251"/>
      <c r="H91" s="87" t="str">
        <f>IF('INPUT DATA'!S35="","",'INPUT DATA'!S35)</f>
        <v/>
      </c>
      <c r="I91" s="55" t="str">
        <f t="shared" ca="1" si="1"/>
        <v/>
      </c>
      <c r="J91" s="51"/>
      <c r="K91" s="53"/>
      <c r="L91" s="54"/>
      <c r="M91" s="54"/>
      <c r="N91" s="54"/>
      <c r="O91" s="54"/>
      <c r="P91" s="54"/>
      <c r="Q91" s="88"/>
      <c r="R91" s="54"/>
      <c r="S91" s="4"/>
      <c r="T91" s="4"/>
      <c r="U91" s="4"/>
      <c r="V91" s="4"/>
      <c r="W91" s="4"/>
      <c r="X91" s="4"/>
      <c r="Y91" s="4"/>
      <c r="Z91" s="4"/>
      <c r="AA91" s="4"/>
      <c r="AB91" s="4"/>
      <c r="AC91" s="4"/>
    </row>
    <row r="92" spans="1:29" ht="15.75" customHeight="1" x14ac:dyDescent="0.25">
      <c r="A92" s="4"/>
      <c r="B92" s="70">
        <v>26</v>
      </c>
      <c r="C92" s="252" t="str">
        <f>IF('INPUT DATA'!Q36="","",'INPUT DATA'!Q36)</f>
        <v/>
      </c>
      <c r="D92" s="253"/>
      <c r="E92" s="251"/>
      <c r="F92" s="250" t="str">
        <f>IF('INPUT DATA'!T36="","",'INPUT DATA'!T36)</f>
        <v/>
      </c>
      <c r="G92" s="251"/>
      <c r="H92" s="87" t="str">
        <f>IF('INPUT DATA'!S36="","",'INPUT DATA'!S36)</f>
        <v/>
      </c>
      <c r="I92" s="55" t="str">
        <f t="shared" ca="1" si="1"/>
        <v/>
      </c>
      <c r="J92" s="51"/>
      <c r="K92" s="53"/>
      <c r="L92" s="54"/>
      <c r="M92" s="54"/>
      <c r="N92" s="54"/>
      <c r="O92" s="54"/>
      <c r="P92" s="54"/>
      <c r="Q92" s="88"/>
      <c r="R92" s="54"/>
      <c r="S92" s="4"/>
      <c r="T92" s="4"/>
      <c r="U92" s="4"/>
      <c r="V92" s="4"/>
      <c r="W92" s="4"/>
      <c r="X92" s="4"/>
      <c r="Y92" s="4"/>
      <c r="Z92" s="4"/>
      <c r="AA92" s="4"/>
      <c r="AB92" s="4"/>
      <c r="AC92" s="4"/>
    </row>
    <row r="93" spans="1:29" ht="15.75" customHeight="1" x14ac:dyDescent="0.25">
      <c r="A93" s="4"/>
      <c r="B93" s="70">
        <v>27</v>
      </c>
      <c r="C93" s="252" t="str">
        <f>IF('INPUT DATA'!Q37="","",'INPUT DATA'!Q37)</f>
        <v/>
      </c>
      <c r="D93" s="253"/>
      <c r="E93" s="251"/>
      <c r="F93" s="250" t="str">
        <f>IF('INPUT DATA'!T37="","",'INPUT DATA'!T37)</f>
        <v/>
      </c>
      <c r="G93" s="251"/>
      <c r="H93" s="87" t="str">
        <f>IF('INPUT DATA'!S37="","",'INPUT DATA'!S37)</f>
        <v/>
      </c>
      <c r="I93" s="55" t="str">
        <f t="shared" ca="1" si="1"/>
        <v/>
      </c>
      <c r="J93" s="51"/>
      <c r="K93" s="53"/>
      <c r="L93" s="54"/>
      <c r="M93" s="54"/>
      <c r="N93" s="54"/>
      <c r="O93" s="54"/>
      <c r="P93" s="54"/>
      <c r="Q93" s="88"/>
      <c r="R93" s="54"/>
      <c r="S93" s="4"/>
      <c r="T93" s="4"/>
      <c r="U93" s="4"/>
      <c r="V93" s="4"/>
      <c r="W93" s="4"/>
      <c r="X93" s="4"/>
      <c r="Y93" s="4"/>
      <c r="Z93" s="4"/>
      <c r="AA93" s="4"/>
      <c r="AB93" s="4"/>
      <c r="AC93" s="4"/>
    </row>
    <row r="94" spans="1:29" ht="15.75" customHeight="1" x14ac:dyDescent="0.25">
      <c r="A94" s="4"/>
      <c r="B94" s="70">
        <v>28</v>
      </c>
      <c r="C94" s="252" t="str">
        <f>IF('INPUT DATA'!Q38="","",'INPUT DATA'!Q38)</f>
        <v/>
      </c>
      <c r="D94" s="253"/>
      <c r="E94" s="251"/>
      <c r="F94" s="250" t="str">
        <f>IF('INPUT DATA'!T38="","",'INPUT DATA'!T38)</f>
        <v/>
      </c>
      <c r="G94" s="251"/>
      <c r="H94" s="87" t="str">
        <f>IF('INPUT DATA'!S38="","",'INPUT DATA'!S38)</f>
        <v/>
      </c>
      <c r="I94" s="55" t="str">
        <f t="shared" ca="1" si="1"/>
        <v/>
      </c>
      <c r="J94" s="51"/>
      <c r="K94" s="53"/>
      <c r="L94" s="54"/>
      <c r="M94" s="54"/>
      <c r="N94" s="54"/>
      <c r="O94" s="54"/>
      <c r="P94" s="54"/>
      <c r="Q94" s="88"/>
      <c r="R94" s="54"/>
      <c r="S94" s="4"/>
      <c r="T94" s="4"/>
      <c r="U94" s="4"/>
      <c r="V94" s="4"/>
      <c r="W94" s="4"/>
      <c r="X94" s="4"/>
      <c r="Y94" s="4"/>
      <c r="Z94" s="4"/>
      <c r="AA94" s="4"/>
      <c r="AB94" s="4"/>
      <c r="AC94" s="4"/>
    </row>
    <row r="95" spans="1:29" ht="15.75" customHeight="1" x14ac:dyDescent="0.25">
      <c r="A95" s="4"/>
      <c r="B95" s="70">
        <v>29</v>
      </c>
      <c r="C95" s="252" t="str">
        <f>IF('INPUT DATA'!Q39="","",'INPUT DATA'!Q39)</f>
        <v/>
      </c>
      <c r="D95" s="253"/>
      <c r="E95" s="251"/>
      <c r="F95" s="250" t="str">
        <f>IF('INPUT DATA'!T39="","",'INPUT DATA'!T39)</f>
        <v/>
      </c>
      <c r="G95" s="251"/>
      <c r="H95" s="87" t="str">
        <f>IF('INPUT DATA'!S39="","",'INPUT DATA'!S39)</f>
        <v/>
      </c>
      <c r="I95" s="55" t="str">
        <f t="shared" ca="1" si="1"/>
        <v/>
      </c>
      <c r="J95" s="51"/>
      <c r="K95" s="53"/>
      <c r="L95" s="54"/>
      <c r="M95" s="54"/>
      <c r="N95" s="54"/>
      <c r="O95" s="54"/>
      <c r="P95" s="54"/>
      <c r="Q95" s="88"/>
      <c r="R95" s="54"/>
      <c r="S95" s="4"/>
      <c r="T95" s="4"/>
      <c r="U95" s="4"/>
      <c r="V95" s="4"/>
      <c r="W95" s="4"/>
      <c r="X95" s="4"/>
      <c r="Y95" s="4"/>
      <c r="Z95" s="4"/>
      <c r="AA95" s="4"/>
      <c r="AB95" s="4"/>
      <c r="AC95" s="4"/>
    </row>
    <row r="96" spans="1:29" ht="15.75" customHeight="1" x14ac:dyDescent="0.25">
      <c r="A96" s="4"/>
      <c r="B96" s="70">
        <v>30</v>
      </c>
      <c r="C96" s="252" t="str">
        <f>IF('INPUT DATA'!Q40="","",'INPUT DATA'!Q40)</f>
        <v/>
      </c>
      <c r="D96" s="253"/>
      <c r="E96" s="251"/>
      <c r="F96" s="250" t="str">
        <f>IF('INPUT DATA'!T40="","",'INPUT DATA'!T40)</f>
        <v/>
      </c>
      <c r="G96" s="251"/>
      <c r="H96" s="87" t="str">
        <f>IF('INPUT DATA'!S40="","",'INPUT DATA'!S40)</f>
        <v/>
      </c>
      <c r="I96" s="55" t="str">
        <f t="shared" ca="1" si="1"/>
        <v/>
      </c>
      <c r="J96" s="51"/>
      <c r="K96" s="53"/>
      <c r="L96" s="54"/>
      <c r="M96" s="54"/>
      <c r="N96" s="54"/>
      <c r="O96" s="54"/>
      <c r="P96" s="54"/>
      <c r="Q96" s="88"/>
      <c r="R96" s="54"/>
      <c r="S96" s="4"/>
      <c r="T96" s="4"/>
      <c r="U96" s="4"/>
      <c r="V96" s="4"/>
      <c r="W96" s="4"/>
      <c r="X96" s="4"/>
      <c r="Y96" s="4"/>
      <c r="Z96" s="4"/>
      <c r="AA96" s="4"/>
      <c r="AB96" s="4"/>
      <c r="AC96" s="4"/>
    </row>
    <row r="97" spans="1:29" ht="15.75" customHeight="1" x14ac:dyDescent="0.25">
      <c r="A97" s="4"/>
      <c r="B97" s="70">
        <v>31</v>
      </c>
      <c r="C97" s="252" t="str">
        <f>IF('INPUT DATA'!Q41="","",'INPUT DATA'!Q41)</f>
        <v/>
      </c>
      <c r="D97" s="253"/>
      <c r="E97" s="251"/>
      <c r="F97" s="250" t="str">
        <f>IF('INPUT DATA'!T41="","",'INPUT DATA'!T41)</f>
        <v/>
      </c>
      <c r="G97" s="251"/>
      <c r="H97" s="87" t="str">
        <f>IF('INPUT DATA'!S41="","",'INPUT DATA'!S41)</f>
        <v/>
      </c>
      <c r="I97" s="55" t="str">
        <f t="shared" ca="1" si="1"/>
        <v/>
      </c>
      <c r="J97" s="51"/>
      <c r="K97" s="53"/>
      <c r="L97" s="54"/>
      <c r="M97" s="54"/>
      <c r="N97" s="54"/>
      <c r="O97" s="54"/>
      <c r="P97" s="54"/>
      <c r="Q97" s="88"/>
      <c r="R97" s="54"/>
      <c r="S97" s="4"/>
      <c r="T97" s="4"/>
      <c r="U97" s="4"/>
      <c r="V97" s="4"/>
      <c r="W97" s="4"/>
      <c r="X97" s="4"/>
      <c r="Y97" s="4"/>
      <c r="Z97" s="4"/>
      <c r="AA97" s="4"/>
      <c r="AB97" s="4"/>
      <c r="AC97" s="4"/>
    </row>
    <row r="98" spans="1:29" ht="15.75" customHeight="1" x14ac:dyDescent="0.25">
      <c r="A98" s="4"/>
      <c r="B98" s="70">
        <v>32</v>
      </c>
      <c r="C98" s="252" t="str">
        <f>IF('INPUT DATA'!Q42="","",'INPUT DATA'!Q42)</f>
        <v/>
      </c>
      <c r="D98" s="253"/>
      <c r="E98" s="251"/>
      <c r="F98" s="250" t="str">
        <f>IF('INPUT DATA'!T42="","",'INPUT DATA'!T42)</f>
        <v/>
      </c>
      <c r="G98" s="251"/>
      <c r="H98" s="87" t="str">
        <f>IF('INPUT DATA'!S42="","",'INPUT DATA'!S42)</f>
        <v/>
      </c>
      <c r="I98" s="55" t="str">
        <f t="shared" ca="1" si="1"/>
        <v/>
      </c>
      <c r="J98" s="51"/>
      <c r="K98" s="53"/>
      <c r="L98" s="54"/>
      <c r="M98" s="54"/>
      <c r="N98" s="54"/>
      <c r="O98" s="54"/>
      <c r="P98" s="54"/>
      <c r="Q98" s="88"/>
      <c r="R98" s="54"/>
      <c r="S98" s="4"/>
      <c r="T98" s="4"/>
      <c r="U98" s="4"/>
      <c r="V98" s="4"/>
      <c r="W98" s="4"/>
      <c r="X98" s="4"/>
      <c r="Y98" s="4"/>
      <c r="Z98" s="4"/>
      <c r="AA98" s="4"/>
      <c r="AB98" s="4"/>
      <c r="AC98" s="4"/>
    </row>
    <row r="99" spans="1:29" ht="15.75" customHeight="1" x14ac:dyDescent="0.25">
      <c r="A99" s="4"/>
      <c r="B99" s="70">
        <v>33</v>
      </c>
      <c r="C99" s="252" t="str">
        <f>IF('INPUT DATA'!Q43="","",'INPUT DATA'!Q43)</f>
        <v/>
      </c>
      <c r="D99" s="253"/>
      <c r="E99" s="251"/>
      <c r="F99" s="250" t="str">
        <f>IF('INPUT DATA'!T43="","",'INPUT DATA'!T43)</f>
        <v/>
      </c>
      <c r="G99" s="251"/>
      <c r="H99" s="87" t="str">
        <f>IF('INPUT DATA'!S43="","",'INPUT DATA'!S43)</f>
        <v/>
      </c>
      <c r="I99" s="55" t="str">
        <f t="shared" ca="1" si="1"/>
        <v/>
      </c>
      <c r="J99" s="51"/>
      <c r="K99" s="53"/>
      <c r="L99" s="54"/>
      <c r="M99" s="54"/>
      <c r="N99" s="54"/>
      <c r="O99" s="54"/>
      <c r="P99" s="54"/>
      <c r="Q99" s="88"/>
      <c r="R99" s="54"/>
      <c r="S99" s="4"/>
      <c r="T99" s="4"/>
      <c r="U99" s="4"/>
      <c r="V99" s="4"/>
      <c r="W99" s="4"/>
      <c r="X99" s="4"/>
      <c r="Y99" s="4"/>
      <c r="Z99" s="4"/>
      <c r="AA99" s="4"/>
      <c r="AB99" s="4"/>
      <c r="AC99" s="4"/>
    </row>
    <row r="100" spans="1:29" ht="15.75" customHeight="1" x14ac:dyDescent="0.25">
      <c r="A100" s="4"/>
      <c r="B100" s="70">
        <v>34</v>
      </c>
      <c r="C100" s="252" t="str">
        <f>IF('INPUT DATA'!Q44="","",'INPUT DATA'!Q44)</f>
        <v/>
      </c>
      <c r="D100" s="253"/>
      <c r="E100" s="251"/>
      <c r="F100" s="250" t="str">
        <f>IF('INPUT DATA'!T44="","",'INPUT DATA'!T44)</f>
        <v/>
      </c>
      <c r="G100" s="251"/>
      <c r="H100" s="87" t="str">
        <f>IF('INPUT DATA'!S44="","",'INPUT DATA'!S44)</f>
        <v/>
      </c>
      <c r="I100" s="55" t="str">
        <f t="shared" ca="1" si="1"/>
        <v/>
      </c>
      <c r="J100" s="51"/>
      <c r="K100" s="53"/>
      <c r="L100" s="54"/>
      <c r="M100" s="54"/>
      <c r="N100" s="54"/>
      <c r="O100" s="54"/>
      <c r="P100" s="54"/>
      <c r="Q100" s="88"/>
      <c r="R100" s="54"/>
      <c r="S100" s="4"/>
      <c r="T100" s="4"/>
      <c r="U100" s="4"/>
      <c r="V100" s="4"/>
      <c r="W100" s="4"/>
      <c r="X100" s="4"/>
      <c r="Y100" s="4"/>
      <c r="Z100" s="4"/>
      <c r="AA100" s="4"/>
      <c r="AB100" s="4"/>
      <c r="AC100" s="4"/>
    </row>
    <row r="101" spans="1:29" ht="15.75" customHeight="1" x14ac:dyDescent="0.25">
      <c r="A101" s="4"/>
      <c r="B101" s="70">
        <v>35</v>
      </c>
      <c r="C101" s="252" t="str">
        <f>IF('INPUT DATA'!Q45="","",'INPUT DATA'!Q45)</f>
        <v/>
      </c>
      <c r="D101" s="253"/>
      <c r="E101" s="251"/>
      <c r="F101" s="250" t="str">
        <f>IF('INPUT DATA'!T45="","",'INPUT DATA'!T45)</f>
        <v/>
      </c>
      <c r="G101" s="251"/>
      <c r="H101" s="87" t="str">
        <f>IF('INPUT DATA'!S45="","",'INPUT DATA'!S45)</f>
        <v/>
      </c>
      <c r="I101" s="55" t="str">
        <f t="shared" ca="1" si="1"/>
        <v/>
      </c>
      <c r="J101" s="51"/>
      <c r="K101" s="53"/>
      <c r="L101" s="54"/>
      <c r="M101" s="54"/>
      <c r="N101" s="54"/>
      <c r="O101" s="54"/>
      <c r="P101" s="54"/>
      <c r="Q101" s="88"/>
      <c r="R101" s="54"/>
      <c r="S101" s="4"/>
      <c r="T101" s="4"/>
      <c r="U101" s="4"/>
      <c r="V101" s="4"/>
      <c r="W101" s="4"/>
      <c r="X101" s="4"/>
      <c r="Y101" s="4"/>
      <c r="Z101" s="4"/>
      <c r="AA101" s="4"/>
      <c r="AB101" s="4"/>
      <c r="AC101" s="4"/>
    </row>
    <row r="102" spans="1:29" ht="15.75" customHeight="1" x14ac:dyDescent="0.25">
      <c r="A102" s="4"/>
      <c r="B102" s="70">
        <v>36</v>
      </c>
      <c r="C102" s="252" t="str">
        <f>IF('INPUT DATA'!Q46="","",'INPUT DATA'!Q46)</f>
        <v/>
      </c>
      <c r="D102" s="253"/>
      <c r="E102" s="251"/>
      <c r="F102" s="250" t="str">
        <f>IF('INPUT DATA'!T46="","",'INPUT DATA'!T46)</f>
        <v/>
      </c>
      <c r="G102" s="251"/>
      <c r="H102" s="87" t="str">
        <f>IF('INPUT DATA'!S46="","",'INPUT DATA'!S46)</f>
        <v/>
      </c>
      <c r="I102" s="55" t="str">
        <f t="shared" ca="1" si="1"/>
        <v/>
      </c>
      <c r="J102" s="51"/>
      <c r="K102" s="53"/>
      <c r="L102" s="54"/>
      <c r="M102" s="54"/>
      <c r="N102" s="54"/>
      <c r="O102" s="54"/>
      <c r="P102" s="54"/>
      <c r="Q102" s="88"/>
      <c r="R102" s="54"/>
      <c r="S102" s="4"/>
      <c r="T102" s="4"/>
      <c r="U102" s="4"/>
      <c r="V102" s="4"/>
      <c r="W102" s="4"/>
      <c r="X102" s="4"/>
      <c r="Y102" s="4"/>
      <c r="Z102" s="4"/>
      <c r="AA102" s="4"/>
      <c r="AB102" s="4"/>
      <c r="AC102" s="4"/>
    </row>
    <row r="103" spans="1:29" ht="15.75" customHeight="1" x14ac:dyDescent="0.25">
      <c r="A103" s="4"/>
      <c r="B103" s="70">
        <v>37</v>
      </c>
      <c r="C103" s="252" t="str">
        <f>IF('INPUT DATA'!Q47="","",'INPUT DATA'!Q47)</f>
        <v/>
      </c>
      <c r="D103" s="253"/>
      <c r="E103" s="251"/>
      <c r="F103" s="250" t="str">
        <f>IF('INPUT DATA'!T47="","",'INPUT DATA'!T47)</f>
        <v/>
      </c>
      <c r="G103" s="251"/>
      <c r="H103" s="87" t="str">
        <f>IF('INPUT DATA'!S47="","",'INPUT DATA'!S47)</f>
        <v/>
      </c>
      <c r="I103" s="55" t="str">
        <f t="shared" ca="1" si="1"/>
        <v/>
      </c>
      <c r="J103" s="51"/>
      <c r="K103" s="53"/>
      <c r="L103" s="54"/>
      <c r="M103" s="54"/>
      <c r="N103" s="54"/>
      <c r="O103" s="54"/>
      <c r="P103" s="54"/>
      <c r="Q103" s="88"/>
      <c r="R103" s="54"/>
      <c r="S103" s="4"/>
      <c r="T103" s="4"/>
      <c r="U103" s="4"/>
      <c r="V103" s="4"/>
      <c r="W103" s="4"/>
      <c r="X103" s="4"/>
      <c r="Y103" s="4"/>
      <c r="Z103" s="4"/>
      <c r="AA103" s="4"/>
      <c r="AB103" s="4"/>
      <c r="AC103" s="4"/>
    </row>
    <row r="104" spans="1:29" ht="15.75" customHeight="1" x14ac:dyDescent="0.25">
      <c r="A104" s="4"/>
      <c r="B104" s="70">
        <v>38</v>
      </c>
      <c r="C104" s="252" t="str">
        <f>IF('INPUT DATA'!Q48="","",'INPUT DATA'!Q48)</f>
        <v/>
      </c>
      <c r="D104" s="253"/>
      <c r="E104" s="251"/>
      <c r="F104" s="250" t="str">
        <f>IF('INPUT DATA'!T48="","",'INPUT DATA'!T48)</f>
        <v/>
      </c>
      <c r="G104" s="251"/>
      <c r="H104" s="87" t="str">
        <f>IF('INPUT DATA'!S48="","",'INPUT DATA'!S48)</f>
        <v/>
      </c>
      <c r="I104" s="55" t="str">
        <f t="shared" ca="1" si="1"/>
        <v/>
      </c>
      <c r="J104" s="51"/>
      <c r="K104" s="53"/>
      <c r="L104" s="54"/>
      <c r="M104" s="54"/>
      <c r="N104" s="54"/>
      <c r="O104" s="54"/>
      <c r="P104" s="54"/>
      <c r="Q104" s="88"/>
      <c r="R104" s="54"/>
      <c r="S104" s="4"/>
      <c r="T104" s="4"/>
      <c r="U104" s="4"/>
      <c r="V104" s="4"/>
      <c r="W104" s="4"/>
      <c r="X104" s="4"/>
      <c r="Y104" s="4"/>
      <c r="Z104" s="4"/>
      <c r="AA104" s="4"/>
      <c r="AB104" s="4"/>
      <c r="AC104" s="4"/>
    </row>
    <row r="105" spans="1:29" ht="15.75" customHeight="1" x14ac:dyDescent="0.25">
      <c r="A105" s="4"/>
      <c r="B105" s="70">
        <v>39</v>
      </c>
      <c r="C105" s="252" t="str">
        <f>IF('INPUT DATA'!Q49="","",'INPUT DATA'!Q49)</f>
        <v/>
      </c>
      <c r="D105" s="253"/>
      <c r="E105" s="251"/>
      <c r="F105" s="250" t="str">
        <f>IF('INPUT DATA'!T49="","",'INPUT DATA'!T49)</f>
        <v/>
      </c>
      <c r="G105" s="251"/>
      <c r="H105" s="87" t="str">
        <f>IF('INPUT DATA'!S49="","",'INPUT DATA'!S49)</f>
        <v/>
      </c>
      <c r="I105" s="55" t="str">
        <f t="shared" ca="1" si="1"/>
        <v/>
      </c>
      <c r="J105" s="51"/>
      <c r="K105" s="53"/>
      <c r="L105" s="54"/>
      <c r="M105" s="54"/>
      <c r="N105" s="54"/>
      <c r="O105" s="54"/>
      <c r="P105" s="54"/>
      <c r="Q105" s="88"/>
      <c r="R105" s="54"/>
      <c r="S105" s="4"/>
      <c r="T105" s="4"/>
      <c r="U105" s="4"/>
      <c r="V105" s="4"/>
      <c r="W105" s="4"/>
      <c r="X105" s="4"/>
      <c r="Y105" s="4"/>
      <c r="Z105" s="4"/>
      <c r="AA105" s="4"/>
      <c r="AB105" s="4"/>
      <c r="AC105" s="4"/>
    </row>
    <row r="106" spans="1:29" ht="15.75" customHeight="1" x14ac:dyDescent="0.25">
      <c r="A106" s="4"/>
      <c r="B106" s="70">
        <v>40</v>
      </c>
      <c r="C106" s="252" t="str">
        <f>IF('INPUT DATA'!Q50="","",'INPUT DATA'!Q50)</f>
        <v/>
      </c>
      <c r="D106" s="253"/>
      <c r="E106" s="251"/>
      <c r="F106" s="250" t="str">
        <f>IF('INPUT DATA'!T50="","",'INPUT DATA'!T50)</f>
        <v/>
      </c>
      <c r="G106" s="251"/>
      <c r="H106" s="87" t="str">
        <f>IF('INPUT DATA'!S50="","",'INPUT DATA'!S50)</f>
        <v/>
      </c>
      <c r="I106" s="55" t="str">
        <f t="shared" ca="1" si="1"/>
        <v/>
      </c>
      <c r="J106" s="51"/>
      <c r="K106" s="53"/>
      <c r="L106" s="54"/>
      <c r="M106" s="54"/>
      <c r="N106" s="54"/>
      <c r="O106" s="54"/>
      <c r="P106" s="54"/>
      <c r="Q106" s="88"/>
      <c r="R106" s="54"/>
      <c r="S106" s="4"/>
      <c r="T106" s="4"/>
      <c r="U106" s="4"/>
      <c r="V106" s="4"/>
      <c r="W106" s="4"/>
      <c r="X106" s="4"/>
      <c r="Y106" s="4"/>
      <c r="Z106" s="4"/>
      <c r="AA106" s="4"/>
      <c r="AB106" s="4"/>
      <c r="AC106" s="4"/>
    </row>
    <row r="107" spans="1:29" ht="15.75" customHeight="1" x14ac:dyDescent="0.25">
      <c r="A107" s="4"/>
      <c r="B107" s="70">
        <v>41</v>
      </c>
      <c r="C107" s="252" t="str">
        <f>IF('INPUT DATA'!Q51="","",'INPUT DATA'!Q51)</f>
        <v/>
      </c>
      <c r="D107" s="253"/>
      <c r="E107" s="251"/>
      <c r="F107" s="250" t="str">
        <f>IF('INPUT DATA'!T51="","",'INPUT DATA'!T51)</f>
        <v/>
      </c>
      <c r="G107" s="251"/>
      <c r="H107" s="87" t="str">
        <f>IF('INPUT DATA'!S51="","",'INPUT DATA'!S51)</f>
        <v/>
      </c>
      <c r="I107" s="55" t="str">
        <f t="shared" ca="1" si="1"/>
        <v/>
      </c>
      <c r="J107" s="51"/>
      <c r="K107" s="53"/>
      <c r="L107" s="54"/>
      <c r="M107" s="54"/>
      <c r="N107" s="54"/>
      <c r="O107" s="54"/>
      <c r="P107" s="54"/>
      <c r="Q107" s="88"/>
      <c r="R107" s="54"/>
      <c r="S107" s="4"/>
      <c r="T107" s="4"/>
      <c r="U107" s="4"/>
      <c r="V107" s="4"/>
      <c r="W107" s="4"/>
      <c r="X107" s="4"/>
      <c r="Y107" s="4"/>
      <c r="Z107" s="4"/>
      <c r="AA107" s="4"/>
      <c r="AB107" s="4"/>
      <c r="AC107" s="4"/>
    </row>
    <row r="108" spans="1:29" ht="15.75" customHeight="1" x14ac:dyDescent="0.25">
      <c r="A108" s="4"/>
      <c r="B108" s="70">
        <v>42</v>
      </c>
      <c r="C108" s="252" t="str">
        <f>IF('INPUT DATA'!Q52="","",'INPUT DATA'!Q52)</f>
        <v/>
      </c>
      <c r="D108" s="253"/>
      <c r="E108" s="251"/>
      <c r="F108" s="250" t="str">
        <f>IF('INPUT DATA'!T52="","",'INPUT DATA'!T52)</f>
        <v/>
      </c>
      <c r="G108" s="251"/>
      <c r="H108" s="87" t="str">
        <f>IF('INPUT DATA'!S52="","",'INPUT DATA'!S52)</f>
        <v/>
      </c>
      <c r="I108" s="55" t="str">
        <f t="shared" ca="1" si="1"/>
        <v/>
      </c>
      <c r="J108" s="51"/>
      <c r="K108" s="53"/>
      <c r="L108" s="54"/>
      <c r="M108" s="54"/>
      <c r="N108" s="54"/>
      <c r="O108" s="54"/>
      <c r="P108" s="54"/>
      <c r="Q108" s="88"/>
      <c r="R108" s="54"/>
      <c r="S108" s="4"/>
      <c r="T108" s="4"/>
      <c r="U108" s="4"/>
      <c r="V108" s="4"/>
      <c r="W108" s="4"/>
      <c r="X108" s="4"/>
      <c r="Y108" s="4"/>
      <c r="Z108" s="4"/>
      <c r="AA108" s="4"/>
      <c r="AB108" s="4"/>
      <c r="AC108" s="4"/>
    </row>
    <row r="109" spans="1:29" ht="15.75" customHeight="1" x14ac:dyDescent="0.25">
      <c r="A109" s="4"/>
      <c r="B109" s="70">
        <v>43</v>
      </c>
      <c r="C109" s="252" t="str">
        <f>IF('INPUT DATA'!Q53="","",'INPUT DATA'!Q53)</f>
        <v/>
      </c>
      <c r="D109" s="253"/>
      <c r="E109" s="251"/>
      <c r="F109" s="250" t="str">
        <f>IF('INPUT DATA'!T53="","",'INPUT DATA'!T53)</f>
        <v/>
      </c>
      <c r="G109" s="251"/>
      <c r="H109" s="87" t="str">
        <f>IF('INPUT DATA'!S53="","",'INPUT DATA'!S53)</f>
        <v/>
      </c>
      <c r="I109" s="55" t="str">
        <f t="shared" ca="1" si="1"/>
        <v/>
      </c>
      <c r="J109" s="51"/>
      <c r="K109" s="53"/>
      <c r="L109" s="54"/>
      <c r="M109" s="54"/>
      <c r="N109" s="54"/>
      <c r="O109" s="54"/>
      <c r="P109" s="54"/>
      <c r="Q109" s="88"/>
      <c r="R109" s="54"/>
      <c r="S109" s="4"/>
      <c r="T109" s="4"/>
      <c r="U109" s="4"/>
      <c r="V109" s="4"/>
      <c r="W109" s="4"/>
      <c r="X109" s="4"/>
      <c r="Y109" s="4"/>
      <c r="Z109" s="4"/>
      <c r="AA109" s="4"/>
      <c r="AB109" s="4"/>
      <c r="AC109" s="4"/>
    </row>
    <row r="110" spans="1:29" ht="15.75" customHeight="1" x14ac:dyDescent="0.25">
      <c r="A110" s="4"/>
      <c r="B110" s="70">
        <v>44</v>
      </c>
      <c r="C110" s="252" t="str">
        <f>IF('INPUT DATA'!Q54="","",'INPUT DATA'!Q54)</f>
        <v/>
      </c>
      <c r="D110" s="253"/>
      <c r="E110" s="251"/>
      <c r="F110" s="250" t="str">
        <f>IF('INPUT DATA'!T54="","",'INPUT DATA'!T54)</f>
        <v/>
      </c>
      <c r="G110" s="251"/>
      <c r="H110" s="87" t="str">
        <f>IF('INPUT DATA'!S54="","",'INPUT DATA'!S54)</f>
        <v/>
      </c>
      <c r="I110" s="55" t="str">
        <f t="shared" ca="1" si="1"/>
        <v/>
      </c>
      <c r="J110" s="51"/>
      <c r="K110" s="53"/>
      <c r="L110" s="54"/>
      <c r="M110" s="54"/>
      <c r="N110" s="54"/>
      <c r="O110" s="54"/>
      <c r="P110" s="54"/>
      <c r="Q110" s="88"/>
      <c r="R110" s="54"/>
      <c r="S110" s="4"/>
      <c r="T110" s="4"/>
      <c r="U110" s="4"/>
      <c r="V110" s="4"/>
      <c r="W110" s="4"/>
      <c r="X110" s="4"/>
      <c r="Y110" s="4"/>
      <c r="Z110" s="4"/>
      <c r="AA110" s="4"/>
      <c r="AB110" s="4"/>
      <c r="AC110" s="4"/>
    </row>
    <row r="111" spans="1:29" ht="15.75" customHeight="1" x14ac:dyDescent="0.25">
      <c r="A111" s="4"/>
      <c r="B111" s="70">
        <v>45</v>
      </c>
      <c r="C111" s="252" t="str">
        <f>IF('INPUT DATA'!Q55="","",'INPUT DATA'!Q55)</f>
        <v/>
      </c>
      <c r="D111" s="253"/>
      <c r="E111" s="251"/>
      <c r="F111" s="250" t="str">
        <f>IF('INPUT DATA'!T55="","",'INPUT DATA'!T55)</f>
        <v/>
      </c>
      <c r="G111" s="251"/>
      <c r="H111" s="87" t="str">
        <f>IF('INPUT DATA'!S55="","",'INPUT DATA'!S55)</f>
        <v/>
      </c>
      <c r="I111" s="55" t="str">
        <f t="shared" ca="1" si="1"/>
        <v/>
      </c>
      <c r="J111" s="51"/>
      <c r="K111" s="71"/>
      <c r="L111" s="72"/>
      <c r="M111" s="72"/>
      <c r="N111" s="72"/>
      <c r="O111" s="72"/>
      <c r="P111" s="72"/>
      <c r="Q111" s="89"/>
      <c r="R111" s="72"/>
      <c r="S111" s="4"/>
      <c r="T111" s="4"/>
      <c r="U111" s="4"/>
      <c r="V111" s="4"/>
      <c r="W111" s="4"/>
      <c r="X111" s="4"/>
      <c r="Y111" s="4"/>
      <c r="Z111" s="4"/>
      <c r="AA111" s="4"/>
      <c r="AB111" s="4"/>
      <c r="AC111" s="4"/>
    </row>
    <row r="112" spans="1:29" ht="15.75" customHeight="1" x14ac:dyDescent="0.25">
      <c r="A112" s="4"/>
      <c r="B112" s="70">
        <v>46</v>
      </c>
      <c r="C112" s="252" t="str">
        <f>IF('INPUT DATA'!Q56="","",'INPUT DATA'!Q56)</f>
        <v/>
      </c>
      <c r="D112" s="253"/>
      <c r="E112" s="251"/>
      <c r="F112" s="250" t="str">
        <f>IF('INPUT DATA'!T56="","",'INPUT DATA'!T56)</f>
        <v/>
      </c>
      <c r="G112" s="251"/>
      <c r="H112" s="87" t="str">
        <f>IF('INPUT DATA'!S56="","",'INPUT DATA'!S56)</f>
        <v/>
      </c>
      <c r="I112" s="55" t="str">
        <f t="shared" ca="1" si="1"/>
        <v/>
      </c>
      <c r="J112" s="51"/>
      <c r="K112" s="53"/>
      <c r="L112" s="54"/>
      <c r="M112" s="54"/>
      <c r="N112" s="54"/>
      <c r="O112" s="54"/>
      <c r="P112" s="54"/>
      <c r="Q112" s="88"/>
      <c r="R112" s="54"/>
      <c r="S112" s="4"/>
      <c r="T112" s="4"/>
      <c r="U112" s="4"/>
      <c r="V112" s="4"/>
      <c r="W112" s="4"/>
      <c r="X112" s="4"/>
      <c r="Y112" s="4"/>
      <c r="Z112" s="4"/>
      <c r="AA112" s="4"/>
      <c r="AB112" s="4"/>
      <c r="AC112" s="4"/>
    </row>
    <row r="113" spans="1:29" ht="15.75" customHeight="1" x14ac:dyDescent="0.25">
      <c r="A113" s="4"/>
      <c r="B113" s="70">
        <v>47</v>
      </c>
      <c r="C113" s="252" t="str">
        <f>IF('INPUT DATA'!Q57="","",'INPUT DATA'!Q57)</f>
        <v/>
      </c>
      <c r="D113" s="253"/>
      <c r="E113" s="251"/>
      <c r="F113" s="250" t="str">
        <f>IF('INPUT DATA'!T57="","",'INPUT DATA'!T57)</f>
        <v/>
      </c>
      <c r="G113" s="251"/>
      <c r="H113" s="87" t="str">
        <f>IF('INPUT DATA'!S57="","",'INPUT DATA'!S57)</f>
        <v/>
      </c>
      <c r="I113" s="55" t="str">
        <f t="shared" ca="1" si="1"/>
        <v/>
      </c>
      <c r="J113" s="51"/>
      <c r="K113" s="53"/>
      <c r="L113" s="54"/>
      <c r="M113" s="54"/>
      <c r="N113" s="54"/>
      <c r="O113" s="54"/>
      <c r="P113" s="54"/>
      <c r="Q113" s="88"/>
      <c r="R113" s="54"/>
      <c r="S113" s="4"/>
      <c r="T113" s="4"/>
      <c r="U113" s="4"/>
      <c r="V113" s="4"/>
      <c r="W113" s="4"/>
      <c r="X113" s="4"/>
      <c r="Y113" s="4"/>
      <c r="Z113" s="4"/>
      <c r="AA113" s="4"/>
      <c r="AB113" s="4"/>
      <c r="AC113" s="4"/>
    </row>
    <row r="114" spans="1:29" ht="15.75" customHeight="1" x14ac:dyDescent="0.25">
      <c r="A114" s="4"/>
      <c r="B114" s="70">
        <v>48</v>
      </c>
      <c r="C114" s="252" t="str">
        <f>IF('INPUT DATA'!Q58="","",'INPUT DATA'!Q58)</f>
        <v/>
      </c>
      <c r="D114" s="253"/>
      <c r="E114" s="251"/>
      <c r="F114" s="250" t="str">
        <f>IF('INPUT DATA'!T58="","",'INPUT DATA'!T58)</f>
        <v/>
      </c>
      <c r="G114" s="251"/>
      <c r="H114" s="87" t="str">
        <f>IF('INPUT DATA'!S58="","",'INPUT DATA'!S58)</f>
        <v/>
      </c>
      <c r="I114" s="55" t="str">
        <f t="shared" ca="1" si="1"/>
        <v/>
      </c>
      <c r="J114" s="51"/>
      <c r="K114" s="53"/>
      <c r="L114" s="54"/>
      <c r="M114" s="54"/>
      <c r="N114" s="54"/>
      <c r="O114" s="54"/>
      <c r="P114" s="54"/>
      <c r="Q114" s="88"/>
      <c r="R114" s="54"/>
      <c r="S114" s="4"/>
      <c r="T114" s="4"/>
      <c r="U114" s="4"/>
      <c r="V114" s="4"/>
      <c r="W114" s="4"/>
      <c r="X114" s="4"/>
      <c r="Y114" s="4"/>
      <c r="Z114" s="4"/>
      <c r="AA114" s="4"/>
      <c r="AB114" s="4"/>
      <c r="AC114" s="4"/>
    </row>
    <row r="115" spans="1:29" ht="15.75" customHeight="1" x14ac:dyDescent="0.25">
      <c r="A115" s="4"/>
      <c r="B115" s="70">
        <v>49</v>
      </c>
      <c r="C115" s="252" t="str">
        <f>IF('INPUT DATA'!Q59="","",'INPUT DATA'!Q59)</f>
        <v/>
      </c>
      <c r="D115" s="253"/>
      <c r="E115" s="251"/>
      <c r="F115" s="250" t="str">
        <f>IF('INPUT DATA'!T59="","",'INPUT DATA'!T59)</f>
        <v/>
      </c>
      <c r="G115" s="251"/>
      <c r="H115" s="87" t="str">
        <f>IF('INPUT DATA'!S59="","",'INPUT DATA'!S59)</f>
        <v/>
      </c>
      <c r="I115" s="55" t="str">
        <f t="shared" ca="1" si="1"/>
        <v/>
      </c>
      <c r="J115" s="51"/>
      <c r="K115" s="53"/>
      <c r="L115" s="54"/>
      <c r="M115" s="54"/>
      <c r="N115" s="54"/>
      <c r="O115" s="54"/>
      <c r="P115" s="54"/>
      <c r="Q115" s="88"/>
      <c r="R115" s="54"/>
      <c r="S115" s="4"/>
      <c r="T115" s="4"/>
      <c r="U115" s="4"/>
      <c r="V115" s="4"/>
      <c r="W115" s="4"/>
      <c r="X115" s="4"/>
      <c r="Y115" s="4"/>
      <c r="Z115" s="4"/>
      <c r="AA115" s="4"/>
      <c r="AB115" s="4"/>
      <c r="AC115" s="4"/>
    </row>
    <row r="116" spans="1:29" ht="15.75" customHeight="1" x14ac:dyDescent="0.25">
      <c r="A116" s="4"/>
      <c r="B116" s="75">
        <v>50</v>
      </c>
      <c r="C116" s="243" t="str">
        <f>IF('INPUT DATA'!Q60="","",'INPUT DATA'!Q60)</f>
        <v/>
      </c>
      <c r="D116" s="244"/>
      <c r="E116" s="245"/>
      <c r="F116" s="254" t="str">
        <f>IF('INPUT DATA'!T60="","",'INPUT DATA'!T60)</f>
        <v/>
      </c>
      <c r="G116" s="245"/>
      <c r="H116" s="90" t="str">
        <f>IF('INPUT DATA'!S60="","",'INPUT DATA'!S60)</f>
        <v/>
      </c>
      <c r="I116" s="92" t="str">
        <f t="shared" ca="1" si="1"/>
        <v/>
      </c>
      <c r="J116" s="77"/>
      <c r="K116" s="79"/>
      <c r="L116" s="80"/>
      <c r="M116" s="80"/>
      <c r="N116" s="80"/>
      <c r="O116" s="80"/>
      <c r="P116" s="80"/>
      <c r="Q116" s="91"/>
      <c r="R116" s="80"/>
      <c r="S116" s="4"/>
      <c r="T116" s="4"/>
      <c r="U116" s="4"/>
      <c r="V116" s="4"/>
      <c r="W116" s="4"/>
      <c r="X116" s="4"/>
      <c r="Y116" s="4"/>
      <c r="Z116" s="4"/>
      <c r="AA116" s="4"/>
      <c r="AB116" s="4"/>
      <c r="AC116" s="4"/>
    </row>
    <row r="117" spans="1:29" ht="15.75" customHeight="1" x14ac:dyDescent="0.25">
      <c r="A117" s="3"/>
      <c r="B117" s="3"/>
      <c r="C117" s="2"/>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spans="1:29" ht="15.75" customHeight="1" x14ac:dyDescent="0.25">
      <c r="A118" s="3"/>
      <c r="B118" s="3"/>
      <c r="C118" s="2"/>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spans="1:29" ht="15.75" customHeight="1" x14ac:dyDescent="0.25">
      <c r="A119" s="3"/>
      <c r="B119" s="3"/>
      <c r="C119" s="2"/>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spans="1:29" ht="15.75" customHeight="1" x14ac:dyDescent="0.25">
      <c r="A120" s="3"/>
      <c r="B120" s="3"/>
      <c r="C120" s="2"/>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spans="1:29" ht="15.75" customHeight="1" x14ac:dyDescent="0.25">
      <c r="A121" s="3"/>
      <c r="B121" s="3"/>
      <c r="C121" s="2"/>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spans="1:29" ht="15.75" customHeight="1" x14ac:dyDescent="0.25">
      <c r="A122" s="3"/>
      <c r="B122" s="3"/>
      <c r="C122" s="2"/>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spans="1:29" ht="15.75" customHeight="1" x14ac:dyDescent="0.25">
      <c r="A123" s="3"/>
      <c r="B123" s="3"/>
      <c r="C123" s="2"/>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spans="1:29" ht="15.75" customHeight="1" x14ac:dyDescent="0.25">
      <c r="A124" s="3"/>
      <c r="B124" s="3"/>
      <c r="C124" s="2"/>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spans="1:29" ht="15.75" customHeight="1" x14ac:dyDescent="0.25">
      <c r="A125" s="3"/>
      <c r="B125" s="3"/>
      <c r="C125" s="2"/>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spans="1:29" ht="15.75" customHeight="1" x14ac:dyDescent="0.25">
      <c r="A126" s="3"/>
      <c r="B126" s="3"/>
      <c r="C126" s="2"/>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spans="1:29" ht="15.75" customHeight="1" x14ac:dyDescent="0.25">
      <c r="A127" s="3"/>
      <c r="B127" s="3"/>
      <c r="C127" s="2"/>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spans="1:29" ht="15.75" customHeight="1" x14ac:dyDescent="0.2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row>
    <row r="129" spans="1:29" ht="15.75" customHeight="1" x14ac:dyDescent="0.2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row>
    <row r="130" spans="1:29" ht="15.75" customHeight="1" x14ac:dyDescent="0.2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row>
    <row r="131" spans="1:29" ht="15.75" customHeight="1" x14ac:dyDescent="0.2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row>
    <row r="132" spans="1:29" ht="15.75" customHeight="1" x14ac:dyDescent="0.2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row>
    <row r="133" spans="1:29" ht="15.75" customHeight="1" x14ac:dyDescent="0.2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row>
    <row r="134" spans="1:29" ht="15.75" customHeight="1" x14ac:dyDescent="0.2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row>
    <row r="135" spans="1:29" ht="15.75" customHeight="1" x14ac:dyDescent="0.2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row>
    <row r="136" spans="1:29" ht="15.75" customHeight="1" x14ac:dyDescent="0.2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row>
    <row r="137" spans="1:29" ht="15.75" customHeight="1" x14ac:dyDescent="0.2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row>
    <row r="138" spans="1:29" ht="15.75" customHeight="1" x14ac:dyDescent="0.2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row>
    <row r="139" spans="1:29" ht="15.75" customHeight="1" x14ac:dyDescent="0.2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row>
    <row r="140" spans="1:29" ht="15.75" customHeight="1" x14ac:dyDescent="0.2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row>
    <row r="141" spans="1:29" ht="15.75" customHeight="1" x14ac:dyDescent="0.2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row>
    <row r="142" spans="1:29" ht="15.75" customHeight="1" x14ac:dyDescent="0.2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row>
    <row r="143" spans="1:29" ht="15.75" customHeight="1" x14ac:dyDescent="0.2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row>
    <row r="144" spans="1:29" ht="15.75" customHeight="1" x14ac:dyDescent="0.2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row>
    <row r="145" spans="1:29" ht="15.75" customHeight="1" x14ac:dyDescent="0.2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row>
    <row r="146" spans="1:29" ht="15.75" customHeight="1" x14ac:dyDescent="0.2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row>
    <row r="147" spans="1:29" ht="15.75" customHeight="1" x14ac:dyDescent="0.2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row>
    <row r="148" spans="1:29" ht="15.75" customHeight="1" x14ac:dyDescent="0.2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row>
    <row r="149" spans="1:29" ht="15.75" customHeight="1" x14ac:dyDescent="0.2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row>
    <row r="150" spans="1:29" ht="15.75" customHeight="1" x14ac:dyDescent="0.2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row>
    <row r="151" spans="1:29" ht="15.75" customHeight="1" x14ac:dyDescent="0.2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row>
    <row r="152" spans="1:29" ht="15.75" customHeight="1" x14ac:dyDescent="0.2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row>
    <row r="153" spans="1:29" ht="15.75" customHeight="1" x14ac:dyDescent="0.2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row>
    <row r="154" spans="1:29" ht="15.75" customHeight="1" x14ac:dyDescent="0.2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row>
    <row r="155" spans="1:29" ht="15.75" customHeight="1" x14ac:dyDescent="0.2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row>
    <row r="156" spans="1:29" ht="15.75" customHeight="1" x14ac:dyDescent="0.2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spans="1:29" ht="15.75" customHeight="1" x14ac:dyDescent="0.2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row>
    <row r="158" spans="1:29" ht="15.75" customHeight="1" x14ac:dyDescent="0.2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row>
    <row r="159" spans="1:29" ht="15.75" customHeight="1" x14ac:dyDescent="0.2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row>
    <row r="160" spans="1:29" ht="15.75" customHeight="1" x14ac:dyDescent="0.2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row>
    <row r="161" spans="1:29" ht="15.75" customHeight="1" x14ac:dyDescent="0.2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row>
    <row r="162" spans="1:29" ht="15.75" customHeight="1" x14ac:dyDescent="0.2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row>
    <row r="163" spans="1:29" ht="15.75" customHeight="1" x14ac:dyDescent="0.2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row>
    <row r="164" spans="1:29" ht="15.75" customHeight="1" x14ac:dyDescent="0.2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row>
    <row r="165" spans="1:29" ht="15.75" customHeight="1" x14ac:dyDescent="0.2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row>
    <row r="166" spans="1:29" ht="15.75" customHeight="1" x14ac:dyDescent="0.2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row>
    <row r="167" spans="1:29" ht="15.75" customHeight="1" x14ac:dyDescent="0.2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row>
    <row r="168" spans="1:29" ht="15.75" customHeight="1" x14ac:dyDescent="0.2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row>
    <row r="169" spans="1:29" ht="15.75" customHeight="1" x14ac:dyDescent="0.2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row>
    <row r="170" spans="1:29" ht="15.75" customHeight="1" x14ac:dyDescent="0.2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row>
    <row r="171" spans="1:29" ht="15.75" customHeight="1" x14ac:dyDescent="0.2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row>
    <row r="172" spans="1:29" ht="15.75" customHeight="1" x14ac:dyDescent="0.2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row>
    <row r="173" spans="1:29" ht="15.75" customHeight="1" x14ac:dyDescent="0.2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row>
    <row r="174" spans="1:29" ht="15.75" customHeight="1" x14ac:dyDescent="0.2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row>
    <row r="175" spans="1:29" ht="15.75" customHeight="1" x14ac:dyDescent="0.2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row>
    <row r="176" spans="1:29" ht="15.75" customHeight="1" x14ac:dyDescent="0.2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row>
    <row r="177" spans="1:29" ht="15.75" customHeight="1" x14ac:dyDescent="0.2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row>
    <row r="178" spans="1:29" ht="15.75" customHeight="1" x14ac:dyDescent="0.2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row>
    <row r="179" spans="1:29" ht="15.75" customHeight="1" x14ac:dyDescent="0.2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row>
    <row r="180" spans="1:29" ht="15.75" customHeight="1" x14ac:dyDescent="0.2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row>
    <row r="181" spans="1:29" ht="15.75" customHeight="1" x14ac:dyDescent="0.2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row>
    <row r="182" spans="1:29" ht="15.75" customHeight="1" x14ac:dyDescent="0.2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row>
    <row r="183" spans="1:29" ht="15.75" customHeight="1" x14ac:dyDescent="0.2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row>
    <row r="184" spans="1:29" ht="15.75" customHeight="1" x14ac:dyDescent="0.2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row>
    <row r="185" spans="1:29" ht="15.75" customHeight="1" x14ac:dyDescent="0.2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row>
    <row r="186" spans="1:29" ht="15.75" customHeight="1" x14ac:dyDescent="0.2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row>
    <row r="187" spans="1:29" ht="15.75" customHeight="1" x14ac:dyDescent="0.2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row>
    <row r="188" spans="1:29" ht="15.75" customHeight="1" x14ac:dyDescent="0.2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row>
    <row r="189" spans="1:29" ht="15.75" customHeight="1" x14ac:dyDescent="0.2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row>
    <row r="190" spans="1:29" ht="15.75" customHeight="1" x14ac:dyDescent="0.2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row>
    <row r="191" spans="1:29" ht="15.75" customHeight="1" x14ac:dyDescent="0.2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row>
    <row r="192" spans="1:29" ht="15.75" customHeight="1" x14ac:dyDescent="0.2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row>
    <row r="193" spans="1:29" ht="15.75" customHeight="1" x14ac:dyDescent="0.2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row>
    <row r="194" spans="1:29" ht="15.75" customHeight="1" x14ac:dyDescent="0.2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row>
    <row r="195" spans="1:29" ht="15.75" customHeight="1" x14ac:dyDescent="0.2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row>
    <row r="196" spans="1:29" ht="15.75" customHeight="1" x14ac:dyDescent="0.2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row>
    <row r="197" spans="1:29" ht="15.75" customHeight="1" x14ac:dyDescent="0.2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row>
    <row r="198" spans="1:29" ht="15.75" customHeight="1" x14ac:dyDescent="0.2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row>
    <row r="199" spans="1:29" ht="15.75" customHeight="1" x14ac:dyDescent="0.2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row>
    <row r="200" spans="1:29" ht="15.75" customHeight="1" x14ac:dyDescent="0.2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row>
    <row r="201" spans="1:29" ht="15.75" customHeight="1" x14ac:dyDescent="0.2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row>
    <row r="202" spans="1:29" ht="15.75" customHeight="1" x14ac:dyDescent="0.2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row>
    <row r="203" spans="1:29" ht="15.75" customHeight="1" x14ac:dyDescent="0.2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row>
    <row r="204" spans="1:29" ht="15.75" customHeight="1" x14ac:dyDescent="0.2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row>
    <row r="205" spans="1:29" ht="15.75" customHeight="1" x14ac:dyDescent="0.2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row>
    <row r="206" spans="1:29" ht="15.75" customHeight="1" x14ac:dyDescent="0.2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row>
    <row r="207" spans="1:29" ht="15.75" customHeight="1" x14ac:dyDescent="0.2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row>
    <row r="208" spans="1:29" ht="15.75" customHeight="1" x14ac:dyDescent="0.2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row>
    <row r="209" spans="1:29" ht="15.75" customHeight="1" x14ac:dyDescent="0.2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row>
    <row r="210" spans="1:29" ht="15.75" customHeight="1" x14ac:dyDescent="0.2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row>
    <row r="211" spans="1:29" ht="15.75" customHeight="1" x14ac:dyDescent="0.2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row>
    <row r="212" spans="1:29" ht="15.75" customHeight="1" x14ac:dyDescent="0.2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row>
    <row r="213" spans="1:29" ht="15.75" customHeight="1" x14ac:dyDescent="0.2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row>
    <row r="214" spans="1:29" ht="15.75" customHeight="1" x14ac:dyDescent="0.2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row>
    <row r="215" spans="1:29" ht="15.75" customHeight="1" x14ac:dyDescent="0.2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spans="1:29" ht="15.75" customHeight="1" x14ac:dyDescent="0.2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row>
    <row r="217" spans="1:29" ht="15.75" customHeight="1" x14ac:dyDescent="0.2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spans="1:29" ht="15.75" customHeight="1" x14ac:dyDescent="0.2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spans="1:29" ht="15.75" customHeight="1" x14ac:dyDescent="0.2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spans="1:29" ht="15.75" customHeight="1" x14ac:dyDescent="0.2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spans="1:29" ht="15.75" customHeight="1" x14ac:dyDescent="0.2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spans="1:29" ht="15.75" customHeight="1" x14ac:dyDescent="0.2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spans="1:29" ht="15.75" customHeight="1" x14ac:dyDescent="0.2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spans="1:29" ht="15.75" customHeight="1" x14ac:dyDescent="0.2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spans="1:29" ht="15.75" customHeight="1" x14ac:dyDescent="0.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spans="1:29" ht="15.75" customHeight="1" x14ac:dyDescent="0.2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spans="1:29" ht="15.75" customHeight="1" x14ac:dyDescent="0.2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spans="1:29" ht="15.75" customHeight="1" x14ac:dyDescent="0.2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spans="1:29" ht="15.75" customHeight="1" x14ac:dyDescent="0.2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spans="1:29" ht="15.75" customHeight="1" x14ac:dyDescent="0.2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spans="1:29" ht="15.75" customHeight="1" x14ac:dyDescent="0.2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spans="1:29" ht="15.75" customHeight="1" x14ac:dyDescent="0.2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spans="1:29" ht="15.75" customHeight="1" x14ac:dyDescent="0.2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spans="1:29" ht="15.75" customHeight="1" x14ac:dyDescent="0.2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spans="1:29" ht="15.75" customHeight="1" x14ac:dyDescent="0.2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spans="1:29" ht="15.75" customHeight="1" x14ac:dyDescent="0.2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spans="1:29" ht="15.75" customHeight="1" x14ac:dyDescent="0.2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spans="1:29" ht="15.75" customHeight="1" x14ac:dyDescent="0.2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spans="1:29" ht="15.75" customHeight="1" x14ac:dyDescent="0.2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spans="1:29" ht="15.75" customHeight="1" x14ac:dyDescent="0.2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spans="1:29" ht="15.75" customHeight="1" x14ac:dyDescent="0.2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spans="1:29" ht="15.75" customHeight="1" x14ac:dyDescent="0.2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spans="1:29" ht="15.75" customHeight="1" x14ac:dyDescent="0.2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spans="1:29" ht="15.75" customHeight="1" x14ac:dyDescent="0.2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spans="1:29" ht="15.75" customHeight="1" x14ac:dyDescent="0.2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spans="1:29" ht="15.75" customHeight="1" x14ac:dyDescent="0.2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spans="1:29" ht="15.75" customHeight="1" x14ac:dyDescent="0.2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spans="1:29" ht="15.75" customHeight="1" x14ac:dyDescent="0.2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spans="1:29" ht="15.75" customHeight="1" x14ac:dyDescent="0.2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spans="1:29" ht="15.75" customHeight="1" x14ac:dyDescent="0.2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spans="1:29" ht="15.75" customHeight="1" x14ac:dyDescent="0.2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spans="1:29" ht="15.75" customHeight="1" x14ac:dyDescent="0.2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spans="1:29" ht="15.75" customHeight="1" x14ac:dyDescent="0.2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spans="1:29" ht="15.75" customHeight="1" x14ac:dyDescent="0.2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spans="1:29" ht="15.75" customHeight="1" x14ac:dyDescent="0.2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spans="1:29" ht="15.75" customHeight="1" x14ac:dyDescent="0.2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spans="1:29" ht="15.75" customHeight="1" x14ac:dyDescent="0.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spans="1:29" ht="15.75" customHeight="1" x14ac:dyDescent="0.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spans="1:29" ht="15.75" customHeight="1" x14ac:dyDescent="0.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spans="1:29" ht="15.75" customHeight="1" x14ac:dyDescent="0.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spans="1:29" ht="15.75" customHeight="1" x14ac:dyDescent="0.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spans="1:29" ht="15.75" customHeight="1" x14ac:dyDescent="0.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spans="1:29" ht="15.75" customHeight="1" x14ac:dyDescent="0.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spans="1:29" ht="15.75" customHeight="1" x14ac:dyDescent="0.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spans="1:29" ht="15.75" customHeight="1" x14ac:dyDescent="0.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spans="1:29" ht="15.75" customHeight="1" x14ac:dyDescent="0.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spans="1:29" ht="15.75" customHeight="1"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spans="1:29" ht="15.75" customHeight="1"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spans="1:29" ht="15.75" customHeight="1"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spans="1:29" ht="15.75" customHeight="1"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spans="1:29" ht="15.75" customHeight="1"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spans="1:29" ht="15.75" customHeight="1"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spans="1:29" ht="15.75" customHeight="1"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spans="1:29" ht="15.75" customHeight="1"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spans="1:29" ht="15.75" customHeight="1"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spans="1:29" ht="15.75" customHeight="1"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spans="1:29" ht="15.75" customHeight="1"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spans="1:29" ht="15.75" customHeight="1"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spans="1:29" ht="15.75" customHeight="1"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spans="1:29" ht="15.75" customHeight="1"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spans="1:29" ht="15.75" customHeight="1"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spans="1:29" ht="15.75" customHeight="1"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spans="1:29" ht="15.75" customHeight="1"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spans="1:29" ht="15.75" customHeight="1"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spans="1:29" ht="15.75" customHeight="1"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spans="1:29" ht="15.75" customHeight="1"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spans="1:29" ht="15.75" customHeight="1"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spans="1:29" ht="15.75" customHeight="1"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spans="1:29" ht="15.75" customHeight="1"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spans="1:29" ht="15.75" customHeight="1"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spans="1:29" ht="15.75" customHeight="1"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spans="1:29" ht="15.75" customHeight="1"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spans="1:29" ht="15.75" customHeight="1"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spans="1:29" ht="15.75" customHeight="1"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spans="1:29" ht="15.75" customHeight="1"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spans="1:29" ht="15.75" customHeight="1"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spans="1:29" ht="15.75" customHeight="1"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spans="1:29" ht="15.75" customHeight="1"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spans="1:29" ht="15.75" customHeight="1"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spans="1:29" ht="15.75" customHeight="1"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spans="1:29" ht="15.75" customHeight="1"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spans="1:29" ht="15.75" customHeight="1"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spans="1:29" ht="15.75" customHeight="1"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spans="1:29" ht="15.75" customHeight="1"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spans="1:29" ht="15.75" customHeight="1"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spans="1:29" ht="15.75" customHeight="1"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spans="1:29" ht="15.75" customHeight="1"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spans="1:29" ht="15.75" customHeight="1"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spans="1:29" ht="15.75" customHeight="1"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spans="1:29" ht="15.75" customHeight="1"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spans="1:29" ht="15.75" customHeight="1"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spans="1:29" ht="15.75" customHeight="1"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spans="1:29" ht="15.75" customHeight="1"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spans="1:29" ht="15.75" customHeight="1"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spans="1:29" ht="15.75" customHeight="1"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spans="1:29" ht="15.75" customHeight="1"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spans="1:29" ht="15.75" customHeight="1"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spans="1:29" ht="15.75" customHeight="1"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spans="1:29" ht="15.75" customHeight="1"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spans="1:29" ht="15.75" customHeight="1"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spans="1:29" ht="15.75" customHeight="1"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spans="1:29" ht="15.75" customHeight="1"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spans="1:29" ht="15.75" customHeight="1"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spans="1:29" ht="15.75" customHeight="1"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spans="1:29" ht="15.75" customHeight="1"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spans="1:29" ht="15.75" customHeight="1"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spans="1:29" ht="15.75" customHeight="1"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spans="1:29" ht="15.75" customHeight="1"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spans="1:29" ht="15.75" customHeight="1"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spans="1:29" ht="15.75" customHeight="1"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spans="1:29" ht="15.75" customHeight="1"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spans="1:29" ht="15.75" customHeight="1"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spans="1:29" ht="15.75" customHeight="1"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spans="1:29" ht="15.75" customHeight="1"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spans="1:29" ht="15.75" customHeight="1"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spans="1:29" ht="15.75" customHeight="1"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spans="1:29" ht="15.75" customHeight="1"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spans="1:29" ht="15.75" customHeight="1"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spans="1:29" ht="15.75" customHeight="1"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spans="1:29" ht="15.75" customHeight="1"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spans="1:29" ht="15.75" customHeight="1"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spans="1:29" ht="15.75" customHeight="1"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spans="1:29" ht="15.75" customHeight="1"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spans="1:29" ht="15.75" customHeight="1"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spans="1:29" ht="15.75" customHeight="1"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spans="1:29" ht="15.75" customHeight="1"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spans="1:29" ht="15.75" customHeight="1"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spans="1:29" ht="15.75" customHeight="1"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spans="1:29" ht="15.75" customHeight="1"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spans="1:29" ht="15.75" customHeight="1"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spans="1:29" ht="15.75" customHeight="1"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spans="1:29" ht="15.75" customHeight="1"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spans="1:29" ht="15.75" customHeight="1"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spans="1:29" ht="15.75" customHeight="1"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spans="1:29" ht="15.75" customHeight="1"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spans="1:29" ht="15.75" customHeight="1"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spans="1:29" ht="15.75" customHeight="1"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spans="1:29" ht="15.75" customHeight="1"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spans="1:29" ht="15.75" customHeight="1"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spans="1:29" ht="15.75" customHeight="1"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spans="1:29" ht="15.75" customHeight="1"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spans="1:29" ht="15.75" customHeight="1"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spans="1:29" ht="15.75" customHeight="1"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spans="1:29" ht="15.75" customHeight="1"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spans="1:29" ht="15.75" customHeight="1"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spans="1:29" ht="15.75" customHeight="1"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spans="1:29" ht="15.75" customHeight="1"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spans="1:29" ht="15.75" customHeight="1"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spans="1:29" ht="15.75" customHeight="1"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spans="1:29" ht="15.75" customHeight="1"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spans="1:29" ht="15.75" customHeight="1"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spans="1:29" ht="15.75" customHeight="1"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spans="1:29" ht="15.75" customHeight="1"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spans="1:29" ht="15.75" customHeight="1"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spans="1:29" ht="15.75" customHeight="1"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spans="1:29" ht="15.75" customHeight="1"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spans="1:29" ht="15.75" customHeight="1"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spans="1:29" ht="15.75" customHeight="1"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spans="1:29" ht="15.75" customHeight="1"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spans="1:29" ht="15.75" customHeight="1"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spans="1:29" ht="15.75" customHeight="1"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spans="1:29" ht="15.75" customHeight="1"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spans="1:29" ht="15.75" customHeight="1"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spans="1:29" ht="15.75" customHeight="1"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spans="1:29" ht="15.75" customHeight="1" x14ac:dyDescent="0.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spans="1:29" ht="15.75" customHeight="1" x14ac:dyDescent="0.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spans="1:29" ht="15.75" customHeight="1" x14ac:dyDescent="0.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spans="1:29" ht="15.75" customHeight="1" x14ac:dyDescent="0.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spans="1:29" ht="15.75" customHeight="1" x14ac:dyDescent="0.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spans="1:29" ht="15.75" customHeight="1" x14ac:dyDescent="0.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spans="1:29" ht="15.75" customHeight="1" x14ac:dyDescent="0.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spans="1:29" ht="15.75" customHeight="1" x14ac:dyDescent="0.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spans="1:29" ht="15.75" customHeight="1" x14ac:dyDescent="0.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spans="1:29" ht="15.75" customHeight="1" x14ac:dyDescent="0.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spans="1:29" ht="15.75" customHeight="1" x14ac:dyDescent="0.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spans="1:29" ht="15.75" customHeight="1" x14ac:dyDescent="0.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spans="1:29" ht="15.75" customHeight="1" x14ac:dyDescent="0.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spans="1:29" ht="15.75" customHeight="1" x14ac:dyDescent="0.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spans="1:29" ht="15.75" customHeight="1" x14ac:dyDescent="0.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spans="1:29" ht="15.75" customHeight="1" x14ac:dyDescent="0.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spans="1:29" ht="15.75" customHeight="1" x14ac:dyDescent="0.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spans="1:29" ht="15.75" customHeight="1" x14ac:dyDescent="0.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spans="1:29" ht="15.75" customHeight="1" x14ac:dyDescent="0.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spans="1:29" ht="15.75" customHeight="1" x14ac:dyDescent="0.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spans="1:29" ht="15.75" customHeight="1" x14ac:dyDescent="0.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spans="1:29" ht="15.75" customHeight="1" x14ac:dyDescent="0.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spans="1:29" ht="15.75" customHeight="1" x14ac:dyDescent="0.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spans="1:29" ht="15.75" customHeight="1" x14ac:dyDescent="0.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spans="1:29" ht="15.75" customHeight="1" x14ac:dyDescent="0.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spans="1:29" ht="15.75" customHeight="1" x14ac:dyDescent="0.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spans="1:29" ht="15.75" customHeight="1" x14ac:dyDescent="0.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spans="1:29" ht="15.75" customHeight="1" x14ac:dyDescent="0.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spans="1:29" ht="15.75" customHeight="1" x14ac:dyDescent="0.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spans="1:29" ht="15.75" customHeight="1" x14ac:dyDescent="0.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spans="1:29" ht="15.75" customHeight="1" x14ac:dyDescent="0.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spans="1:29" ht="15.75" customHeight="1" x14ac:dyDescent="0.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spans="1:29" ht="15.75" customHeight="1" x14ac:dyDescent="0.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spans="1:29" ht="15.75" customHeight="1" x14ac:dyDescent="0.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spans="1:29" ht="15.75" customHeight="1" x14ac:dyDescent="0.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spans="1:29" ht="15.75" customHeight="1" x14ac:dyDescent="0.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spans="1:29" ht="15.75" customHeight="1" x14ac:dyDescent="0.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spans="1:29" ht="15.75" customHeight="1" x14ac:dyDescent="0.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spans="1:29" ht="15.75" customHeight="1" x14ac:dyDescent="0.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spans="1:29" ht="15.75" customHeight="1" x14ac:dyDescent="0.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spans="1:29" ht="15.75" customHeight="1" x14ac:dyDescent="0.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spans="1:29" ht="15.75" customHeight="1" x14ac:dyDescent="0.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spans="1:29" ht="15.75" customHeight="1" x14ac:dyDescent="0.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spans="1:29" ht="15.75" customHeight="1" x14ac:dyDescent="0.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spans="1:29" ht="15.75" customHeight="1" x14ac:dyDescent="0.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spans="1:29" ht="15.75" customHeight="1" x14ac:dyDescent="0.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spans="1:29" ht="15.75" customHeight="1" x14ac:dyDescent="0.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spans="1:29" ht="15.75" customHeight="1" x14ac:dyDescent="0.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spans="1:29" ht="15.75" customHeight="1" x14ac:dyDescent="0.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spans="1:29" ht="15.75" customHeight="1" x14ac:dyDescent="0.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spans="1:29" ht="15.75" customHeight="1" x14ac:dyDescent="0.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spans="1:29" ht="15.75" customHeight="1" x14ac:dyDescent="0.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spans="1:29" ht="15.75" customHeight="1" x14ac:dyDescent="0.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spans="1:29" ht="15.75" customHeight="1" x14ac:dyDescent="0.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spans="1:29" ht="15.75" customHeight="1" x14ac:dyDescent="0.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spans="1:29" ht="15.75" customHeight="1" x14ac:dyDescent="0.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spans="1:29" ht="15.75" customHeight="1" x14ac:dyDescent="0.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spans="1:29" ht="15.75" customHeight="1" x14ac:dyDescent="0.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spans="1:29" ht="15.75" customHeight="1" x14ac:dyDescent="0.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spans="1:29" ht="15.75" customHeight="1" x14ac:dyDescent="0.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spans="1:29" ht="15.75" customHeight="1" x14ac:dyDescent="0.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spans="1:29" ht="15.75" customHeight="1" x14ac:dyDescent="0.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spans="1:29" ht="15.75" customHeight="1" x14ac:dyDescent="0.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spans="1:29" ht="15.75" customHeight="1" x14ac:dyDescent="0.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spans="1:29" ht="15.75" customHeight="1" x14ac:dyDescent="0.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spans="1:29" ht="15.75" customHeight="1" x14ac:dyDescent="0.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spans="1:29" ht="15.75" customHeight="1" x14ac:dyDescent="0.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spans="1:29" ht="15.75" customHeight="1" x14ac:dyDescent="0.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spans="1:29" ht="15.75" customHeight="1" x14ac:dyDescent="0.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spans="1:29" ht="15.75" customHeight="1" x14ac:dyDescent="0.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spans="1:29" ht="15.75" customHeight="1" x14ac:dyDescent="0.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spans="1:29" ht="15.75" customHeight="1" x14ac:dyDescent="0.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spans="1:29" ht="15.75" customHeight="1" x14ac:dyDescent="0.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spans="1:29" ht="15.75" customHeight="1" x14ac:dyDescent="0.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spans="1:29" ht="15.75" customHeight="1" x14ac:dyDescent="0.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spans="1:29" ht="15.75" customHeight="1" x14ac:dyDescent="0.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spans="1:29" ht="15.75" customHeight="1" x14ac:dyDescent="0.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spans="1:29" ht="15.75" customHeight="1" x14ac:dyDescent="0.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spans="1:29" ht="15.75" customHeight="1" x14ac:dyDescent="0.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spans="1:29" ht="15.75" customHeight="1" x14ac:dyDescent="0.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spans="1:29" ht="15.75" customHeight="1" x14ac:dyDescent="0.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spans="1:29" ht="15.75" customHeight="1" x14ac:dyDescent="0.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spans="1:29" ht="15.75" customHeight="1" x14ac:dyDescent="0.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spans="1:29" ht="15.75" customHeight="1" x14ac:dyDescent="0.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spans="1:29" ht="15.75" customHeight="1" x14ac:dyDescent="0.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spans="1:29" ht="15.75" customHeight="1" x14ac:dyDescent="0.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spans="1:29" ht="15.75" customHeight="1" x14ac:dyDescent="0.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spans="1:29" ht="15.75" customHeight="1" x14ac:dyDescent="0.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spans="1:29" ht="15.75" customHeight="1" x14ac:dyDescent="0.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spans="1:29" ht="15.75" customHeight="1" x14ac:dyDescent="0.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spans="1:29" ht="15.75" customHeight="1" x14ac:dyDescent="0.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spans="1:29" ht="15.75" customHeight="1" x14ac:dyDescent="0.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spans="1:29" ht="15.75" customHeight="1" x14ac:dyDescent="0.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spans="1:29" ht="15.75" customHeight="1" x14ac:dyDescent="0.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spans="1:29" ht="15.75" customHeight="1" x14ac:dyDescent="0.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spans="1:29" ht="15.75" customHeight="1" x14ac:dyDescent="0.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spans="1:29" ht="15.75" customHeight="1" x14ac:dyDescent="0.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spans="1:29" ht="15.75" customHeight="1" x14ac:dyDescent="0.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spans="1:29" ht="15.75" customHeight="1" x14ac:dyDescent="0.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spans="1:29" ht="15.75" customHeight="1" x14ac:dyDescent="0.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spans="1:29" ht="15.75" customHeight="1" x14ac:dyDescent="0.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spans="1:29" ht="15.75" customHeight="1" x14ac:dyDescent="0.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spans="1:29" ht="15.75" customHeight="1" x14ac:dyDescent="0.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spans="1:29" ht="15.75" customHeight="1" x14ac:dyDescent="0.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spans="1:29" ht="15.75" customHeight="1" x14ac:dyDescent="0.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spans="1:29" ht="15.75" customHeight="1" x14ac:dyDescent="0.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spans="1:29" ht="15.75" customHeight="1" x14ac:dyDescent="0.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spans="1:29" ht="15.75" customHeight="1" x14ac:dyDescent="0.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spans="1:29" ht="15.75" customHeight="1" x14ac:dyDescent="0.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spans="1:29" ht="15.75" customHeight="1" x14ac:dyDescent="0.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spans="1:29" ht="15.75" customHeight="1" x14ac:dyDescent="0.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spans="1:29" ht="15.75" customHeight="1" x14ac:dyDescent="0.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spans="1:29" ht="15.75" customHeight="1" x14ac:dyDescent="0.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spans="1:29" ht="15.75" customHeight="1" x14ac:dyDescent="0.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spans="1:29" ht="15.75" customHeight="1" x14ac:dyDescent="0.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spans="1:29" ht="15.75" customHeight="1" x14ac:dyDescent="0.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spans="1:29" ht="15.75" customHeight="1" x14ac:dyDescent="0.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spans="1:29" ht="15.75" customHeight="1" x14ac:dyDescent="0.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spans="1:29" ht="15.75" customHeight="1" x14ac:dyDescent="0.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spans="1:29" ht="15.75" customHeight="1" x14ac:dyDescent="0.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spans="1:29" ht="15.75" customHeight="1" x14ac:dyDescent="0.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spans="1:29" ht="15.75" customHeight="1" x14ac:dyDescent="0.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spans="1:29" ht="15.75" customHeight="1" x14ac:dyDescent="0.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spans="1:29" ht="15.75" customHeight="1" x14ac:dyDescent="0.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spans="1:29" ht="15.75" customHeight="1" x14ac:dyDescent="0.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spans="1:29" ht="15.75" customHeight="1" x14ac:dyDescent="0.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spans="1:29" ht="15.75" customHeight="1" x14ac:dyDescent="0.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spans="1:29" ht="15.75" customHeight="1" x14ac:dyDescent="0.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spans="1:29" ht="15.75" customHeight="1" x14ac:dyDescent="0.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spans="1:29" ht="15.75" customHeight="1" x14ac:dyDescent="0.2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spans="1:29" ht="15.75" customHeight="1" x14ac:dyDescent="0.2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spans="1:29" ht="15.75" customHeight="1" x14ac:dyDescent="0.2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spans="1:29" ht="15.75" customHeight="1" x14ac:dyDescent="0.2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spans="1:29" ht="15.75" customHeight="1" x14ac:dyDescent="0.2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spans="1:29" ht="15.75" customHeight="1" x14ac:dyDescent="0.2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spans="1:29" ht="15.75" customHeight="1" x14ac:dyDescent="0.2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spans="1:29" ht="15.75" customHeight="1" x14ac:dyDescent="0.2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spans="1:29" ht="15.75" customHeight="1" x14ac:dyDescent="0.2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spans="1:29" ht="15.75" customHeight="1" x14ac:dyDescent="0.2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spans="1:29" ht="15.75" customHeight="1" x14ac:dyDescent="0.2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spans="1:29" ht="15.75" customHeight="1" x14ac:dyDescent="0.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spans="1:29" ht="15.75" customHeight="1" x14ac:dyDescent="0.2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spans="1:29" ht="15.75" customHeight="1" x14ac:dyDescent="0.2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spans="1:29" ht="15.75" customHeight="1" x14ac:dyDescent="0.2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spans="1:29" ht="15.75" customHeight="1" x14ac:dyDescent="0.2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spans="1:29" ht="15.75" customHeight="1" x14ac:dyDescent="0.2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spans="1:29" ht="15.75" customHeight="1" x14ac:dyDescent="0.2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spans="1:29" ht="15.75" customHeight="1" x14ac:dyDescent="0.2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spans="1:29" ht="15.75" customHeight="1" x14ac:dyDescent="0.2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spans="1:29" ht="15.75" customHeight="1" x14ac:dyDescent="0.2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spans="1:29" ht="15.75" customHeight="1" x14ac:dyDescent="0.2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spans="1:29" ht="15.75" customHeight="1" x14ac:dyDescent="0.2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spans="1:29" ht="15.75" customHeight="1" x14ac:dyDescent="0.2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spans="1:29" ht="15.75" customHeight="1" x14ac:dyDescent="0.2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spans="1:29" ht="15.75" customHeight="1" x14ac:dyDescent="0.2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spans="1:29" ht="15.75" customHeight="1" x14ac:dyDescent="0.2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spans="1:29" ht="15.75" customHeight="1" x14ac:dyDescent="0.2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spans="1:29" ht="15.75" customHeight="1" x14ac:dyDescent="0.2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spans="1:29" ht="15.75" customHeight="1" x14ac:dyDescent="0.2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spans="1:29" ht="15.75" customHeight="1" x14ac:dyDescent="0.2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spans="1:29" ht="15.75" customHeight="1" x14ac:dyDescent="0.2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spans="1:29" ht="15.75" customHeight="1" x14ac:dyDescent="0.2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spans="1:29" ht="15.75" customHeight="1" x14ac:dyDescent="0.2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spans="1:29" ht="15.75" customHeight="1" x14ac:dyDescent="0.2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spans="1:29" ht="15.75" customHeight="1" x14ac:dyDescent="0.2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spans="1:29" ht="15.75" customHeight="1" x14ac:dyDescent="0.2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spans="1:29" ht="15.75" customHeight="1" x14ac:dyDescent="0.2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spans="1:29" ht="15.75" customHeight="1" x14ac:dyDescent="0.2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spans="1:29" ht="15.75" customHeight="1" x14ac:dyDescent="0.2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spans="1:29" ht="15.75" customHeight="1" x14ac:dyDescent="0.2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spans="1:29" ht="15.75" customHeight="1" x14ac:dyDescent="0.2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spans="1:29" ht="15.75" customHeight="1" x14ac:dyDescent="0.2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spans="1:29" ht="15.75" customHeight="1" x14ac:dyDescent="0.2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spans="1:29" ht="15.75" customHeight="1" x14ac:dyDescent="0.2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spans="1:29" ht="15.75" customHeight="1" x14ac:dyDescent="0.2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spans="1:29" ht="15.75" customHeight="1" x14ac:dyDescent="0.2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spans="1:29" ht="15.75" customHeight="1" x14ac:dyDescent="0.2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spans="1:29" ht="15.75" customHeight="1" x14ac:dyDescent="0.2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spans="1:29" ht="15.75" customHeight="1" x14ac:dyDescent="0.2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spans="1:29" ht="15.75" customHeight="1" x14ac:dyDescent="0.2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spans="1:29" ht="15.75" customHeight="1" x14ac:dyDescent="0.2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spans="1:29" ht="15.75" customHeight="1" x14ac:dyDescent="0.2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spans="1:29" ht="15.75" customHeight="1" x14ac:dyDescent="0.2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spans="1:29" ht="15.75" customHeight="1" x14ac:dyDescent="0.2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spans="1:29" ht="15.75" customHeight="1" x14ac:dyDescent="0.2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spans="1:29" ht="15.75" customHeight="1" x14ac:dyDescent="0.2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spans="1:29" ht="15.75" customHeight="1" x14ac:dyDescent="0.2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spans="1:29" ht="15.75" customHeight="1" x14ac:dyDescent="0.2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spans="1:29" ht="15.75" customHeight="1" x14ac:dyDescent="0.2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spans="1:29" ht="15.75" customHeight="1" x14ac:dyDescent="0.2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spans="1:29" ht="15.75" customHeight="1" x14ac:dyDescent="0.2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spans="1:29" ht="15.75" customHeight="1" x14ac:dyDescent="0.2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spans="1:29" ht="15.75" customHeight="1" x14ac:dyDescent="0.2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spans="1:29" ht="15.75" customHeight="1" x14ac:dyDescent="0.2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spans="1:29" ht="15.75" customHeight="1" x14ac:dyDescent="0.2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spans="1:29" ht="15.75" customHeight="1" x14ac:dyDescent="0.2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spans="1:29" ht="15.75" customHeight="1" x14ac:dyDescent="0.2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spans="1:29" ht="15.75" customHeight="1" x14ac:dyDescent="0.2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spans="1:29" ht="15.75" customHeight="1" x14ac:dyDescent="0.2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spans="1:29" ht="15.75" customHeight="1" x14ac:dyDescent="0.2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spans="1:29" ht="15.75" customHeight="1" x14ac:dyDescent="0.2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spans="1:29" ht="15.75" customHeight="1" x14ac:dyDescent="0.2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spans="1:29" ht="15.75" customHeight="1" x14ac:dyDescent="0.2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spans="1:29" ht="15.75" customHeight="1" x14ac:dyDescent="0.2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spans="1:29" ht="15.75" customHeight="1" x14ac:dyDescent="0.2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spans="1:29" ht="15.75" customHeight="1" x14ac:dyDescent="0.2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spans="1:29" ht="15.75" customHeight="1" x14ac:dyDescent="0.2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spans="1:29" ht="15.75" customHeight="1" x14ac:dyDescent="0.2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spans="1:29" ht="15.75" customHeight="1" x14ac:dyDescent="0.2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spans="1:29" ht="15.75" customHeight="1" x14ac:dyDescent="0.2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spans="1:29" ht="15.75" customHeight="1" x14ac:dyDescent="0.2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spans="1:29" ht="15.75" customHeight="1" x14ac:dyDescent="0.2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spans="1:29" ht="15.75" customHeight="1" x14ac:dyDescent="0.2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spans="1:29" ht="15.75" customHeight="1" x14ac:dyDescent="0.2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spans="1:29" ht="15.75" customHeight="1" x14ac:dyDescent="0.2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spans="1:29" ht="15.75" customHeight="1" x14ac:dyDescent="0.2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spans="1:29" ht="15.75" customHeight="1" x14ac:dyDescent="0.2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spans="1:29" ht="15.75" customHeight="1" x14ac:dyDescent="0.2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spans="1:29" ht="15.75" customHeight="1" x14ac:dyDescent="0.2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spans="1:29" ht="15.75" customHeight="1" x14ac:dyDescent="0.2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spans="1:29" ht="15.75" customHeight="1" x14ac:dyDescent="0.2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spans="1:29" ht="15.75" customHeight="1" x14ac:dyDescent="0.2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spans="1:29" ht="15.75" customHeight="1" x14ac:dyDescent="0.2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spans="1:29" ht="15.75" customHeight="1" x14ac:dyDescent="0.2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spans="1:29" ht="15.75" customHeight="1" x14ac:dyDescent="0.2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spans="1:29" ht="15.75" customHeight="1" x14ac:dyDescent="0.2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spans="1:29" ht="15.75" customHeight="1" x14ac:dyDescent="0.2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spans="1:29" ht="15.75" customHeight="1" x14ac:dyDescent="0.2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spans="1:29" ht="15.75" customHeight="1" x14ac:dyDescent="0.2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spans="1:29" ht="15.75" customHeight="1" x14ac:dyDescent="0.2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spans="1:29" ht="15.75" customHeight="1" x14ac:dyDescent="0.2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spans="1:29" ht="15.75" customHeight="1" x14ac:dyDescent="0.2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spans="1:29" ht="15.75" customHeight="1" x14ac:dyDescent="0.2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spans="1:29" ht="15.75" customHeight="1" x14ac:dyDescent="0.2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spans="1:29" ht="15.75" customHeight="1" x14ac:dyDescent="0.2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spans="1:29" ht="15.75" customHeight="1" x14ac:dyDescent="0.2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spans="1:29" ht="15.75" customHeight="1" x14ac:dyDescent="0.2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spans="1:29" ht="15.75" customHeight="1" x14ac:dyDescent="0.2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spans="1:29" ht="15.75" customHeight="1" x14ac:dyDescent="0.2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spans="1:29" ht="15.75" customHeight="1" x14ac:dyDescent="0.2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spans="1:29" ht="15.75" customHeight="1" x14ac:dyDescent="0.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spans="1:29" ht="15.75" customHeight="1" x14ac:dyDescent="0.2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spans="1:29" ht="15.75" customHeight="1" x14ac:dyDescent="0.2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spans="1:29" ht="15.75" customHeight="1" x14ac:dyDescent="0.2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spans="1:29" ht="15.75" customHeight="1" x14ac:dyDescent="0.2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spans="1:29" ht="15.75" customHeight="1" x14ac:dyDescent="0.2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spans="1:29" ht="15.75" customHeight="1" x14ac:dyDescent="0.2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spans="1:29" ht="15.75" customHeight="1" x14ac:dyDescent="0.2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spans="1:29" ht="15.75" customHeight="1" x14ac:dyDescent="0.2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spans="1:29" ht="15.75" customHeight="1" x14ac:dyDescent="0.2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spans="1:29" ht="15.75" customHeight="1" x14ac:dyDescent="0.2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spans="1:29" ht="15.75" customHeight="1" x14ac:dyDescent="0.2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spans="1:29" ht="15.75" customHeight="1" x14ac:dyDescent="0.2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spans="1:29" ht="15.75" customHeight="1" x14ac:dyDescent="0.2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spans="1:29" ht="15.75" customHeight="1" x14ac:dyDescent="0.2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spans="1:29" ht="15.75" customHeight="1" x14ac:dyDescent="0.2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spans="1:29" ht="15.75" customHeight="1" x14ac:dyDescent="0.2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spans="1:29" ht="15.75" customHeight="1" x14ac:dyDescent="0.2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spans="1:29" ht="15.75" customHeight="1" x14ac:dyDescent="0.2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spans="1:29" ht="15.75" customHeight="1" x14ac:dyDescent="0.2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spans="1:29" ht="15.75" customHeight="1" x14ac:dyDescent="0.2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spans="1:29" ht="15.75" customHeight="1" x14ac:dyDescent="0.2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spans="1:29" ht="15.75" customHeight="1" x14ac:dyDescent="0.2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spans="1:29" ht="15.75" customHeight="1" x14ac:dyDescent="0.2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spans="1:29" ht="15.75" customHeight="1" x14ac:dyDescent="0.2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spans="1:29" ht="15.75" customHeight="1" x14ac:dyDescent="0.2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spans="1:29" ht="15.75" customHeight="1" x14ac:dyDescent="0.2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spans="1:29" ht="15.75" customHeight="1" x14ac:dyDescent="0.2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spans="1:29" ht="15.75" customHeight="1" x14ac:dyDescent="0.2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spans="1:29" ht="15.75" customHeight="1" x14ac:dyDescent="0.2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spans="1:29" ht="15.75" customHeight="1" x14ac:dyDescent="0.2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spans="1:29" ht="15.75" customHeight="1" x14ac:dyDescent="0.2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spans="1:29" ht="15.75" customHeight="1" x14ac:dyDescent="0.2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spans="1:29" ht="15.75" customHeight="1" x14ac:dyDescent="0.2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spans="1:29" ht="15.75" customHeight="1" x14ac:dyDescent="0.2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spans="1:29" ht="15.75" customHeight="1" x14ac:dyDescent="0.2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spans="1:29" ht="15.75" customHeight="1" x14ac:dyDescent="0.2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spans="1:29" ht="15.75" customHeight="1" x14ac:dyDescent="0.2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spans="1:29" ht="15.75" customHeight="1" x14ac:dyDescent="0.2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spans="1:29" ht="15.75" customHeight="1" x14ac:dyDescent="0.2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spans="1:29" ht="15.75" customHeight="1" x14ac:dyDescent="0.2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spans="1:29" ht="15.75" customHeight="1" x14ac:dyDescent="0.2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spans="1:29" ht="15.75" customHeight="1" x14ac:dyDescent="0.2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spans="1:29" ht="15.75" customHeight="1" x14ac:dyDescent="0.2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spans="1:29" ht="15.75" customHeight="1" x14ac:dyDescent="0.2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spans="1:29" ht="15.75" customHeight="1" x14ac:dyDescent="0.2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spans="1:29" ht="15.75" customHeight="1" x14ac:dyDescent="0.2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spans="1:29" ht="15.75" customHeight="1" x14ac:dyDescent="0.2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spans="1:29" ht="15.75" customHeight="1" x14ac:dyDescent="0.2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spans="1:29" ht="15.75" customHeight="1" x14ac:dyDescent="0.2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spans="1:29" ht="15.75" customHeight="1" x14ac:dyDescent="0.2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spans="1:29" ht="15.75" customHeight="1" x14ac:dyDescent="0.2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spans="1:29" ht="15.75" customHeight="1" x14ac:dyDescent="0.2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spans="1:29" ht="15.75" customHeight="1" x14ac:dyDescent="0.2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spans="1:29" ht="15.75" customHeight="1" x14ac:dyDescent="0.2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spans="1:29" ht="15.75" customHeight="1" x14ac:dyDescent="0.2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spans="1:29" ht="15.75" customHeight="1" x14ac:dyDescent="0.2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spans="1:29" ht="15.75" customHeight="1" x14ac:dyDescent="0.2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spans="1:29" ht="15.75" customHeight="1" x14ac:dyDescent="0.2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spans="1:29" ht="15.75" customHeight="1" x14ac:dyDescent="0.2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spans="1:29" ht="15.75" customHeight="1" x14ac:dyDescent="0.2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spans="1:29" ht="15.75" customHeight="1" x14ac:dyDescent="0.2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spans="1:29" ht="15.75" customHeight="1" x14ac:dyDescent="0.2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spans="1:29" ht="15.75" customHeight="1" x14ac:dyDescent="0.2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spans="1:29" ht="15.75" customHeight="1" x14ac:dyDescent="0.2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spans="1:29" ht="15.75" customHeight="1" x14ac:dyDescent="0.2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spans="1:29" ht="15.75" customHeight="1" x14ac:dyDescent="0.2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spans="1:29" ht="15.75" customHeight="1" x14ac:dyDescent="0.2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spans="1:29" ht="15.75" customHeight="1" x14ac:dyDescent="0.2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spans="1:29" ht="15.75" customHeight="1" x14ac:dyDescent="0.2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spans="1:29" ht="15.75" customHeight="1" x14ac:dyDescent="0.2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spans="1:29" ht="15.75" customHeight="1" x14ac:dyDescent="0.2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spans="1:29" ht="15.75" customHeight="1" x14ac:dyDescent="0.2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spans="1:29" ht="15.75" customHeight="1" x14ac:dyDescent="0.2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spans="1:29" ht="15.75" customHeight="1" x14ac:dyDescent="0.2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spans="1:29" ht="15.75" customHeight="1" x14ac:dyDescent="0.2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spans="1:29" ht="15.75" customHeight="1" x14ac:dyDescent="0.2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spans="1:29" ht="15.75" customHeight="1" x14ac:dyDescent="0.2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spans="1:29" ht="15.75" customHeight="1" x14ac:dyDescent="0.2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spans="1:29" ht="15.75" customHeight="1" x14ac:dyDescent="0.2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spans="1:29" ht="15.75" customHeight="1" x14ac:dyDescent="0.2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spans="1:29" ht="15.75" customHeight="1" x14ac:dyDescent="0.2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spans="1:29" ht="15.75" customHeight="1" x14ac:dyDescent="0.2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spans="1:29" ht="15.75" customHeight="1" x14ac:dyDescent="0.2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spans="1:29" ht="15.75" customHeight="1" x14ac:dyDescent="0.2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spans="1:29" ht="15.75" customHeight="1" x14ac:dyDescent="0.2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spans="1:29" ht="15.75" customHeight="1" x14ac:dyDescent="0.2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spans="1:29" ht="15.75" customHeight="1" x14ac:dyDescent="0.2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spans="1:29" ht="15.75" customHeight="1" x14ac:dyDescent="0.2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spans="1:29" ht="15.75" customHeight="1" x14ac:dyDescent="0.2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spans="1:29" ht="15.75" customHeight="1" x14ac:dyDescent="0.2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spans="1:29" ht="15.75" customHeight="1" x14ac:dyDescent="0.2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spans="1:29" ht="15.75" customHeight="1" x14ac:dyDescent="0.2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spans="1:29" ht="15.75" customHeight="1" x14ac:dyDescent="0.2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spans="1:29" ht="15.75" customHeight="1" x14ac:dyDescent="0.2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spans="1:29" ht="15.75" customHeight="1" x14ac:dyDescent="0.2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spans="1:29" ht="15.75" customHeight="1" x14ac:dyDescent="0.2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spans="1:29" ht="15.75" customHeight="1" x14ac:dyDescent="0.2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spans="1:29" ht="15.75" customHeight="1" x14ac:dyDescent="0.2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spans="1:29" ht="15.75" customHeight="1" x14ac:dyDescent="0.2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spans="1:29" ht="15.75" customHeight="1" x14ac:dyDescent="0.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spans="1:29" ht="15.75" customHeight="1" x14ac:dyDescent="0.2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spans="1:29" ht="15.75" customHeight="1" x14ac:dyDescent="0.2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spans="1:29" ht="15.75" customHeight="1" x14ac:dyDescent="0.2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spans="1:29" ht="15.75" customHeight="1" x14ac:dyDescent="0.2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spans="1:29" ht="15.75" customHeight="1" x14ac:dyDescent="0.2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spans="1:29" ht="15.75" customHeight="1" x14ac:dyDescent="0.2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spans="1:29" ht="15.75" customHeight="1" x14ac:dyDescent="0.2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spans="1:29" ht="15.75" customHeight="1" x14ac:dyDescent="0.2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spans="1:29" ht="15.75" customHeight="1" x14ac:dyDescent="0.2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spans="1:29" ht="15.75" customHeight="1" x14ac:dyDescent="0.2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spans="1:29" ht="15.75" customHeight="1" x14ac:dyDescent="0.2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spans="1:29" ht="15.75" customHeight="1" x14ac:dyDescent="0.2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spans="1:29" ht="15.75" customHeight="1" x14ac:dyDescent="0.2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spans="1:29" ht="15.75" customHeight="1" x14ac:dyDescent="0.2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spans="1:29" ht="15.75" customHeight="1" x14ac:dyDescent="0.2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spans="1:29" ht="15.75" customHeight="1" x14ac:dyDescent="0.2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spans="1:29" ht="15.75" customHeight="1" x14ac:dyDescent="0.2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spans="1:29" ht="15.75" customHeight="1" x14ac:dyDescent="0.2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spans="1:29" ht="15.75" customHeight="1" x14ac:dyDescent="0.2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spans="1:29" ht="15.75" customHeight="1" x14ac:dyDescent="0.2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spans="1:29" ht="15.75" customHeight="1" x14ac:dyDescent="0.2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spans="1:29" ht="15.75" customHeight="1" x14ac:dyDescent="0.2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spans="1:29" ht="15.75" customHeight="1" x14ac:dyDescent="0.2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spans="1:29" ht="15.75" customHeight="1" x14ac:dyDescent="0.2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spans="1:29" ht="15.75" customHeight="1" x14ac:dyDescent="0.2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spans="1:29" ht="15.75" customHeight="1" x14ac:dyDescent="0.2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spans="1:29" ht="15.75" customHeight="1" x14ac:dyDescent="0.2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spans="1:29" ht="15.75" customHeight="1" x14ac:dyDescent="0.2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spans="1:29" ht="15.75" customHeight="1" x14ac:dyDescent="0.2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spans="1:29" ht="15.75" customHeight="1" x14ac:dyDescent="0.2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spans="1:29" ht="15.75" customHeight="1" x14ac:dyDescent="0.2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spans="1:29" ht="15.75" customHeight="1" x14ac:dyDescent="0.2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spans="1:29" ht="15.75" customHeight="1" x14ac:dyDescent="0.2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spans="1:29" ht="15.75" customHeight="1" x14ac:dyDescent="0.2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spans="1:29" ht="15.75" customHeight="1" x14ac:dyDescent="0.2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spans="1:29" ht="15.75" customHeight="1" x14ac:dyDescent="0.2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spans="1:29" ht="15.75" customHeight="1" x14ac:dyDescent="0.2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spans="1:29" ht="15.75" customHeight="1" x14ac:dyDescent="0.2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spans="1:29" ht="15.75" customHeight="1" x14ac:dyDescent="0.2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spans="1:29" ht="15.75" customHeight="1" x14ac:dyDescent="0.2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spans="1:29" ht="15.75" customHeight="1" x14ac:dyDescent="0.2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spans="1:29" ht="15.75" customHeight="1" x14ac:dyDescent="0.2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spans="1:29" ht="15.75" customHeight="1" x14ac:dyDescent="0.2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spans="1:29" ht="15.75" customHeight="1" x14ac:dyDescent="0.2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spans="1:29" ht="15.75" customHeight="1" x14ac:dyDescent="0.2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spans="1:29" ht="15.75" customHeight="1" x14ac:dyDescent="0.2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spans="1:29" ht="15.75" customHeight="1" x14ac:dyDescent="0.2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spans="1:29" ht="15.75" customHeight="1" x14ac:dyDescent="0.2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spans="1:29" ht="15.75" customHeight="1" x14ac:dyDescent="0.2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spans="1:29" ht="15.75" customHeight="1" x14ac:dyDescent="0.2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spans="1:29" ht="15.75" customHeight="1" x14ac:dyDescent="0.2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spans="1:29" ht="15.75" customHeight="1" x14ac:dyDescent="0.2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spans="1:29" ht="15.75" customHeight="1" x14ac:dyDescent="0.2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spans="1:29" ht="15.75" customHeight="1" x14ac:dyDescent="0.2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spans="1:29" ht="15.75" customHeight="1" x14ac:dyDescent="0.2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spans="1:29" ht="15.75" customHeight="1" x14ac:dyDescent="0.2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spans="1:29" ht="15.75" customHeight="1" x14ac:dyDescent="0.2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spans="1:29" ht="15.75" customHeight="1" x14ac:dyDescent="0.2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spans="1:29" ht="15.75" customHeight="1" x14ac:dyDescent="0.2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spans="1:29" ht="15.75" customHeight="1" x14ac:dyDescent="0.2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spans="1:29" ht="15.75" customHeight="1" x14ac:dyDescent="0.2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spans="1:29" ht="15.75" customHeight="1" x14ac:dyDescent="0.2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spans="1:29" ht="15.75" customHeight="1" x14ac:dyDescent="0.2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spans="1:29" ht="15.75" customHeight="1" x14ac:dyDescent="0.2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spans="1:29" ht="15.75" customHeight="1" x14ac:dyDescent="0.2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spans="1:29" ht="15.75" customHeight="1" x14ac:dyDescent="0.2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spans="1:29" ht="15.75" customHeight="1" x14ac:dyDescent="0.2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spans="1:29" ht="15.75" customHeight="1" x14ac:dyDescent="0.2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spans="1:29" ht="15.75" customHeight="1" x14ac:dyDescent="0.2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spans="1:29" ht="15.75" customHeight="1" x14ac:dyDescent="0.2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spans="1:29" ht="15.75" customHeight="1" x14ac:dyDescent="0.2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spans="1:29" ht="15.75" customHeight="1" x14ac:dyDescent="0.2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spans="1:29" ht="15.75" customHeight="1" x14ac:dyDescent="0.2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spans="1:29" ht="15.75" customHeight="1" x14ac:dyDescent="0.2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spans="1:29" ht="15.75" customHeight="1" x14ac:dyDescent="0.2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spans="1:29" ht="15.75" customHeight="1" x14ac:dyDescent="0.2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spans="1:29" ht="15.75" customHeight="1" x14ac:dyDescent="0.2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spans="1:29" ht="15.75" customHeight="1" x14ac:dyDescent="0.2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spans="1:29" ht="15.75" customHeight="1" x14ac:dyDescent="0.2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spans="1:29" ht="15.75" customHeight="1" x14ac:dyDescent="0.2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spans="1:29" ht="15.75" customHeight="1" x14ac:dyDescent="0.2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spans="1:29" ht="15.75" customHeight="1" x14ac:dyDescent="0.2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spans="1:29" ht="15.75" customHeight="1" x14ac:dyDescent="0.2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spans="1:29" ht="15.75" customHeight="1" x14ac:dyDescent="0.2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spans="1:29" ht="15.75" customHeight="1" x14ac:dyDescent="0.2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spans="1:29" ht="15.75" customHeight="1" x14ac:dyDescent="0.2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spans="1:29" ht="15.75" customHeight="1" x14ac:dyDescent="0.2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spans="1:29" ht="15.75" customHeight="1" x14ac:dyDescent="0.2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spans="1:29" ht="15.75" customHeight="1" x14ac:dyDescent="0.2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spans="1:29" ht="15.75" customHeight="1" x14ac:dyDescent="0.2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spans="1:29" ht="15.75" customHeight="1" x14ac:dyDescent="0.2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spans="1:29" ht="15.75" customHeight="1" x14ac:dyDescent="0.2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spans="1:29" ht="15.75" customHeight="1" x14ac:dyDescent="0.2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spans="1:29" ht="15.75" customHeight="1" x14ac:dyDescent="0.2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spans="1:29" ht="15.75" customHeight="1" x14ac:dyDescent="0.2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spans="1:29" ht="15.75" customHeight="1" x14ac:dyDescent="0.2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spans="1:29" ht="15.75" customHeight="1" x14ac:dyDescent="0.2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spans="1:29" ht="15.75" customHeight="1" x14ac:dyDescent="0.2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spans="1:29" ht="15.75" customHeight="1" x14ac:dyDescent="0.2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spans="1:29" ht="15.75" customHeight="1" x14ac:dyDescent="0.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spans="1:29" ht="15.75" customHeight="1" x14ac:dyDescent="0.2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spans="1:29" ht="15.75" customHeight="1" x14ac:dyDescent="0.2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spans="1:29" ht="15.75" customHeight="1" x14ac:dyDescent="0.2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spans="1:29" ht="15.75" customHeight="1" x14ac:dyDescent="0.2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spans="1:29" ht="15.75" customHeight="1" x14ac:dyDescent="0.2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spans="1:29" ht="15.75" customHeight="1" x14ac:dyDescent="0.2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spans="1:29" ht="15.75" customHeight="1" x14ac:dyDescent="0.2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spans="1:29" ht="15.75" customHeight="1" x14ac:dyDescent="0.2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spans="1:29" ht="15.75" customHeight="1" x14ac:dyDescent="0.2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spans="1:29" ht="15.75" customHeight="1" x14ac:dyDescent="0.2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spans="1:29" ht="15.75" customHeight="1" x14ac:dyDescent="0.2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spans="1:29" ht="15.75" customHeight="1" x14ac:dyDescent="0.2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spans="1:29" ht="15.75" customHeight="1" x14ac:dyDescent="0.2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spans="1:29" ht="15.75" customHeight="1" x14ac:dyDescent="0.2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spans="1:29" ht="15.75" customHeight="1" x14ac:dyDescent="0.2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spans="1:29" ht="15.75" customHeight="1" x14ac:dyDescent="0.2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spans="1:29" ht="15.75" customHeight="1" x14ac:dyDescent="0.2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spans="1:29" ht="15.75" customHeight="1" x14ac:dyDescent="0.2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spans="1:29" ht="15.75" customHeight="1" x14ac:dyDescent="0.2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spans="1:29" ht="15.75" customHeight="1" x14ac:dyDescent="0.2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spans="1:29" ht="15.75" customHeight="1" x14ac:dyDescent="0.2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spans="1:29" ht="15.75" customHeight="1" x14ac:dyDescent="0.2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spans="1:29" ht="15.75" customHeight="1" x14ac:dyDescent="0.2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spans="1:29" ht="15.75" customHeight="1" x14ac:dyDescent="0.2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spans="1:29" ht="15.75" customHeight="1" x14ac:dyDescent="0.2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spans="1:29" ht="15.75" customHeight="1" x14ac:dyDescent="0.2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spans="1:29" ht="15.75" customHeight="1" x14ac:dyDescent="0.2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spans="1:29" ht="15.75" customHeight="1" x14ac:dyDescent="0.2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spans="1:29" ht="15.75" customHeight="1" x14ac:dyDescent="0.2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spans="1:29" ht="15.75" customHeight="1" x14ac:dyDescent="0.2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spans="1:29" ht="15.75" customHeight="1" x14ac:dyDescent="0.2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spans="1:29" ht="15.75" customHeight="1" x14ac:dyDescent="0.2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spans="1:29" ht="15.75" customHeight="1" x14ac:dyDescent="0.2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spans="1:29" ht="15.75" customHeight="1" x14ac:dyDescent="0.2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spans="1:29" ht="15.75" customHeight="1" x14ac:dyDescent="0.2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spans="1:29" ht="15.75" customHeight="1" x14ac:dyDescent="0.2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spans="1:29" ht="15.75" customHeight="1" x14ac:dyDescent="0.2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spans="1:29" ht="15.75" customHeight="1" x14ac:dyDescent="0.2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spans="1:29" ht="15.75" customHeight="1" x14ac:dyDescent="0.2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spans="1:29" ht="15.75" customHeight="1" x14ac:dyDescent="0.2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spans="1:29" ht="15.75" customHeight="1" x14ac:dyDescent="0.2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spans="1:29" ht="15.75" customHeight="1" x14ac:dyDescent="0.2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spans="1:29" ht="15.75" customHeight="1" x14ac:dyDescent="0.2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spans="1:29" ht="15.75" customHeight="1" x14ac:dyDescent="0.2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spans="1:29" ht="15.75" customHeight="1" x14ac:dyDescent="0.2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spans="1:29" ht="15.75" customHeight="1" x14ac:dyDescent="0.2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spans="1:29" ht="15.75" customHeight="1" x14ac:dyDescent="0.2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spans="1:29" ht="15.75" customHeight="1" x14ac:dyDescent="0.2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spans="1:29" ht="15.75" customHeight="1" x14ac:dyDescent="0.2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spans="1:29" ht="15.75" customHeight="1" x14ac:dyDescent="0.2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spans="1:29" ht="15.75" customHeight="1" x14ac:dyDescent="0.2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spans="1:29" ht="15.75" customHeight="1" x14ac:dyDescent="0.2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spans="1:29" ht="15.75" customHeight="1" x14ac:dyDescent="0.2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spans="1:29" ht="15.75" customHeight="1" x14ac:dyDescent="0.2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spans="1:29" ht="15.75" customHeight="1" x14ac:dyDescent="0.2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spans="1:29" ht="15.75" customHeight="1" x14ac:dyDescent="0.2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spans="1:29" ht="15.75" customHeight="1" x14ac:dyDescent="0.2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spans="1:29" ht="15.75" customHeight="1" x14ac:dyDescent="0.2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spans="1:29" ht="15.75" customHeight="1" x14ac:dyDescent="0.2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spans="1:29" ht="15.75" customHeight="1" x14ac:dyDescent="0.2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spans="1:29" ht="15.75" customHeight="1" x14ac:dyDescent="0.2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spans="1:29" ht="15.75" customHeight="1" x14ac:dyDescent="0.2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spans="1:29" ht="15.75" customHeight="1" x14ac:dyDescent="0.2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spans="1:29" ht="15.75" customHeight="1" x14ac:dyDescent="0.2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spans="1:29" ht="15.75" customHeight="1" x14ac:dyDescent="0.2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spans="1:29" ht="15.75" customHeight="1" x14ac:dyDescent="0.2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spans="1:29" ht="15.75" customHeight="1" x14ac:dyDescent="0.2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spans="1:29" ht="15.75" customHeight="1" x14ac:dyDescent="0.2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spans="1:29" ht="15.75" customHeight="1" x14ac:dyDescent="0.2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spans="1:29" ht="15.75" customHeight="1" x14ac:dyDescent="0.2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spans="1:29" ht="15.75" customHeight="1" x14ac:dyDescent="0.2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spans="1:29" ht="15.75" customHeight="1" x14ac:dyDescent="0.2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spans="1:29" ht="15.75" customHeight="1" x14ac:dyDescent="0.2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spans="1:29" ht="15.75" customHeight="1" x14ac:dyDescent="0.2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spans="1:29" ht="15.75" customHeight="1" x14ac:dyDescent="0.2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spans="1:29" ht="15.75" customHeight="1" x14ac:dyDescent="0.2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spans="1:29" ht="15.75" customHeight="1" x14ac:dyDescent="0.2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spans="1:29" ht="15.75" customHeight="1" x14ac:dyDescent="0.2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spans="1:29" ht="15.75" customHeight="1" x14ac:dyDescent="0.2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spans="1:29" ht="15.75" customHeight="1" x14ac:dyDescent="0.2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spans="1:29" ht="15.75" customHeight="1" x14ac:dyDescent="0.2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spans="1:29" ht="15.75" customHeight="1" x14ac:dyDescent="0.2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spans="1:29" ht="15.75" customHeight="1" x14ac:dyDescent="0.2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spans="1:29" ht="15.75" customHeight="1" x14ac:dyDescent="0.2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spans="1:29" ht="15.75" customHeight="1" x14ac:dyDescent="0.2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spans="1:29" ht="15.75" customHeight="1" x14ac:dyDescent="0.2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spans="1:29" ht="15.75" customHeight="1" x14ac:dyDescent="0.2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spans="1:29" ht="15.75" customHeight="1" x14ac:dyDescent="0.2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spans="1:29" ht="15.75" customHeight="1" x14ac:dyDescent="0.2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spans="1:29" ht="15.75" customHeight="1" x14ac:dyDescent="0.2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spans="1:29" ht="15.75" customHeight="1" x14ac:dyDescent="0.2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spans="1:29" ht="15.75" customHeight="1" x14ac:dyDescent="0.2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spans="1:29" ht="15.75" customHeight="1" x14ac:dyDescent="0.2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spans="1:29" ht="15.75" customHeight="1" x14ac:dyDescent="0.2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spans="1:29" ht="15.75" customHeight="1" x14ac:dyDescent="0.2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spans="1:29" ht="15.75" customHeight="1" x14ac:dyDescent="0.2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spans="1:29" ht="15.75" customHeight="1" x14ac:dyDescent="0.2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spans="1:29" ht="15.75" customHeight="1" x14ac:dyDescent="0.2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spans="1:29" ht="15.75" customHeight="1" x14ac:dyDescent="0.2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spans="1:29" ht="15.75" customHeight="1" x14ac:dyDescent="0.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spans="1:29" ht="15.75" customHeight="1" x14ac:dyDescent="0.2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spans="1:29" ht="15.75" customHeight="1" x14ac:dyDescent="0.2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spans="1:29" ht="15.75" customHeight="1" x14ac:dyDescent="0.2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spans="1:29" ht="15.75" customHeight="1" x14ac:dyDescent="0.2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spans="1:29" ht="15.75" customHeight="1" x14ac:dyDescent="0.2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spans="1:29" ht="15.75" customHeight="1" x14ac:dyDescent="0.2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spans="1:29" ht="15.75" customHeight="1" x14ac:dyDescent="0.2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spans="1:29" ht="15.75" customHeight="1" x14ac:dyDescent="0.2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spans="1:29" ht="15.75" customHeight="1" x14ac:dyDescent="0.2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spans="1:29" ht="15.75" customHeight="1" x14ac:dyDescent="0.2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spans="1:29" ht="15.75" customHeight="1" x14ac:dyDescent="0.2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spans="1:29" ht="15.75" customHeight="1" x14ac:dyDescent="0.2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spans="1:29" ht="15.75" customHeight="1" x14ac:dyDescent="0.2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spans="1:29" ht="15.75" customHeight="1" x14ac:dyDescent="0.2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spans="1:29" ht="15.75" customHeight="1" x14ac:dyDescent="0.2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spans="1:29" ht="15.75" customHeight="1" x14ac:dyDescent="0.2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spans="1:29" ht="15.75" customHeight="1" x14ac:dyDescent="0.2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spans="1:29" ht="15.75" customHeight="1" x14ac:dyDescent="0.2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spans="1:29" ht="15.75" customHeight="1" x14ac:dyDescent="0.2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spans="1:29" ht="15.75" customHeight="1" x14ac:dyDescent="0.2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spans="1:29" ht="15.75" customHeight="1" x14ac:dyDescent="0.2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spans="1:29" ht="15.75" customHeight="1" x14ac:dyDescent="0.2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spans="1:29" ht="15.75" customHeight="1" x14ac:dyDescent="0.2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spans="1:29" ht="15.75" customHeight="1" x14ac:dyDescent="0.2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spans="1:29" ht="15.75" customHeight="1" x14ac:dyDescent="0.2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spans="1:29" ht="15.75" customHeight="1" x14ac:dyDescent="0.2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spans="1:29" ht="15.75" customHeight="1" x14ac:dyDescent="0.2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spans="1:29" ht="15.75" customHeight="1" x14ac:dyDescent="0.2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spans="1:29" ht="15.75" customHeight="1" x14ac:dyDescent="0.2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spans="1:29" ht="15.75" customHeight="1" x14ac:dyDescent="0.2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spans="1:29" ht="15.75" customHeight="1" x14ac:dyDescent="0.2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spans="1:29" ht="15.75" customHeight="1" x14ac:dyDescent="0.2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spans="1:29" ht="15.75" customHeight="1" x14ac:dyDescent="0.2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spans="1:29" ht="15.75" customHeight="1" x14ac:dyDescent="0.2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spans="1:29" ht="15.75" customHeight="1" x14ac:dyDescent="0.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spans="1:29" ht="15.75" customHeight="1" x14ac:dyDescent="0.2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spans="1:29" ht="15.75" customHeight="1" x14ac:dyDescent="0.2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spans="1:29" ht="15.75" customHeight="1" x14ac:dyDescent="0.2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spans="1:29" ht="15.75" customHeight="1" x14ac:dyDescent="0.2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spans="1:29" ht="15.75" customHeight="1" x14ac:dyDescent="0.2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spans="1:29" ht="15.75" customHeight="1" x14ac:dyDescent="0.2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spans="1:29" ht="15.75" customHeight="1" x14ac:dyDescent="0.2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spans="1:29" ht="15.75" customHeight="1" x14ac:dyDescent="0.2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spans="1:29" ht="15.75" customHeight="1" x14ac:dyDescent="0.2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spans="1:29" ht="15.75" customHeight="1" x14ac:dyDescent="0.2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spans="1:29" ht="15.75" customHeight="1" x14ac:dyDescent="0.2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spans="1:29" ht="15.75" customHeight="1" x14ac:dyDescent="0.2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spans="1:29" ht="15.75" customHeight="1" x14ac:dyDescent="0.2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spans="1:29" ht="15.75" customHeight="1" x14ac:dyDescent="0.2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spans="1:29" ht="15.75" customHeight="1" x14ac:dyDescent="0.2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spans="1:29" ht="15.75" customHeight="1" x14ac:dyDescent="0.2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spans="1:29" ht="15.75" customHeight="1" x14ac:dyDescent="0.2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spans="1:29" ht="15.75" customHeight="1" x14ac:dyDescent="0.2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spans="1:29" ht="15.75" customHeight="1" x14ac:dyDescent="0.2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spans="1:29" ht="15.75" customHeight="1" x14ac:dyDescent="0.2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spans="1:29" ht="15.75" customHeight="1" x14ac:dyDescent="0.2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spans="1:29" ht="15.75" customHeight="1" x14ac:dyDescent="0.2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spans="1:29" ht="15.75" customHeight="1" x14ac:dyDescent="0.2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spans="1:29" ht="15.75" customHeight="1" x14ac:dyDescent="0.2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spans="1:29" ht="15.75" customHeight="1" x14ac:dyDescent="0.2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spans="1:29" ht="15.75" customHeight="1" x14ac:dyDescent="0.2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spans="1:29" ht="15.75" customHeight="1" x14ac:dyDescent="0.2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spans="1:29" ht="15.75" customHeight="1" x14ac:dyDescent="0.2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spans="1:29" ht="15.75" customHeight="1" x14ac:dyDescent="0.2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spans="1:29" ht="15.75" customHeight="1" x14ac:dyDescent="0.2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spans="1:29" ht="15.75" customHeight="1" x14ac:dyDescent="0.2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spans="1:29" ht="15.75" customHeight="1" x14ac:dyDescent="0.2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spans="1:29" ht="15.75" customHeight="1" x14ac:dyDescent="0.2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spans="1:29" ht="15.75" customHeight="1" x14ac:dyDescent="0.2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spans="1:29" ht="15.75" customHeight="1" x14ac:dyDescent="0.2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spans="1:29" ht="15.75" customHeight="1" x14ac:dyDescent="0.2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row>
    <row r="997" spans="1:29" ht="15.75" customHeight="1" x14ac:dyDescent="0.2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spans="1:29" ht="15.75" customHeight="1" x14ac:dyDescent="0.2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row>
    <row r="999" spans="1:29" ht="15.75" customHeight="1" x14ac:dyDescent="0.2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spans="1:29" ht="15.75" customHeight="1" x14ac:dyDescent="0.2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row>
  </sheetData>
  <mergeCells count="229">
    <mergeCell ref="C94:E94"/>
    <mergeCell ref="F94:G94"/>
    <mergeCell ref="C95:E95"/>
    <mergeCell ref="F95:G95"/>
    <mergeCell ref="C96:E96"/>
    <mergeCell ref="F96:G96"/>
    <mergeCell ref="C89:E89"/>
    <mergeCell ref="F89:G89"/>
    <mergeCell ref="C90:E90"/>
    <mergeCell ref="F90:G90"/>
    <mergeCell ref="C91:E91"/>
    <mergeCell ref="F91:G91"/>
    <mergeCell ref="C92:E92"/>
    <mergeCell ref="F92:G92"/>
    <mergeCell ref="F93:G93"/>
    <mergeCell ref="C93:E93"/>
    <mergeCell ref="C84:E84"/>
    <mergeCell ref="F84:G84"/>
    <mergeCell ref="C85:E85"/>
    <mergeCell ref="F85:G85"/>
    <mergeCell ref="F86:G86"/>
    <mergeCell ref="C86:E86"/>
    <mergeCell ref="C87:E87"/>
    <mergeCell ref="F87:G87"/>
    <mergeCell ref="C88:E88"/>
    <mergeCell ref="F88:G88"/>
    <mergeCell ref="F79:G79"/>
    <mergeCell ref="C79:E79"/>
    <mergeCell ref="C80:E80"/>
    <mergeCell ref="F80:G80"/>
    <mergeCell ref="C81:E81"/>
    <mergeCell ref="F81:G81"/>
    <mergeCell ref="C82:E82"/>
    <mergeCell ref="F82:G82"/>
    <mergeCell ref="C83:E83"/>
    <mergeCell ref="F83:G83"/>
    <mergeCell ref="C59:E59"/>
    <mergeCell ref="F59:G59"/>
    <mergeCell ref="C60:E60"/>
    <mergeCell ref="F60:G60"/>
    <mergeCell ref="C69:E69"/>
    <mergeCell ref="F69:G69"/>
    <mergeCell ref="C70:E70"/>
    <mergeCell ref="F70:G70"/>
    <mergeCell ref="C71:E71"/>
    <mergeCell ref="F71:G71"/>
    <mergeCell ref="C54:E54"/>
    <mergeCell ref="F54:G54"/>
    <mergeCell ref="C55:E55"/>
    <mergeCell ref="F55:G55"/>
    <mergeCell ref="C56:E56"/>
    <mergeCell ref="F56:G56"/>
    <mergeCell ref="F57:G57"/>
    <mergeCell ref="C57:E57"/>
    <mergeCell ref="C58:E58"/>
    <mergeCell ref="F58:G58"/>
    <mergeCell ref="C49:E49"/>
    <mergeCell ref="F49:G49"/>
    <mergeCell ref="F50:G50"/>
    <mergeCell ref="C50:E50"/>
    <mergeCell ref="C51:E51"/>
    <mergeCell ref="F51:G51"/>
    <mergeCell ref="C52:E52"/>
    <mergeCell ref="F52:G52"/>
    <mergeCell ref="C53:E53"/>
    <mergeCell ref="F53:G53"/>
    <mergeCell ref="C23:E23"/>
    <mergeCell ref="F23:G23"/>
    <mergeCell ref="C24:E24"/>
    <mergeCell ref="F24:G24"/>
    <mergeCell ref="C25:E25"/>
    <mergeCell ref="F25:G25"/>
    <mergeCell ref="C47:E47"/>
    <mergeCell ref="F47:G47"/>
    <mergeCell ref="C48:E48"/>
    <mergeCell ref="F48:G48"/>
    <mergeCell ref="C18:E18"/>
    <mergeCell ref="F18:G18"/>
    <mergeCell ref="C19:E19"/>
    <mergeCell ref="F19:G19"/>
    <mergeCell ref="C20:E20"/>
    <mergeCell ref="F20:G20"/>
    <mergeCell ref="C21:E21"/>
    <mergeCell ref="F21:G21"/>
    <mergeCell ref="F22:G22"/>
    <mergeCell ref="C22:E22"/>
    <mergeCell ref="O13:O14"/>
    <mergeCell ref="P13:P14"/>
    <mergeCell ref="Q13:Q14"/>
    <mergeCell ref="R13:R14"/>
    <mergeCell ref="B15:R15"/>
    <mergeCell ref="C16:E16"/>
    <mergeCell ref="F16:G16"/>
    <mergeCell ref="C17:E17"/>
    <mergeCell ref="F17:G17"/>
    <mergeCell ref="E6:G6"/>
    <mergeCell ref="B9:E10"/>
    <mergeCell ref="B11:E14"/>
    <mergeCell ref="F11:G14"/>
    <mergeCell ref="H11:H14"/>
    <mergeCell ref="I11:I14"/>
    <mergeCell ref="J11:J14"/>
    <mergeCell ref="A1:S4"/>
    <mergeCell ref="E5:G5"/>
    <mergeCell ref="J5:M5"/>
    <mergeCell ref="J6:L6"/>
    <mergeCell ref="M6:N6"/>
    <mergeCell ref="O6:P6"/>
    <mergeCell ref="B8:R8"/>
    <mergeCell ref="G9:K9"/>
    <mergeCell ref="L9:N9"/>
    <mergeCell ref="O9:R9"/>
    <mergeCell ref="G10:K10"/>
    <mergeCell ref="L10:N10"/>
    <mergeCell ref="O10:R10"/>
    <mergeCell ref="K11:R11"/>
    <mergeCell ref="K12:Q12"/>
    <mergeCell ref="K13:M13"/>
    <mergeCell ref="N13:N14"/>
    <mergeCell ref="C114:E114"/>
    <mergeCell ref="C115:E115"/>
    <mergeCell ref="F115:G115"/>
    <mergeCell ref="C116:E116"/>
    <mergeCell ref="F116:G116"/>
    <mergeCell ref="C111:E111"/>
    <mergeCell ref="F111:G111"/>
    <mergeCell ref="C112:E112"/>
    <mergeCell ref="F112:G112"/>
    <mergeCell ref="C113:E113"/>
    <mergeCell ref="F113:G113"/>
    <mergeCell ref="F114:G114"/>
    <mergeCell ref="C42:E42"/>
    <mergeCell ref="F42:G42"/>
    <mergeCell ref="F43:G43"/>
    <mergeCell ref="C43:E43"/>
    <mergeCell ref="C44:E44"/>
    <mergeCell ref="F44:G44"/>
    <mergeCell ref="C45:E45"/>
    <mergeCell ref="F45:G45"/>
    <mergeCell ref="C46:E46"/>
    <mergeCell ref="F46:G46"/>
    <mergeCell ref="C37:E37"/>
    <mergeCell ref="F37:G37"/>
    <mergeCell ref="C38:E38"/>
    <mergeCell ref="F38:G38"/>
    <mergeCell ref="C39:E39"/>
    <mergeCell ref="F39:G39"/>
    <mergeCell ref="C40:E40"/>
    <mergeCell ref="F40:G40"/>
    <mergeCell ref="C41:E41"/>
    <mergeCell ref="F41:G41"/>
    <mergeCell ref="C110:E110"/>
    <mergeCell ref="F110:G110"/>
    <mergeCell ref="C26:E26"/>
    <mergeCell ref="F26:G26"/>
    <mergeCell ref="C27:E27"/>
    <mergeCell ref="F27:G27"/>
    <mergeCell ref="C28:E28"/>
    <mergeCell ref="F28:G28"/>
    <mergeCell ref="F29:G29"/>
    <mergeCell ref="C29:E29"/>
    <mergeCell ref="C30:E30"/>
    <mergeCell ref="F30:G30"/>
    <mergeCell ref="C31:E31"/>
    <mergeCell ref="F31:G31"/>
    <mergeCell ref="C32:E32"/>
    <mergeCell ref="F32:G32"/>
    <mergeCell ref="C33:E33"/>
    <mergeCell ref="F33:G33"/>
    <mergeCell ref="C34:E34"/>
    <mergeCell ref="F34:G34"/>
    <mergeCell ref="C35:E35"/>
    <mergeCell ref="F35:G35"/>
    <mergeCell ref="F36:G36"/>
    <mergeCell ref="C36:E36"/>
    <mergeCell ref="C105:E105"/>
    <mergeCell ref="F105:G105"/>
    <mergeCell ref="C106:E106"/>
    <mergeCell ref="F106:G106"/>
    <mergeCell ref="F107:G107"/>
    <mergeCell ref="C107:E107"/>
    <mergeCell ref="C108:E108"/>
    <mergeCell ref="F108:G108"/>
    <mergeCell ref="C109:E109"/>
    <mergeCell ref="F109:G109"/>
    <mergeCell ref="F100:G100"/>
    <mergeCell ref="C100:E100"/>
    <mergeCell ref="C101:E101"/>
    <mergeCell ref="F101:G101"/>
    <mergeCell ref="C102:E102"/>
    <mergeCell ref="F102:G102"/>
    <mergeCell ref="C103:E103"/>
    <mergeCell ref="F103:G103"/>
    <mergeCell ref="C104:E104"/>
    <mergeCell ref="F104:G104"/>
    <mergeCell ref="C67:E67"/>
    <mergeCell ref="F67:G67"/>
    <mergeCell ref="C68:E68"/>
    <mergeCell ref="F68:G68"/>
    <mergeCell ref="C97:E97"/>
    <mergeCell ref="F97:G97"/>
    <mergeCell ref="C98:E98"/>
    <mergeCell ref="F98:G98"/>
    <mergeCell ref="C99:E99"/>
    <mergeCell ref="F99:G99"/>
    <mergeCell ref="F72:G72"/>
    <mergeCell ref="C72:E72"/>
    <mergeCell ref="C73:E73"/>
    <mergeCell ref="F73:G73"/>
    <mergeCell ref="C74:E74"/>
    <mergeCell ref="F74:G74"/>
    <mergeCell ref="C75:E75"/>
    <mergeCell ref="F75:G75"/>
    <mergeCell ref="C76:E76"/>
    <mergeCell ref="F76:G76"/>
    <mergeCell ref="C77:E77"/>
    <mergeCell ref="F77:G77"/>
    <mergeCell ref="C78:E78"/>
    <mergeCell ref="F78:G78"/>
    <mergeCell ref="C61:E61"/>
    <mergeCell ref="F61:G61"/>
    <mergeCell ref="C62:E62"/>
    <mergeCell ref="F62:G62"/>
    <mergeCell ref="C63:E63"/>
    <mergeCell ref="F63:G63"/>
    <mergeCell ref="F64:G64"/>
    <mergeCell ref="C64:E64"/>
    <mergeCell ref="C65:E65"/>
    <mergeCell ref="F65:G65"/>
  </mergeCells>
  <dataValidations count="1">
    <dataValidation type="list" allowBlank="1" showErrorMessage="1" sqref="J16:J65 J67:J116" xr:uid="{00000000-0002-0000-0400-000000000000}">
      <formula1>"M,F"</formula1>
    </dataValidation>
  </dataValidations>
  <pageMargins left="0.7" right="0.7" top="0.75" bottom="0.75" header="0" footer="0"/>
  <pageSetup paperSize="9"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AF1000"/>
  <sheetViews>
    <sheetView tabSelected="1" topLeftCell="A23" zoomScale="70" zoomScaleNormal="70" workbookViewId="0">
      <selection activeCell="AC36" sqref="AC36"/>
    </sheetView>
  </sheetViews>
  <sheetFormatPr defaultColWidth="12.6328125" defaultRowHeight="15" customHeight="1" x14ac:dyDescent="0.25"/>
  <cols>
    <col min="1" max="1" width="3.90625" customWidth="1"/>
    <col min="2" max="2" width="10.90625" customWidth="1"/>
    <col min="3" max="3" width="6.36328125" customWidth="1"/>
    <col min="4" max="4" width="1.90625" customWidth="1"/>
    <col min="5" max="5" width="18.36328125" customWidth="1"/>
    <col min="6" max="6" width="9.26953125" customWidth="1"/>
    <col min="7" max="7" width="8.453125" customWidth="1"/>
    <col min="8" max="9" width="9.08984375" customWidth="1"/>
    <col min="10" max="10" width="10" customWidth="1"/>
    <col min="11" max="11" width="15.08984375" customWidth="1"/>
    <col min="12" max="16" width="3.90625" customWidth="1"/>
    <col min="17" max="17" width="14.7265625" customWidth="1"/>
    <col min="18" max="28" width="6.453125" customWidth="1"/>
    <col min="29" max="29" width="12.6328125" customWidth="1"/>
    <col min="30" max="30" width="3.90625" customWidth="1"/>
    <col min="31" max="32" width="12.6328125" customWidth="1"/>
  </cols>
  <sheetData>
    <row r="1" spans="1:32" ht="15.75" customHeight="1" x14ac:dyDescent="0.35">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row>
    <row r="2" spans="1:32" ht="15.75" customHeight="1" x14ac:dyDescent="0.35">
      <c r="A2" s="93"/>
      <c r="B2" s="94"/>
      <c r="C2" s="94"/>
      <c r="D2" s="94"/>
      <c r="E2" s="94"/>
      <c r="F2" s="94"/>
      <c r="G2" s="94"/>
      <c r="H2" s="94"/>
      <c r="I2" s="94"/>
      <c r="J2" s="94"/>
      <c r="K2" s="94"/>
      <c r="L2" s="95"/>
      <c r="M2" s="10"/>
      <c r="N2" s="10"/>
      <c r="O2" s="10"/>
      <c r="P2" s="93"/>
      <c r="Q2" s="94"/>
      <c r="R2" s="94"/>
      <c r="S2" s="94"/>
      <c r="T2" s="94"/>
      <c r="U2" s="94"/>
      <c r="V2" s="94"/>
      <c r="W2" s="94"/>
      <c r="X2" s="94"/>
      <c r="Y2" s="94"/>
      <c r="Z2" s="94"/>
      <c r="AA2" s="94"/>
      <c r="AB2" s="94"/>
      <c r="AC2" s="94"/>
      <c r="AD2" s="95"/>
      <c r="AE2" s="10"/>
      <c r="AF2" s="10"/>
    </row>
    <row r="3" spans="1:32" ht="15.75" customHeight="1" x14ac:dyDescent="0.35">
      <c r="A3" s="96"/>
      <c r="B3" s="97"/>
      <c r="C3" s="97"/>
      <c r="D3" s="97"/>
      <c r="E3" s="97"/>
      <c r="F3" s="97"/>
      <c r="G3" s="97"/>
      <c r="H3" s="97"/>
      <c r="I3" s="97"/>
      <c r="J3" s="97"/>
      <c r="K3" s="97"/>
      <c r="L3" s="98"/>
      <c r="M3" s="97"/>
      <c r="N3" s="97"/>
      <c r="O3" s="97"/>
      <c r="P3" s="96"/>
      <c r="Q3" s="97"/>
      <c r="R3" s="97"/>
      <c r="S3" s="97"/>
      <c r="T3" s="10"/>
      <c r="U3" s="10"/>
      <c r="V3" s="10"/>
      <c r="W3" s="10"/>
      <c r="X3" s="10"/>
      <c r="Y3" s="10"/>
      <c r="Z3" s="10"/>
      <c r="AA3" s="10"/>
      <c r="AB3" s="10"/>
      <c r="AC3" s="10"/>
      <c r="AD3" s="99"/>
      <c r="AE3" s="10"/>
      <c r="AF3" s="10"/>
    </row>
    <row r="4" spans="1:32" ht="15.75" customHeight="1" x14ac:dyDescent="0.35">
      <c r="A4" s="100"/>
      <c r="B4" s="340" t="s">
        <v>315</v>
      </c>
      <c r="C4" s="340"/>
      <c r="D4" s="340"/>
      <c r="E4" s="340"/>
      <c r="F4" s="340"/>
      <c r="G4" s="340"/>
      <c r="H4" s="340"/>
      <c r="I4" s="340"/>
      <c r="J4" s="340"/>
      <c r="K4" s="340"/>
      <c r="L4" s="102"/>
      <c r="M4" s="101"/>
      <c r="N4" s="101"/>
      <c r="O4" s="101"/>
      <c r="P4" s="100"/>
      <c r="Q4" s="103" t="s">
        <v>47</v>
      </c>
      <c r="R4" s="103" t="s">
        <v>48</v>
      </c>
      <c r="S4" s="103" t="s">
        <v>49</v>
      </c>
      <c r="T4" s="103" t="s">
        <v>50</v>
      </c>
      <c r="U4" s="103" t="s">
        <v>51</v>
      </c>
      <c r="V4" s="103" t="s">
        <v>52</v>
      </c>
      <c r="W4" s="103" t="s">
        <v>53</v>
      </c>
      <c r="X4" s="103" t="s">
        <v>54</v>
      </c>
      <c r="Y4" s="103" t="s">
        <v>55</v>
      </c>
      <c r="Z4" s="103" t="s">
        <v>56</v>
      </c>
      <c r="AA4" s="103" t="s">
        <v>57</v>
      </c>
      <c r="AB4" s="103" t="s">
        <v>58</v>
      </c>
      <c r="AC4" s="103" t="s">
        <v>59</v>
      </c>
      <c r="AD4" s="99"/>
      <c r="AE4" s="10"/>
      <c r="AF4" s="10"/>
    </row>
    <row r="5" spans="1:32" ht="15.75" customHeight="1" x14ac:dyDescent="0.35">
      <c r="A5" s="100"/>
      <c r="B5" s="340"/>
      <c r="C5" s="340"/>
      <c r="D5" s="340"/>
      <c r="E5" s="340"/>
      <c r="F5" s="340"/>
      <c r="G5" s="340"/>
      <c r="H5" s="340"/>
      <c r="I5" s="340"/>
      <c r="J5" s="340"/>
      <c r="K5" s="340"/>
      <c r="L5" s="102"/>
      <c r="M5" s="101"/>
      <c r="N5" s="101"/>
      <c r="O5" s="10"/>
      <c r="P5" s="104"/>
      <c r="Q5" s="345" t="s">
        <v>60</v>
      </c>
      <c r="R5" s="308"/>
      <c r="S5" s="308"/>
      <c r="T5" s="308"/>
      <c r="U5" s="308"/>
      <c r="V5" s="308"/>
      <c r="W5" s="308"/>
      <c r="X5" s="308"/>
      <c r="Y5" s="308"/>
      <c r="Z5" s="308"/>
      <c r="AA5" s="308"/>
      <c r="AB5" s="308"/>
      <c r="AC5" s="299"/>
      <c r="AD5" s="99"/>
      <c r="AE5" s="10"/>
      <c r="AF5" s="10"/>
    </row>
    <row r="6" spans="1:32" ht="15.75" customHeight="1" x14ac:dyDescent="0.35">
      <c r="A6" s="104"/>
      <c r="B6" s="340"/>
      <c r="C6" s="340"/>
      <c r="D6" s="340"/>
      <c r="E6" s="340"/>
      <c r="F6" s="340"/>
      <c r="G6" s="340"/>
      <c r="H6" s="340"/>
      <c r="I6" s="340"/>
      <c r="J6" s="340"/>
      <c r="K6" s="340"/>
      <c r="L6" s="99"/>
      <c r="M6" s="10"/>
      <c r="N6" s="10"/>
      <c r="O6" s="101"/>
      <c r="P6" s="100"/>
      <c r="Q6" s="298"/>
      <c r="R6" s="298"/>
      <c r="S6" s="298"/>
      <c r="T6" s="298"/>
      <c r="U6" s="298"/>
      <c r="V6" s="298"/>
      <c r="W6" s="298"/>
      <c r="X6" s="298"/>
      <c r="Y6" s="298"/>
      <c r="Z6" s="298"/>
      <c r="AA6" s="298"/>
      <c r="AB6" s="298"/>
      <c r="AC6" s="298"/>
      <c r="AD6" s="99"/>
      <c r="AE6" s="10"/>
      <c r="AF6" s="10"/>
    </row>
    <row r="7" spans="1:32" ht="15.75" customHeight="1" x14ac:dyDescent="0.35">
      <c r="A7" s="100"/>
      <c r="B7" s="341" t="s">
        <v>4</v>
      </c>
      <c r="C7" s="342"/>
      <c r="D7" s="342"/>
      <c r="E7" s="342"/>
      <c r="F7" s="342"/>
      <c r="G7" s="342"/>
      <c r="H7" s="342"/>
      <c r="I7" s="342"/>
      <c r="J7" s="342"/>
      <c r="K7" s="342"/>
      <c r="L7" s="102"/>
      <c r="M7" s="101"/>
      <c r="N7" s="101"/>
      <c r="O7" s="101"/>
      <c r="P7" s="100"/>
      <c r="Q7" s="345" t="s">
        <v>61</v>
      </c>
      <c r="R7" s="308"/>
      <c r="S7" s="308"/>
      <c r="T7" s="308"/>
      <c r="U7" s="308"/>
      <c r="V7" s="308"/>
      <c r="W7" s="308"/>
      <c r="X7" s="308"/>
      <c r="Y7" s="308"/>
      <c r="Z7" s="308"/>
      <c r="AA7" s="308"/>
      <c r="AB7" s="308"/>
      <c r="AC7" s="299"/>
      <c r="AD7" s="99"/>
      <c r="AE7" s="10"/>
      <c r="AF7" s="10"/>
    </row>
    <row r="8" spans="1:32" ht="15.75" customHeight="1" x14ac:dyDescent="0.35">
      <c r="A8" s="105"/>
      <c r="B8" s="343" t="s">
        <v>316</v>
      </c>
      <c r="C8" s="342"/>
      <c r="D8" s="342"/>
      <c r="E8" s="342"/>
      <c r="F8" s="342"/>
      <c r="G8" s="342"/>
      <c r="H8" s="342"/>
      <c r="I8" s="342"/>
      <c r="J8" s="342"/>
      <c r="K8" s="342"/>
      <c r="L8" s="102"/>
      <c r="M8" s="101"/>
      <c r="N8" s="101"/>
      <c r="O8" s="101"/>
      <c r="P8" s="100"/>
      <c r="Q8" s="298"/>
      <c r="R8" s="298"/>
      <c r="S8" s="298"/>
      <c r="T8" s="298"/>
      <c r="U8" s="298"/>
      <c r="V8" s="298"/>
      <c r="W8" s="298"/>
      <c r="X8" s="298"/>
      <c r="Y8" s="298"/>
      <c r="Z8" s="298"/>
      <c r="AA8" s="298"/>
      <c r="AB8" s="298"/>
      <c r="AC8" s="298"/>
      <c r="AD8" s="99"/>
      <c r="AE8" s="10"/>
      <c r="AF8" s="10"/>
    </row>
    <row r="9" spans="1:32" ht="15.75" customHeight="1" x14ac:dyDescent="0.35">
      <c r="A9" s="100"/>
      <c r="B9" s="341" t="s">
        <v>62</v>
      </c>
      <c r="C9" s="341"/>
      <c r="D9" s="341"/>
      <c r="E9" s="341"/>
      <c r="F9" s="341"/>
      <c r="G9" s="341"/>
      <c r="H9" s="341"/>
      <c r="I9" s="341"/>
      <c r="J9" s="341"/>
      <c r="K9" s="341"/>
      <c r="L9" s="102"/>
      <c r="M9" s="101"/>
      <c r="N9" s="101"/>
      <c r="O9" s="101"/>
      <c r="P9" s="100"/>
      <c r="Q9" s="345" t="s">
        <v>63</v>
      </c>
      <c r="R9" s="308"/>
      <c r="S9" s="308"/>
      <c r="T9" s="308"/>
      <c r="U9" s="308"/>
      <c r="V9" s="308"/>
      <c r="W9" s="308"/>
      <c r="X9" s="308"/>
      <c r="Y9" s="308"/>
      <c r="Z9" s="308"/>
      <c r="AA9" s="308"/>
      <c r="AB9" s="308"/>
      <c r="AC9" s="299"/>
      <c r="AD9" s="99"/>
      <c r="AE9" s="10"/>
      <c r="AF9" s="10"/>
    </row>
    <row r="10" spans="1:32" ht="15.75" customHeight="1" x14ac:dyDescent="0.35">
      <c r="A10" s="100"/>
      <c r="B10" s="343" t="s">
        <v>65</v>
      </c>
      <c r="C10" s="343"/>
      <c r="D10" s="343"/>
      <c r="E10" s="343"/>
      <c r="F10" s="343"/>
      <c r="G10" s="343"/>
      <c r="H10" s="343"/>
      <c r="I10" s="343"/>
      <c r="J10" s="343"/>
      <c r="K10" s="343"/>
      <c r="L10" s="102"/>
      <c r="M10" s="101"/>
      <c r="N10" s="101"/>
      <c r="O10" s="101"/>
      <c r="P10" s="100"/>
      <c r="Q10" s="298"/>
      <c r="R10" s="298"/>
      <c r="S10" s="298"/>
      <c r="T10" s="298"/>
      <c r="U10" s="298"/>
      <c r="V10" s="298"/>
      <c r="W10" s="298"/>
      <c r="X10" s="298"/>
      <c r="Y10" s="298"/>
      <c r="Z10" s="298"/>
      <c r="AA10" s="298"/>
      <c r="AB10" s="298"/>
      <c r="AC10" s="298"/>
      <c r="AD10" s="99"/>
      <c r="AE10" s="10"/>
      <c r="AF10" s="10"/>
    </row>
    <row r="11" spans="1:32" ht="3.75" customHeight="1" x14ac:dyDescent="0.35">
      <c r="A11" s="100"/>
      <c r="B11" s="344" t="s">
        <v>64</v>
      </c>
      <c r="C11" s="344"/>
      <c r="D11" s="344"/>
      <c r="E11" s="344"/>
      <c r="F11" s="344"/>
      <c r="G11" s="344"/>
      <c r="H11" s="344"/>
      <c r="I11" s="344"/>
      <c r="J11" s="344"/>
      <c r="K11" s="344"/>
      <c r="L11" s="98"/>
      <c r="M11" s="97"/>
      <c r="N11" s="97"/>
      <c r="O11" s="97"/>
      <c r="P11" s="96"/>
      <c r="Q11" s="97"/>
      <c r="R11" s="97"/>
      <c r="S11" s="97"/>
      <c r="T11" s="10"/>
      <c r="U11" s="10"/>
      <c r="V11" s="10"/>
      <c r="W11" s="10"/>
      <c r="X11" s="10"/>
      <c r="Y11" s="10"/>
      <c r="Z11" s="10"/>
      <c r="AA11" s="10"/>
      <c r="AB11" s="10"/>
      <c r="AC11" s="10"/>
      <c r="AD11" s="99"/>
      <c r="AE11" s="10"/>
      <c r="AF11" s="10"/>
    </row>
    <row r="12" spans="1:32" ht="15.75" customHeight="1" x14ac:dyDescent="0.35">
      <c r="A12" s="104"/>
      <c r="B12" s="344"/>
      <c r="C12" s="344"/>
      <c r="D12" s="344"/>
      <c r="E12" s="344"/>
      <c r="F12" s="344"/>
      <c r="G12" s="344"/>
      <c r="H12" s="344"/>
      <c r="I12" s="344"/>
      <c r="J12" s="344"/>
      <c r="K12" s="344"/>
      <c r="L12" s="107"/>
      <c r="M12" s="108"/>
      <c r="N12" s="108"/>
      <c r="O12" s="108"/>
      <c r="P12" s="109"/>
      <c r="Q12" s="108"/>
      <c r="R12" s="101"/>
      <c r="S12" s="101"/>
      <c r="T12" s="10"/>
      <c r="U12" s="10"/>
      <c r="V12" s="10"/>
      <c r="W12" s="10"/>
      <c r="X12" s="10"/>
      <c r="Y12" s="10"/>
      <c r="Z12" s="10"/>
      <c r="AA12" s="10"/>
      <c r="AB12" s="10"/>
      <c r="AC12" s="10"/>
      <c r="AD12" s="99"/>
      <c r="AE12" s="10"/>
      <c r="AF12" s="10"/>
    </row>
    <row r="13" spans="1:32" ht="3.75" customHeight="1" x14ac:dyDescent="0.35">
      <c r="A13" s="96"/>
      <c r="B13" s="97"/>
      <c r="C13" s="97"/>
      <c r="D13" s="97"/>
      <c r="E13" s="97"/>
      <c r="F13" s="97"/>
      <c r="G13" s="97"/>
      <c r="H13" s="97"/>
      <c r="I13" s="97"/>
      <c r="J13" s="97"/>
      <c r="K13" s="97"/>
      <c r="L13" s="98"/>
      <c r="M13" s="97"/>
      <c r="N13" s="97"/>
      <c r="O13" s="97"/>
      <c r="P13" s="96"/>
      <c r="Q13" s="97"/>
      <c r="R13" s="97"/>
      <c r="S13" s="97"/>
      <c r="T13" s="10"/>
      <c r="U13" s="10"/>
      <c r="V13" s="10"/>
      <c r="W13" s="10"/>
      <c r="X13" s="10"/>
      <c r="Y13" s="10"/>
      <c r="Z13" s="10"/>
      <c r="AA13" s="10"/>
      <c r="AB13" s="10"/>
      <c r="AC13" s="10"/>
      <c r="AD13" s="99"/>
      <c r="AE13" s="10"/>
      <c r="AF13" s="10"/>
    </row>
    <row r="14" spans="1:32" ht="15.75" customHeight="1" x14ac:dyDescent="0.35">
      <c r="A14" s="105"/>
      <c r="B14" s="283" t="s">
        <v>66</v>
      </c>
      <c r="C14" s="207"/>
      <c r="D14" s="207"/>
      <c r="E14" s="207"/>
      <c r="F14" s="207"/>
      <c r="G14" s="207"/>
      <c r="H14" s="207"/>
      <c r="I14" s="207"/>
      <c r="J14" s="207"/>
      <c r="K14" s="207"/>
      <c r="L14" s="110"/>
      <c r="M14" s="106"/>
      <c r="N14" s="106"/>
      <c r="O14" s="106"/>
      <c r="P14" s="105"/>
      <c r="Q14" s="283" t="s">
        <v>67</v>
      </c>
      <c r="R14" s="207"/>
      <c r="S14" s="207"/>
      <c r="T14" s="207"/>
      <c r="U14" s="207"/>
      <c r="V14" s="207"/>
      <c r="W14" s="207"/>
      <c r="X14" s="207"/>
      <c r="Y14" s="207"/>
      <c r="Z14" s="207"/>
      <c r="AA14" s="207"/>
      <c r="AB14" s="207"/>
      <c r="AC14" s="207"/>
      <c r="AD14" s="99"/>
      <c r="AE14" s="10"/>
      <c r="AF14" s="10"/>
    </row>
    <row r="15" spans="1:32" ht="15.75" customHeight="1" x14ac:dyDescent="0.35">
      <c r="A15" s="100"/>
      <c r="B15" s="284" t="s">
        <v>68</v>
      </c>
      <c r="C15" s="207"/>
      <c r="D15" s="207"/>
      <c r="E15" s="207"/>
      <c r="F15" s="207"/>
      <c r="G15" s="207"/>
      <c r="H15" s="207"/>
      <c r="I15" s="207"/>
      <c r="J15" s="207"/>
      <c r="K15" s="207"/>
      <c r="L15" s="107"/>
      <c r="M15" s="108"/>
      <c r="N15" s="108"/>
      <c r="O15" s="101"/>
      <c r="P15" s="100"/>
      <c r="Q15" s="286" t="s">
        <v>69</v>
      </c>
      <c r="R15" s="287"/>
      <c r="S15" s="287"/>
      <c r="T15" s="287"/>
      <c r="U15" s="287"/>
      <c r="V15" s="287"/>
      <c r="W15" s="287"/>
      <c r="X15" s="287"/>
      <c r="Y15" s="287"/>
      <c r="Z15" s="287"/>
      <c r="AA15" s="287"/>
      <c r="AB15" s="287"/>
      <c r="AC15" s="228"/>
      <c r="AD15" s="99"/>
      <c r="AE15" s="10"/>
      <c r="AF15" s="10"/>
    </row>
    <row r="16" spans="1:32" ht="15.75" customHeight="1" x14ac:dyDescent="0.35">
      <c r="A16" s="96"/>
      <c r="B16" s="97"/>
      <c r="C16" s="97"/>
      <c r="D16" s="97"/>
      <c r="E16" s="97"/>
      <c r="F16" s="97"/>
      <c r="G16" s="97"/>
      <c r="H16" s="97"/>
      <c r="I16" s="97"/>
      <c r="J16" s="97"/>
      <c r="K16" s="97"/>
      <c r="L16" s="98"/>
      <c r="M16" s="97"/>
      <c r="N16" s="97"/>
      <c r="O16" s="101"/>
      <c r="P16" s="100"/>
      <c r="Q16" s="288"/>
      <c r="R16" s="207"/>
      <c r="S16" s="207"/>
      <c r="T16" s="207"/>
      <c r="U16" s="207"/>
      <c r="V16" s="207"/>
      <c r="W16" s="207"/>
      <c r="X16" s="207"/>
      <c r="Y16" s="207"/>
      <c r="Z16" s="207"/>
      <c r="AA16" s="207"/>
      <c r="AB16" s="207"/>
      <c r="AC16" s="289"/>
      <c r="AD16" s="99"/>
      <c r="AE16" s="10"/>
      <c r="AF16" s="10"/>
    </row>
    <row r="17" spans="1:32" ht="15.75" customHeight="1" x14ac:dyDescent="0.35">
      <c r="A17" s="109"/>
      <c r="B17" s="108" t="s">
        <v>70</v>
      </c>
      <c r="C17" s="285" t="s">
        <v>71</v>
      </c>
      <c r="D17" s="282"/>
      <c r="E17" s="282"/>
      <c r="F17" s="282"/>
      <c r="G17" s="282"/>
      <c r="H17" s="108" t="s">
        <v>72</v>
      </c>
      <c r="I17" s="111" t="str">
        <f>IF(C17="","",VLOOKUP(C17,'TERM 1 SUMMARY'!C16:R116,7,0))</f>
        <v/>
      </c>
      <c r="J17" s="108" t="s">
        <v>73</v>
      </c>
      <c r="K17" s="111" t="str">
        <f>IF(C17="","",VLOOKUP(C17,'TERM 1 SUMMARY'!C16:R116,8,0))</f>
        <v/>
      </c>
      <c r="L17" s="112"/>
      <c r="M17" s="113"/>
      <c r="N17" s="113"/>
      <c r="O17" s="101"/>
      <c r="P17" s="100"/>
      <c r="Q17" s="288"/>
      <c r="R17" s="207"/>
      <c r="S17" s="207"/>
      <c r="T17" s="207"/>
      <c r="U17" s="207"/>
      <c r="V17" s="207"/>
      <c r="W17" s="207"/>
      <c r="X17" s="207"/>
      <c r="Y17" s="207"/>
      <c r="Z17" s="207"/>
      <c r="AA17" s="207"/>
      <c r="AB17" s="207"/>
      <c r="AC17" s="289"/>
      <c r="AD17" s="99"/>
      <c r="AE17" s="10"/>
      <c r="AF17" s="10"/>
    </row>
    <row r="18" spans="1:32" ht="15.75" customHeight="1" x14ac:dyDescent="0.35">
      <c r="A18" s="109"/>
      <c r="B18" s="108" t="s">
        <v>74</v>
      </c>
      <c r="C18" s="280" t="str">
        <f>IF(C17="","",VLOOKUP(C17,'TERM 1 SUMMARY'!C16:R116,4,0))</f>
        <v/>
      </c>
      <c r="D18" s="253"/>
      <c r="E18" s="253"/>
      <c r="F18" s="114"/>
      <c r="G18" s="115"/>
      <c r="H18" s="108" t="s">
        <v>75</v>
      </c>
      <c r="I18" s="111" t="str">
        <f>IF('INPUT DATA'!F27="","",'INPUT DATA'!F27)</f>
        <v/>
      </c>
      <c r="J18" s="108" t="s">
        <v>76</v>
      </c>
      <c r="K18" s="111" t="str">
        <f>IF('INPUT DATA'!F29="","",'INPUT DATA'!F29)</f>
        <v/>
      </c>
      <c r="L18" s="99"/>
      <c r="M18" s="10"/>
      <c r="N18" s="10"/>
      <c r="O18" s="101"/>
      <c r="P18" s="100"/>
      <c r="Q18" s="223"/>
      <c r="R18" s="282"/>
      <c r="S18" s="282"/>
      <c r="T18" s="282"/>
      <c r="U18" s="282"/>
      <c r="V18" s="282"/>
      <c r="W18" s="282"/>
      <c r="X18" s="282"/>
      <c r="Y18" s="282"/>
      <c r="Z18" s="282"/>
      <c r="AA18" s="282"/>
      <c r="AB18" s="282"/>
      <c r="AC18" s="230"/>
      <c r="AD18" s="99"/>
      <c r="AE18" s="10"/>
      <c r="AF18" s="10"/>
    </row>
    <row r="19" spans="1:32" ht="15.75" customHeight="1" x14ac:dyDescent="0.35">
      <c r="A19" s="96"/>
      <c r="B19" s="97" t="s">
        <v>77</v>
      </c>
      <c r="C19" s="97"/>
      <c r="D19" s="97"/>
      <c r="E19" s="281" t="str">
        <f>IF('INPUT DATA'!F28="","",'INPUT DATA'!F28)</f>
        <v/>
      </c>
      <c r="F19" s="282"/>
      <c r="G19" s="10"/>
      <c r="H19" s="10"/>
      <c r="I19" s="10"/>
      <c r="J19" s="10"/>
      <c r="K19" s="10"/>
      <c r="L19" s="99"/>
      <c r="M19" s="10"/>
      <c r="N19" s="10"/>
      <c r="O19" s="97"/>
      <c r="P19" s="96"/>
      <c r="Q19" s="286" t="s">
        <v>78</v>
      </c>
      <c r="R19" s="287"/>
      <c r="S19" s="287"/>
      <c r="T19" s="287"/>
      <c r="U19" s="287"/>
      <c r="V19" s="287"/>
      <c r="W19" s="287"/>
      <c r="X19" s="287"/>
      <c r="Y19" s="287"/>
      <c r="Z19" s="287"/>
      <c r="AA19" s="287"/>
      <c r="AB19" s="287"/>
      <c r="AC19" s="228"/>
      <c r="AD19" s="99"/>
      <c r="AE19" s="10"/>
      <c r="AF19" s="10"/>
    </row>
    <row r="20" spans="1:32" ht="15.75" customHeight="1" x14ac:dyDescent="0.35">
      <c r="A20" s="96"/>
      <c r="B20" s="97"/>
      <c r="C20" s="97"/>
      <c r="D20" s="97"/>
      <c r="E20" s="97"/>
      <c r="F20" s="97"/>
      <c r="G20" s="97"/>
      <c r="H20" s="97"/>
      <c r="I20" s="97"/>
      <c r="J20" s="97"/>
      <c r="K20" s="97"/>
      <c r="L20" s="98"/>
      <c r="M20" s="97"/>
      <c r="N20" s="97"/>
      <c r="O20" s="97"/>
      <c r="P20" s="96"/>
      <c r="Q20" s="288"/>
      <c r="R20" s="207"/>
      <c r="S20" s="207"/>
      <c r="T20" s="207"/>
      <c r="U20" s="207"/>
      <c r="V20" s="207"/>
      <c r="W20" s="207"/>
      <c r="X20" s="207"/>
      <c r="Y20" s="207"/>
      <c r="Z20" s="207"/>
      <c r="AA20" s="207"/>
      <c r="AB20" s="207"/>
      <c r="AC20" s="289"/>
      <c r="AD20" s="99"/>
      <c r="AE20" s="10"/>
      <c r="AF20" s="10"/>
    </row>
    <row r="21" spans="1:32" ht="15.75" customHeight="1" x14ac:dyDescent="0.35">
      <c r="A21" s="116"/>
      <c r="B21" s="290" t="s">
        <v>79</v>
      </c>
      <c r="C21" s="207"/>
      <c r="D21" s="19"/>
      <c r="E21" s="117"/>
      <c r="F21" s="117"/>
      <c r="G21" s="117"/>
      <c r="H21" s="117"/>
      <c r="I21" s="117"/>
      <c r="J21" s="117"/>
      <c r="K21" s="117"/>
      <c r="L21" s="118"/>
      <c r="M21" s="117"/>
      <c r="N21" s="117"/>
      <c r="O21" s="117"/>
      <c r="P21" s="116"/>
      <c r="Q21" s="288"/>
      <c r="R21" s="207"/>
      <c r="S21" s="207"/>
      <c r="T21" s="207"/>
      <c r="U21" s="207"/>
      <c r="V21" s="207"/>
      <c r="W21" s="207"/>
      <c r="X21" s="207"/>
      <c r="Y21" s="207"/>
      <c r="Z21" s="207"/>
      <c r="AA21" s="207"/>
      <c r="AB21" s="207"/>
      <c r="AC21" s="289"/>
      <c r="AD21" s="99"/>
      <c r="AE21" s="10"/>
      <c r="AF21" s="10"/>
    </row>
    <row r="22" spans="1:32" ht="15.75" customHeight="1" x14ac:dyDescent="0.35">
      <c r="A22" s="96"/>
      <c r="B22" s="97"/>
      <c r="C22" s="97" t="s">
        <v>80</v>
      </c>
      <c r="D22" s="97"/>
      <c r="E22" s="97"/>
      <c r="F22" s="97"/>
      <c r="G22" s="97"/>
      <c r="H22" s="97"/>
      <c r="I22" s="97"/>
      <c r="J22" s="97"/>
      <c r="K22" s="97"/>
      <c r="L22" s="98"/>
      <c r="M22" s="97"/>
      <c r="N22" s="97"/>
      <c r="O22" s="97"/>
      <c r="P22" s="96"/>
      <c r="Q22" s="223"/>
      <c r="R22" s="282"/>
      <c r="S22" s="282"/>
      <c r="T22" s="282"/>
      <c r="U22" s="282"/>
      <c r="V22" s="282"/>
      <c r="W22" s="282"/>
      <c r="X22" s="282"/>
      <c r="Y22" s="282"/>
      <c r="Z22" s="282"/>
      <c r="AA22" s="282"/>
      <c r="AB22" s="282"/>
      <c r="AC22" s="230"/>
      <c r="AD22" s="99"/>
      <c r="AE22" s="10"/>
      <c r="AF22" s="10"/>
    </row>
    <row r="23" spans="1:32" ht="15.75" customHeight="1" x14ac:dyDescent="0.35">
      <c r="A23" s="96"/>
      <c r="B23" s="97" t="s">
        <v>81</v>
      </c>
      <c r="C23" s="19"/>
      <c r="D23" s="19"/>
      <c r="E23" s="19"/>
      <c r="F23" s="97"/>
      <c r="G23" s="97"/>
      <c r="H23" s="97"/>
      <c r="I23" s="97"/>
      <c r="J23" s="97"/>
      <c r="K23" s="97"/>
      <c r="L23" s="98"/>
      <c r="M23" s="97"/>
      <c r="N23" s="97"/>
      <c r="O23" s="97"/>
      <c r="P23" s="96"/>
      <c r="Q23" s="286" t="s">
        <v>82</v>
      </c>
      <c r="R23" s="287"/>
      <c r="S23" s="287"/>
      <c r="T23" s="287"/>
      <c r="U23" s="287"/>
      <c r="V23" s="287"/>
      <c r="W23" s="287"/>
      <c r="X23" s="287"/>
      <c r="Y23" s="287"/>
      <c r="Z23" s="287"/>
      <c r="AA23" s="287"/>
      <c r="AB23" s="287"/>
      <c r="AC23" s="228"/>
      <c r="AD23" s="99"/>
      <c r="AE23" s="10"/>
      <c r="AF23" s="10"/>
    </row>
    <row r="24" spans="1:32" ht="15.75" customHeight="1" x14ac:dyDescent="0.35">
      <c r="A24" s="96"/>
      <c r="B24" s="97"/>
      <c r="C24" s="97" t="s">
        <v>83</v>
      </c>
      <c r="D24" s="97"/>
      <c r="E24" s="97"/>
      <c r="F24" s="97"/>
      <c r="G24" s="97"/>
      <c r="H24" s="97"/>
      <c r="I24" s="97"/>
      <c r="J24" s="97"/>
      <c r="K24" s="97"/>
      <c r="L24" s="98"/>
      <c r="M24" s="97"/>
      <c r="N24" s="97"/>
      <c r="O24" s="97"/>
      <c r="P24" s="96"/>
      <c r="Q24" s="288"/>
      <c r="R24" s="207"/>
      <c r="S24" s="207"/>
      <c r="T24" s="207"/>
      <c r="U24" s="207"/>
      <c r="V24" s="207"/>
      <c r="W24" s="207"/>
      <c r="X24" s="207"/>
      <c r="Y24" s="207"/>
      <c r="Z24" s="207"/>
      <c r="AA24" s="207"/>
      <c r="AB24" s="207"/>
      <c r="AC24" s="289"/>
      <c r="AD24" s="99"/>
      <c r="AE24" s="10"/>
      <c r="AF24" s="10"/>
    </row>
    <row r="25" spans="1:32" ht="15.75" customHeight="1" x14ac:dyDescent="0.35">
      <c r="A25" s="96"/>
      <c r="B25" s="97" t="s">
        <v>84</v>
      </c>
      <c r="C25" s="97"/>
      <c r="D25" s="97"/>
      <c r="E25" s="97"/>
      <c r="F25" s="97"/>
      <c r="G25" s="97"/>
      <c r="H25" s="97"/>
      <c r="I25" s="97"/>
      <c r="J25" s="97"/>
      <c r="K25" s="97"/>
      <c r="L25" s="98"/>
      <c r="M25" s="97"/>
      <c r="N25" s="97"/>
      <c r="O25" s="97"/>
      <c r="P25" s="96"/>
      <c r="Q25" s="288"/>
      <c r="R25" s="207"/>
      <c r="S25" s="207"/>
      <c r="T25" s="207"/>
      <c r="U25" s="207"/>
      <c r="V25" s="207"/>
      <c r="W25" s="207"/>
      <c r="X25" s="207"/>
      <c r="Y25" s="207"/>
      <c r="Z25" s="207"/>
      <c r="AA25" s="207"/>
      <c r="AB25" s="207"/>
      <c r="AC25" s="289"/>
      <c r="AD25" s="99"/>
      <c r="AE25" s="10"/>
      <c r="AF25" s="10"/>
    </row>
    <row r="26" spans="1:32" ht="15.75" customHeight="1" x14ac:dyDescent="0.35">
      <c r="A26" s="104"/>
      <c r="B26" s="10"/>
      <c r="C26" s="10"/>
      <c r="D26" s="10"/>
      <c r="E26" s="10"/>
      <c r="F26" s="10"/>
      <c r="G26" s="10"/>
      <c r="H26" s="10"/>
      <c r="I26" s="10"/>
      <c r="J26" s="10"/>
      <c r="K26" s="10"/>
      <c r="L26" s="99"/>
      <c r="M26" s="10"/>
      <c r="N26" s="10"/>
      <c r="O26" s="10"/>
      <c r="P26" s="104"/>
      <c r="Q26" s="223"/>
      <c r="R26" s="282"/>
      <c r="S26" s="282"/>
      <c r="T26" s="282"/>
      <c r="U26" s="282"/>
      <c r="V26" s="282"/>
      <c r="W26" s="282"/>
      <c r="X26" s="282"/>
      <c r="Y26" s="282"/>
      <c r="Z26" s="282"/>
      <c r="AA26" s="282"/>
      <c r="AB26" s="282"/>
      <c r="AC26" s="230"/>
      <c r="AD26" s="99"/>
      <c r="AE26" s="10"/>
      <c r="AF26" s="10"/>
    </row>
    <row r="27" spans="1:32" ht="15.75" customHeight="1" x14ac:dyDescent="0.35">
      <c r="A27" s="105"/>
      <c r="B27" s="291" t="str">
        <f>IF('INPUT DATA'!F19="","",'INPUT DATA'!F19)</f>
        <v/>
      </c>
      <c r="C27" s="282"/>
      <c r="D27" s="282"/>
      <c r="E27" s="282"/>
      <c r="F27" s="282"/>
      <c r="G27" s="19"/>
      <c r="H27" s="294" t="str">
        <f>IF('INPUT DATA'!F26="","",'INPUT DATA'!F26)</f>
        <v/>
      </c>
      <c r="I27" s="282"/>
      <c r="J27" s="282"/>
      <c r="K27" s="282"/>
      <c r="L27" s="110"/>
      <c r="M27" s="106"/>
      <c r="N27" s="106"/>
      <c r="O27" s="106"/>
      <c r="P27" s="105"/>
      <c r="Q27" s="106"/>
      <c r="R27" s="106"/>
      <c r="S27" s="10"/>
      <c r="T27" s="10"/>
      <c r="U27" s="10"/>
      <c r="V27" s="10"/>
      <c r="W27" s="10"/>
      <c r="X27" s="10"/>
      <c r="Y27" s="10"/>
      <c r="Z27" s="10"/>
      <c r="AA27" s="10"/>
      <c r="AB27" s="10"/>
      <c r="AC27" s="10"/>
      <c r="AD27" s="99"/>
      <c r="AE27" s="10"/>
      <c r="AF27" s="10"/>
    </row>
    <row r="28" spans="1:32" ht="15.75" customHeight="1" x14ac:dyDescent="0.35">
      <c r="A28" s="104"/>
      <c r="B28" s="284" t="s">
        <v>85</v>
      </c>
      <c r="C28" s="207"/>
      <c r="D28" s="207"/>
      <c r="E28" s="207"/>
      <c r="F28" s="207"/>
      <c r="G28" s="97"/>
      <c r="H28" s="284" t="s">
        <v>86</v>
      </c>
      <c r="I28" s="207"/>
      <c r="J28" s="207"/>
      <c r="K28" s="207"/>
      <c r="L28" s="99"/>
      <c r="M28" s="10"/>
      <c r="N28" s="10"/>
      <c r="O28" s="10"/>
      <c r="P28" s="104"/>
      <c r="Q28" s="292" t="s">
        <v>87</v>
      </c>
      <c r="R28" s="207"/>
      <c r="S28" s="207"/>
      <c r="T28" s="207"/>
      <c r="U28" s="207"/>
      <c r="V28" s="207"/>
      <c r="W28" s="207"/>
      <c r="X28" s="207"/>
      <c r="Y28" s="207"/>
      <c r="Z28" s="207"/>
      <c r="AA28" s="207"/>
      <c r="AB28" s="207"/>
      <c r="AC28" s="207"/>
      <c r="AD28" s="99"/>
      <c r="AE28" s="10"/>
      <c r="AF28" s="10"/>
    </row>
    <row r="29" spans="1:32" ht="25.5" customHeight="1" x14ac:dyDescent="0.35">
      <c r="A29" s="120"/>
      <c r="B29" s="283" t="s">
        <v>88</v>
      </c>
      <c r="C29" s="207"/>
      <c r="D29" s="207"/>
      <c r="E29" s="207"/>
      <c r="F29" s="207"/>
      <c r="G29" s="207"/>
      <c r="H29" s="207"/>
      <c r="I29" s="207"/>
      <c r="J29" s="207"/>
      <c r="K29" s="207"/>
      <c r="L29" s="121"/>
      <c r="M29" s="119"/>
      <c r="N29" s="119"/>
      <c r="O29" s="119"/>
      <c r="P29" s="120"/>
      <c r="Q29" s="97"/>
      <c r="R29" s="293" t="s">
        <v>69</v>
      </c>
      <c r="S29" s="207"/>
      <c r="T29" s="122"/>
      <c r="U29" s="122"/>
      <c r="V29" s="122"/>
      <c r="W29" s="122"/>
      <c r="X29" s="122"/>
      <c r="Y29" s="122"/>
      <c r="Z29" s="122"/>
      <c r="AA29" s="122"/>
      <c r="AB29" s="122"/>
      <c r="AC29" s="10"/>
      <c r="AD29" s="99"/>
      <c r="AE29" s="10"/>
      <c r="AF29" s="10"/>
    </row>
    <row r="30" spans="1:32" ht="25.5" customHeight="1" x14ac:dyDescent="0.35">
      <c r="A30" s="120"/>
      <c r="B30" s="295" t="s">
        <v>25</v>
      </c>
      <c r="C30" s="287"/>
      <c r="D30" s="287"/>
      <c r="E30" s="228"/>
      <c r="F30" s="296" t="s">
        <v>89</v>
      </c>
      <c r="G30" s="253"/>
      <c r="H30" s="220"/>
      <c r="I30" s="297" t="s">
        <v>90</v>
      </c>
      <c r="J30" s="297" t="s">
        <v>91</v>
      </c>
      <c r="K30" s="299" t="s">
        <v>92</v>
      </c>
      <c r="L30" s="121"/>
      <c r="M30" s="119"/>
      <c r="N30" s="119"/>
      <c r="O30" s="119"/>
      <c r="P30" s="120"/>
      <c r="Q30" s="97"/>
      <c r="R30" s="293" t="s">
        <v>78</v>
      </c>
      <c r="S30" s="207"/>
      <c r="T30" s="122"/>
      <c r="U30" s="122"/>
      <c r="V30" s="122"/>
      <c r="W30" s="122"/>
      <c r="X30" s="122"/>
      <c r="Y30" s="122"/>
      <c r="Z30" s="122"/>
      <c r="AA30" s="122"/>
      <c r="AB30" s="122"/>
      <c r="AC30" s="10"/>
      <c r="AD30" s="99"/>
      <c r="AE30" s="10"/>
      <c r="AF30" s="10"/>
    </row>
    <row r="31" spans="1:32" ht="25.5" customHeight="1" x14ac:dyDescent="0.35">
      <c r="A31" s="116"/>
      <c r="B31" s="223"/>
      <c r="C31" s="282"/>
      <c r="D31" s="282"/>
      <c r="E31" s="230"/>
      <c r="F31" s="103" t="s">
        <v>93</v>
      </c>
      <c r="G31" s="103" t="s">
        <v>94</v>
      </c>
      <c r="H31" s="103" t="s">
        <v>95</v>
      </c>
      <c r="I31" s="298"/>
      <c r="J31" s="298"/>
      <c r="K31" s="298"/>
      <c r="L31" s="98"/>
      <c r="M31" s="97"/>
      <c r="N31" s="97"/>
      <c r="O31" s="97"/>
      <c r="P31" s="96"/>
      <c r="Q31" s="97"/>
      <c r="R31" s="293" t="s">
        <v>82</v>
      </c>
      <c r="S31" s="207"/>
      <c r="T31" s="122"/>
      <c r="U31" s="122"/>
      <c r="V31" s="122"/>
      <c r="W31" s="122"/>
      <c r="X31" s="122"/>
      <c r="Y31" s="122"/>
      <c r="Z31" s="122"/>
      <c r="AA31" s="122"/>
      <c r="AB31" s="122"/>
      <c r="AC31" s="10"/>
      <c r="AD31" s="99"/>
      <c r="AE31" s="10"/>
      <c r="AF31" s="10"/>
    </row>
    <row r="32" spans="1:32" ht="25.5" customHeight="1" x14ac:dyDescent="0.35">
      <c r="A32" s="123"/>
      <c r="B32" s="300" t="s">
        <v>26</v>
      </c>
      <c r="C32" s="253"/>
      <c r="D32" s="253"/>
      <c r="E32" s="253"/>
      <c r="F32" s="253"/>
      <c r="G32" s="253"/>
      <c r="H32" s="253"/>
      <c r="I32" s="253"/>
      <c r="J32" s="253"/>
      <c r="K32" s="220"/>
      <c r="L32" s="98"/>
      <c r="M32" s="97"/>
      <c r="N32" s="97"/>
      <c r="O32" s="97"/>
      <c r="P32" s="96"/>
      <c r="Q32" s="97"/>
      <c r="R32" s="19"/>
      <c r="S32" s="19"/>
      <c r="T32" s="19"/>
      <c r="U32" s="19"/>
      <c r="V32" s="19"/>
      <c r="W32" s="19"/>
      <c r="X32" s="19"/>
      <c r="Y32" s="19"/>
      <c r="Z32" s="19"/>
      <c r="AA32" s="19"/>
      <c r="AB32" s="19"/>
      <c r="AC32" s="10"/>
      <c r="AD32" s="99"/>
      <c r="AE32" s="10"/>
      <c r="AF32" s="10"/>
    </row>
    <row r="33" spans="1:32" ht="31.5" customHeight="1" x14ac:dyDescent="0.35">
      <c r="A33" s="123"/>
      <c r="B33" s="301" t="s">
        <v>96</v>
      </c>
      <c r="C33" s="253"/>
      <c r="D33" s="253"/>
      <c r="E33" s="220"/>
      <c r="F33" s="124" t="str">
        <f>IF('TERM 1 SUMMARY'!K16="","",VLOOKUP(C17,'TERM 1 SUMMARY'!C16:R116,9,0))</f>
        <v/>
      </c>
      <c r="G33" s="124" t="str">
        <f>IF('TERM 2 SUMMARY'!K16="","",VLOOKUP(C17,'TERM 2 SUMMARY'!C16:R116,11,0))</f>
        <v/>
      </c>
      <c r="H33" s="124" t="str">
        <f>IF('TERM 3 SUMMARY'!K16="","",VLOOKUP(C17,'TERM 3 SUMMARY'!C16:R116,11,0))</f>
        <v/>
      </c>
      <c r="I33" s="125">
        <v>6</v>
      </c>
      <c r="J33" s="124" t="str">
        <f>IF(SUM(F33:H33)=0, "", ROUND((F33+H33+G33)*(I33/3)/I33,0))</f>
        <v/>
      </c>
      <c r="K33" s="124" t="str">
        <f>IF(J33="", "", IF(J33&gt;=75, "Passed", "Failed"))</f>
        <v/>
      </c>
      <c r="L33" s="126" t="e">
        <f>J33*I33</f>
        <v>#VALUE!</v>
      </c>
      <c r="M33" s="97"/>
      <c r="N33" s="97"/>
      <c r="O33" s="97"/>
      <c r="P33" s="96"/>
      <c r="Q33" s="292" t="s">
        <v>97</v>
      </c>
      <c r="R33" s="207"/>
      <c r="S33" s="207"/>
      <c r="T33" s="207"/>
      <c r="U33" s="207"/>
      <c r="V33" s="207"/>
      <c r="W33" s="207"/>
      <c r="X33" s="207"/>
      <c r="Y33" s="207"/>
      <c r="Z33" s="207"/>
      <c r="AA33" s="207"/>
      <c r="AB33" s="207"/>
      <c r="AC33" s="207"/>
      <c r="AD33" s="99"/>
      <c r="AE33" s="10"/>
      <c r="AF33" s="10"/>
    </row>
    <row r="34" spans="1:32" ht="25.5" customHeight="1" x14ac:dyDescent="0.35">
      <c r="A34" s="123"/>
      <c r="B34" s="302" t="s">
        <v>98</v>
      </c>
      <c r="C34" s="253"/>
      <c r="D34" s="253"/>
      <c r="E34" s="220"/>
      <c r="F34" s="124" t="str">
        <f>IF('TERM 1 SUMMARY'!K16="","",VLOOKUP(C17,'TERM 1 SUMMARY'!C16:R116,10,0))</f>
        <v/>
      </c>
      <c r="G34" s="124" t="str">
        <f>IF('TERM 2 SUMMARY'!K16="","",VLOOKUP(C17,'TERM 2 SUMMARY'!C16:R116,11,0))</f>
        <v/>
      </c>
      <c r="H34" s="124" t="str">
        <f>IF('TERM 3 SUMMARY'!K16="","",VLOOKUP(C17,'TERM 3 SUMMARY'!C16:R116,11,0))</f>
        <v/>
      </c>
      <c r="I34" s="125"/>
      <c r="J34" s="127"/>
      <c r="K34" s="127"/>
      <c r="L34" s="126"/>
      <c r="M34" s="97"/>
      <c r="N34" s="97"/>
      <c r="O34" s="97"/>
      <c r="P34" s="96"/>
      <c r="Q34" s="97" t="s">
        <v>99</v>
      </c>
      <c r="R34" s="97"/>
      <c r="S34" s="97"/>
      <c r="T34" s="97"/>
      <c r="U34" s="97"/>
      <c r="V34" s="97"/>
      <c r="W34" s="97"/>
      <c r="X34" s="97"/>
      <c r="Y34" s="97"/>
      <c r="Z34" s="97"/>
      <c r="AA34" s="97"/>
      <c r="AB34" s="97"/>
      <c r="AC34" s="97"/>
      <c r="AD34" s="99"/>
      <c r="AE34" s="10"/>
      <c r="AF34" s="10"/>
    </row>
    <row r="35" spans="1:32" ht="25.5" customHeight="1" x14ac:dyDescent="0.35">
      <c r="A35" s="123"/>
      <c r="B35" s="302" t="s">
        <v>100</v>
      </c>
      <c r="C35" s="253"/>
      <c r="D35" s="253"/>
      <c r="E35" s="220"/>
      <c r="F35" s="124" t="str">
        <f>IF('TERM 1 SUMMARY'!K16="","",VLOOKUP(C17,'TERM 1 SUMMARY'!C16:R116,11,0))</f>
        <v/>
      </c>
      <c r="G35" s="124" t="str">
        <f>IF('TERM 2 SUMMARY'!K16="","",VLOOKUP(C17,'TERM 2 SUMMARY'!C16:R116,10,0))</f>
        <v/>
      </c>
      <c r="H35" s="124" t="str">
        <f>IF('TERM 3 SUMMARY'!K16="","",VLOOKUP(C17,'TERM 3 SUMMARY'!C16:R116,10,0))</f>
        <v/>
      </c>
      <c r="I35" s="125"/>
      <c r="J35" s="127"/>
      <c r="K35" s="127"/>
      <c r="L35" s="126"/>
      <c r="M35" s="97"/>
      <c r="N35" s="97"/>
      <c r="O35" s="97"/>
      <c r="P35" s="96"/>
      <c r="Q35" s="97" t="s">
        <v>101</v>
      </c>
      <c r="R35" s="97"/>
      <c r="S35" s="97"/>
      <c r="T35" s="97"/>
      <c r="U35" s="97"/>
      <c r="V35" s="97"/>
      <c r="W35" s="97"/>
      <c r="X35" s="97"/>
      <c r="Y35" s="97"/>
      <c r="Z35" s="97"/>
      <c r="AA35" s="97"/>
      <c r="AB35" s="97"/>
      <c r="AC35" s="97"/>
      <c r="AD35" s="99"/>
      <c r="AE35" s="10" t="str">
        <f>IF(COUNT(F31:H31)=0,"",ROUND((F31+G31+H31)/3,0))</f>
        <v/>
      </c>
      <c r="AF35" s="10"/>
    </row>
    <row r="36" spans="1:32" ht="25.5" customHeight="1" x14ac:dyDescent="0.35">
      <c r="A36" s="123"/>
      <c r="B36" s="301" t="s">
        <v>29</v>
      </c>
      <c r="C36" s="253"/>
      <c r="D36" s="253"/>
      <c r="E36" s="220"/>
      <c r="F36" s="124" t="str">
        <f>IF('TERM 1 SUMMARY'!K16="","",VLOOKUP(C17,'TERM 1 SUMMARY'!C16:R116,12,0))</f>
        <v/>
      </c>
      <c r="G36" s="124" t="str">
        <f>IF('TERM 2 SUMMARY'!K16="","",VLOOKUP(C17,'TERM 2 SUMMARY'!C16:R116,12,0))</f>
        <v/>
      </c>
      <c r="H36" s="124" t="str">
        <f>IF('TERM 3 SUMMARY'!K16="","",VLOOKUP(C17,'TERM 3 SUMMARY'!C16:R116,12,0))</f>
        <v/>
      </c>
      <c r="I36" s="125">
        <v>6</v>
      </c>
      <c r="J36" s="124" t="str">
        <f t="shared" ref="J36:J39" si="0">IF(SUM(F36:H36)=0, "", ROUND((F36+H36+G36)*(I36/3)/I36,0))</f>
        <v/>
      </c>
      <c r="K36" s="124" t="str">
        <f t="shared" ref="K36:K39" si="1">IF(J36="", "", IF(J36&gt;=75, "Passed", "Failed"))</f>
        <v/>
      </c>
      <c r="L36" s="126" t="e">
        <f t="shared" ref="L36:L39" si="2">J36*I36</f>
        <v>#VALUE!</v>
      </c>
      <c r="M36" s="97"/>
      <c r="N36" s="97"/>
      <c r="O36" s="97"/>
      <c r="P36" s="96"/>
      <c r="Q36" s="97"/>
      <c r="R36" s="97"/>
      <c r="S36" s="97"/>
      <c r="T36" s="97"/>
      <c r="U36" s="97"/>
      <c r="V36" s="97"/>
      <c r="W36" s="97"/>
      <c r="X36" s="97"/>
      <c r="Y36" s="97"/>
      <c r="Z36" s="97"/>
      <c r="AA36" s="97"/>
      <c r="AB36" s="97"/>
      <c r="AC36" s="97"/>
      <c r="AD36" s="99"/>
      <c r="AE36" s="10"/>
      <c r="AF36" s="10"/>
    </row>
    <row r="37" spans="1:32" ht="25.5" customHeight="1" x14ac:dyDescent="0.35">
      <c r="A37" s="123"/>
      <c r="B37" s="301" t="s">
        <v>30</v>
      </c>
      <c r="C37" s="253"/>
      <c r="D37" s="253"/>
      <c r="E37" s="220"/>
      <c r="F37" s="124" t="str">
        <f>IF('TERM 1 SUMMARY'!K16="","",VLOOKUP(C17,'TERM 1 SUMMARY'!C16:R116,13,0))</f>
        <v/>
      </c>
      <c r="G37" s="124" t="str">
        <f>IF('TERM 2 SUMMARY'!K16="","",VLOOKUP(C17,'TERM 2 SUMMARY'!C16:R116,13,0))</f>
        <v/>
      </c>
      <c r="H37" s="124" t="str">
        <f>IF('TERM 3 SUMMARY'!K16="","",VLOOKUP(C17,'TERM 3 SUMMARY'!C16:R116,13,0))</f>
        <v/>
      </c>
      <c r="I37" s="125">
        <v>6</v>
      </c>
      <c r="J37" s="124" t="str">
        <f t="shared" si="0"/>
        <v/>
      </c>
      <c r="K37" s="124" t="str">
        <f t="shared" si="1"/>
        <v/>
      </c>
      <c r="L37" s="126" t="e">
        <f t="shared" si="2"/>
        <v>#VALUE!</v>
      </c>
      <c r="M37" s="97"/>
      <c r="N37" s="97"/>
      <c r="O37" s="97"/>
      <c r="P37" s="96"/>
      <c r="Q37" s="97" t="s">
        <v>102</v>
      </c>
      <c r="R37" s="97"/>
      <c r="S37" s="128"/>
      <c r="T37" s="128"/>
      <c r="U37" s="97"/>
      <c r="V37" s="97"/>
      <c r="W37" s="97"/>
      <c r="X37" s="97"/>
      <c r="Y37" s="97"/>
      <c r="Z37" s="97"/>
      <c r="AA37" s="97"/>
      <c r="AB37" s="97"/>
      <c r="AC37" s="97"/>
      <c r="AD37" s="99"/>
      <c r="AE37" s="10"/>
      <c r="AF37" s="10"/>
    </row>
    <row r="38" spans="1:32" ht="25.5" customHeight="1" x14ac:dyDescent="0.35">
      <c r="A38" s="123"/>
      <c r="B38" s="301" t="s">
        <v>31</v>
      </c>
      <c r="C38" s="253"/>
      <c r="D38" s="253"/>
      <c r="E38" s="220"/>
      <c r="F38" s="124" t="str">
        <f>IF('TERM 1 SUMMARY'!K16="","",VLOOKUP(C17,'TERM 1 SUMMARY'!C16:R116,14,0))</f>
        <v/>
      </c>
      <c r="G38" s="129" t="str">
        <f>IF('TERM 2 SUMMARY'!K16="","",VLOOKUP(C17,'TERM 2 SUMMARY'!C16:R116,14,0))</f>
        <v/>
      </c>
      <c r="H38" s="129" t="str">
        <f>IF('TERM 3 SUMMARY'!K16="","",VLOOKUP(C17,'TERM 3 SUMMARY'!C16:R116,14,0))</f>
        <v/>
      </c>
      <c r="I38" s="125">
        <v>6</v>
      </c>
      <c r="J38" s="124" t="str">
        <f t="shared" si="0"/>
        <v/>
      </c>
      <c r="K38" s="124" t="str">
        <f t="shared" si="1"/>
        <v/>
      </c>
      <c r="L38" s="126" t="e">
        <f t="shared" si="2"/>
        <v>#VALUE!</v>
      </c>
      <c r="M38" s="97"/>
      <c r="N38" s="97"/>
      <c r="O38" s="97"/>
      <c r="P38" s="96"/>
      <c r="Q38" s="97" t="s">
        <v>103</v>
      </c>
      <c r="R38" s="97"/>
      <c r="S38" s="97"/>
      <c r="T38" s="97"/>
      <c r="U38" s="128"/>
      <c r="V38" s="128"/>
      <c r="W38" s="128"/>
      <c r="X38" s="128"/>
      <c r="Y38" s="97"/>
      <c r="Z38" s="97"/>
      <c r="AA38" s="97"/>
      <c r="AB38" s="97"/>
      <c r="AC38" s="97"/>
      <c r="AD38" s="99"/>
      <c r="AE38" s="10"/>
      <c r="AF38" s="10"/>
    </row>
    <row r="39" spans="1:32" ht="32.25" customHeight="1" x14ac:dyDescent="0.35">
      <c r="A39" s="130"/>
      <c r="B39" s="301" t="s">
        <v>104</v>
      </c>
      <c r="C39" s="253"/>
      <c r="D39" s="253"/>
      <c r="E39" s="220"/>
      <c r="F39" s="124" t="str">
        <f>IF('TERM 1 SUMMARY'!K16="","",VLOOKUP(C17,'TERM 1 SUMMARY'!C16:R116,15,0))</f>
        <v/>
      </c>
      <c r="G39" s="124" t="str">
        <f>IF('TERM 2 SUMMARY'!K16="","",VLOOKUP(C17,'TERM 2 SUMMARY'!C16:R116,15,0))</f>
        <v/>
      </c>
      <c r="H39" s="124" t="str">
        <f>IF('TERM 3 SUMMARY'!K16="","",VLOOKUP(C17,'TERM 3 SUMMARY'!C16:R116,15,0))</f>
        <v/>
      </c>
      <c r="I39" s="125">
        <v>6</v>
      </c>
      <c r="J39" s="124" t="str">
        <f t="shared" si="0"/>
        <v/>
      </c>
      <c r="K39" s="124" t="str">
        <f t="shared" si="1"/>
        <v/>
      </c>
      <c r="L39" s="126" t="e">
        <f t="shared" si="2"/>
        <v>#VALUE!</v>
      </c>
      <c r="M39" s="10"/>
      <c r="N39" s="10"/>
      <c r="O39" s="10"/>
      <c r="P39" s="104"/>
      <c r="Q39" s="97"/>
      <c r="R39" s="97"/>
      <c r="S39" s="97"/>
      <c r="T39" s="97"/>
      <c r="U39" s="97"/>
      <c r="V39" s="97"/>
      <c r="W39" s="97"/>
      <c r="X39" s="291" t="str">
        <f>IF('INPUT DATA'!F26="","",'INPUT DATA'!F26)</f>
        <v/>
      </c>
      <c r="Y39" s="282"/>
      <c r="Z39" s="282"/>
      <c r="AA39" s="282"/>
      <c r="AB39" s="282"/>
      <c r="AC39" s="282"/>
      <c r="AD39" s="99"/>
      <c r="AE39" s="10"/>
      <c r="AF39" s="10"/>
    </row>
    <row r="40" spans="1:32" ht="25.5" customHeight="1" x14ac:dyDescent="0.35">
      <c r="A40" s="130"/>
      <c r="B40" s="303" t="s">
        <v>27</v>
      </c>
      <c r="C40" s="253"/>
      <c r="D40" s="253"/>
      <c r="E40" s="253"/>
      <c r="F40" s="253"/>
      <c r="G40" s="253"/>
      <c r="H40" s="253"/>
      <c r="I40" s="253"/>
      <c r="J40" s="253"/>
      <c r="K40" s="220"/>
      <c r="L40" s="131"/>
      <c r="M40" s="10"/>
      <c r="N40" s="10"/>
      <c r="O40" s="10"/>
      <c r="P40" s="104"/>
      <c r="Q40" s="97" t="s">
        <v>105</v>
      </c>
      <c r="R40" s="292"/>
      <c r="S40" s="207"/>
      <c r="T40" s="207"/>
      <c r="U40" s="207"/>
      <c r="V40" s="97"/>
      <c r="W40" s="97"/>
      <c r="X40" s="304" t="s">
        <v>86</v>
      </c>
      <c r="Y40" s="207"/>
      <c r="Z40" s="207"/>
      <c r="AA40" s="207"/>
      <c r="AB40" s="207"/>
      <c r="AC40" s="207"/>
      <c r="AD40" s="99"/>
      <c r="AE40" s="10"/>
      <c r="AF40" s="10"/>
    </row>
    <row r="41" spans="1:32" ht="25.5" customHeight="1" x14ac:dyDescent="0.4">
      <c r="A41" s="132"/>
      <c r="B41" s="305" t="s">
        <v>33</v>
      </c>
      <c r="C41" s="253"/>
      <c r="D41" s="253"/>
      <c r="E41" s="220"/>
      <c r="F41" s="129" t="str">
        <f>IF('TERM 1 SUMMARY'!K16="","",VLOOKUP(C17,'TERM 1 SUMMARY'!C16:R116,16,0))</f>
        <v/>
      </c>
      <c r="G41" s="133"/>
      <c r="H41" s="133"/>
      <c r="I41" s="125">
        <v>3</v>
      </c>
      <c r="J41" s="124" t="str">
        <f t="shared" ref="J41:J43" si="3">IF(SUM(F41:H41)=0, "", ROUND((F41+H41+G41)*I41/I41,0))</f>
        <v/>
      </c>
      <c r="K41" s="124" t="str">
        <f t="shared" ref="K41:K44" si="4">IF(J41="", "", IF(J41&gt;=75, "Passed", "Failed"))</f>
        <v/>
      </c>
      <c r="L41" s="126" t="e">
        <f t="shared" ref="L41:L43" si="5">J41*I41</f>
        <v>#VALUE!</v>
      </c>
      <c r="M41" s="10"/>
      <c r="N41" s="10"/>
      <c r="O41" s="10"/>
      <c r="P41" s="104"/>
      <c r="Q41" s="306" t="str">
        <f>IF('INPUT DATA'!F19="","",'INPUT DATA'!F19)</f>
        <v/>
      </c>
      <c r="R41" s="207"/>
      <c r="S41" s="207"/>
      <c r="T41" s="207"/>
      <c r="U41" s="207"/>
      <c r="V41" s="207"/>
      <c r="W41" s="97"/>
      <c r="X41" s="304"/>
      <c r="Y41" s="207"/>
      <c r="Z41" s="207"/>
      <c r="AA41" s="207"/>
      <c r="AB41" s="207"/>
      <c r="AC41" s="207"/>
      <c r="AD41" s="99"/>
      <c r="AE41" s="10"/>
      <c r="AF41" s="10"/>
    </row>
    <row r="42" spans="1:32" ht="25.5" customHeight="1" x14ac:dyDescent="0.35">
      <c r="A42" s="123"/>
      <c r="B42" s="305" t="s">
        <v>39</v>
      </c>
      <c r="C42" s="253"/>
      <c r="D42" s="253"/>
      <c r="E42" s="220"/>
      <c r="F42" s="134"/>
      <c r="G42" s="129" t="str">
        <f>IF('TERM 2 SUMMARY'!K16="","",VLOOKUP(C17,'TERM 2 SUMMARY'!C16:R116,16,0))</f>
        <v/>
      </c>
      <c r="H42" s="134"/>
      <c r="I42" s="135">
        <v>3</v>
      </c>
      <c r="J42" s="124" t="str">
        <f t="shared" si="3"/>
        <v/>
      </c>
      <c r="K42" s="124" t="str">
        <f t="shared" si="4"/>
        <v/>
      </c>
      <c r="L42" s="126" t="e">
        <f t="shared" si="5"/>
        <v>#VALUE!</v>
      </c>
      <c r="M42" s="10"/>
      <c r="N42" s="10"/>
      <c r="O42" s="10"/>
      <c r="P42" s="104"/>
      <c r="Q42" s="282"/>
      <c r="R42" s="282"/>
      <c r="S42" s="282"/>
      <c r="T42" s="282"/>
      <c r="U42" s="282"/>
      <c r="V42" s="282"/>
      <c r="W42" s="19"/>
      <c r="X42" s="284"/>
      <c r="Y42" s="207"/>
      <c r="Z42" s="207"/>
      <c r="AA42" s="207"/>
      <c r="AB42" s="207"/>
      <c r="AC42" s="207"/>
      <c r="AD42" s="99"/>
      <c r="AE42" s="10"/>
      <c r="AF42" s="10"/>
    </row>
    <row r="43" spans="1:32" ht="25.5" customHeight="1" x14ac:dyDescent="0.35">
      <c r="A43" s="136"/>
      <c r="B43" s="305" t="s">
        <v>37</v>
      </c>
      <c r="C43" s="253"/>
      <c r="D43" s="253"/>
      <c r="E43" s="220"/>
      <c r="F43" s="134"/>
      <c r="G43" s="134"/>
      <c r="H43" s="129" t="str">
        <f>IF('TERM 3 SUMMARY'!K16="","",VLOOKUP(C17,'TERM 3 SUMMARY'!C16:R116,16,0))</f>
        <v/>
      </c>
      <c r="I43" s="135">
        <v>3</v>
      </c>
      <c r="J43" s="124" t="str">
        <f t="shared" si="3"/>
        <v/>
      </c>
      <c r="K43" s="124" t="str">
        <f t="shared" si="4"/>
        <v/>
      </c>
      <c r="L43" s="126" t="e">
        <f t="shared" si="5"/>
        <v>#VALUE!</v>
      </c>
      <c r="M43" s="10"/>
      <c r="N43" s="10"/>
      <c r="O43" s="10"/>
      <c r="P43" s="104"/>
      <c r="Q43" s="284" t="s">
        <v>106</v>
      </c>
      <c r="R43" s="207"/>
      <c r="S43" s="207"/>
      <c r="T43" s="207"/>
      <c r="U43" s="207"/>
      <c r="V43" s="207"/>
      <c r="W43" s="97"/>
      <c r="X43" s="284"/>
      <c r="Y43" s="207"/>
      <c r="Z43" s="207"/>
      <c r="AA43" s="207"/>
      <c r="AB43" s="207"/>
      <c r="AC43" s="207"/>
      <c r="AD43" s="99"/>
      <c r="AE43" s="10"/>
      <c r="AF43" s="10"/>
    </row>
    <row r="44" spans="1:32" ht="25.5" customHeight="1" x14ac:dyDescent="0.35">
      <c r="A44" s="136"/>
      <c r="B44" s="307" t="s">
        <v>107</v>
      </c>
      <c r="C44" s="253"/>
      <c r="D44" s="253"/>
      <c r="E44" s="253"/>
      <c r="F44" s="253"/>
      <c r="G44" s="253"/>
      <c r="H44" s="253"/>
      <c r="I44" s="137">
        <f>SUM(I33:I39,I41:I43)</f>
        <v>39</v>
      </c>
      <c r="J44" s="137" t="str">
        <f>IF(COUNT(J33:J39,J41:J43)=0,"",ROUND(L44/I44,0))</f>
        <v/>
      </c>
      <c r="K44" s="138" t="str">
        <f t="shared" si="4"/>
        <v/>
      </c>
      <c r="L44" s="131" t="e">
        <f>SUM(L33:L43)</f>
        <v>#VALUE!</v>
      </c>
      <c r="M44" s="10"/>
      <c r="N44" s="10"/>
      <c r="O44" s="10"/>
      <c r="P44" s="104"/>
      <c r="Q44" s="101"/>
      <c r="R44" s="101"/>
      <c r="S44" s="101"/>
      <c r="T44" s="101"/>
      <c r="U44" s="101"/>
      <c r="V44" s="101"/>
      <c r="W44" s="97"/>
      <c r="X44" s="101"/>
      <c r="Y44" s="101"/>
      <c r="Z44" s="101"/>
      <c r="AA44" s="101"/>
      <c r="AB44" s="101"/>
      <c r="AC44" s="101"/>
      <c r="AD44" s="99"/>
      <c r="AE44" s="10"/>
      <c r="AF44" s="10"/>
    </row>
    <row r="45" spans="1:32" ht="15.75" customHeight="1" x14ac:dyDescent="0.35">
      <c r="A45" s="96"/>
      <c r="B45" s="97"/>
      <c r="C45" s="97"/>
      <c r="D45" s="97"/>
      <c r="E45" s="97"/>
      <c r="F45" s="10"/>
      <c r="G45" s="10"/>
      <c r="H45" s="10"/>
      <c r="I45" s="10"/>
      <c r="J45" s="10"/>
      <c r="K45" s="10"/>
      <c r="L45" s="99"/>
      <c r="M45" s="10"/>
      <c r="N45" s="10"/>
      <c r="O45" s="10"/>
      <c r="P45" s="104"/>
      <c r="Q45" s="292" t="s">
        <v>108</v>
      </c>
      <c r="R45" s="207"/>
      <c r="S45" s="207"/>
      <c r="T45" s="207"/>
      <c r="U45" s="207"/>
      <c r="V45" s="207"/>
      <c r="W45" s="207"/>
      <c r="X45" s="207"/>
      <c r="Y45" s="207"/>
      <c r="Z45" s="207"/>
      <c r="AA45" s="207"/>
      <c r="AB45" s="207"/>
      <c r="AC45" s="207"/>
      <c r="AD45" s="99"/>
      <c r="AE45" s="10"/>
      <c r="AF45" s="10"/>
    </row>
    <row r="46" spans="1:32" ht="15.75" customHeight="1" x14ac:dyDescent="0.35">
      <c r="A46" s="96"/>
      <c r="B46" s="309" t="s">
        <v>109</v>
      </c>
      <c r="C46" s="207"/>
      <c r="D46" s="207"/>
      <c r="E46" s="207"/>
      <c r="F46" s="283"/>
      <c r="G46" s="207"/>
      <c r="H46" s="106"/>
      <c r="I46" s="283"/>
      <c r="J46" s="207"/>
      <c r="K46" s="19"/>
      <c r="L46" s="139"/>
      <c r="M46" s="59"/>
      <c r="N46" s="59"/>
      <c r="O46" s="10"/>
      <c r="P46" s="104"/>
      <c r="Q46" s="19"/>
      <c r="R46" s="19"/>
      <c r="S46" s="19"/>
      <c r="T46" s="19"/>
      <c r="U46" s="19"/>
      <c r="V46" s="19"/>
      <c r="W46" s="19"/>
      <c r="X46" s="19"/>
      <c r="Y46" s="19"/>
      <c r="Z46" s="19"/>
      <c r="AA46" s="19"/>
      <c r="AB46" s="19"/>
      <c r="AC46" s="19"/>
      <c r="AD46" s="99"/>
      <c r="AE46" s="10"/>
      <c r="AF46" s="10"/>
    </row>
    <row r="47" spans="1:32" ht="15.75" customHeight="1" x14ac:dyDescent="0.35">
      <c r="A47" s="96"/>
      <c r="B47" s="97"/>
      <c r="C47" s="283" t="s">
        <v>110</v>
      </c>
      <c r="D47" s="207"/>
      <c r="E47" s="207"/>
      <c r="F47" s="283" t="s">
        <v>111</v>
      </c>
      <c r="G47" s="207"/>
      <c r="H47" s="101"/>
      <c r="I47" s="283" t="s">
        <v>92</v>
      </c>
      <c r="J47" s="207"/>
      <c r="K47" s="19"/>
      <c r="L47" s="139"/>
      <c r="M47" s="59"/>
      <c r="N47" s="59"/>
      <c r="O47" s="10"/>
      <c r="P47" s="104"/>
      <c r="Q47" s="97" t="s">
        <v>112</v>
      </c>
      <c r="R47" s="128"/>
      <c r="S47" s="128"/>
      <c r="T47" s="128"/>
      <c r="U47" s="128"/>
      <c r="V47" s="128"/>
      <c r="W47" s="128"/>
      <c r="X47" s="97" t="s">
        <v>113</v>
      </c>
      <c r="Y47" s="128"/>
      <c r="Z47" s="128"/>
      <c r="AA47" s="128"/>
      <c r="AB47" s="128"/>
      <c r="AC47" s="19"/>
      <c r="AD47" s="99"/>
      <c r="AE47" s="10"/>
      <c r="AF47" s="10"/>
    </row>
    <row r="48" spans="1:32" ht="15.75" customHeight="1" x14ac:dyDescent="0.35">
      <c r="A48" s="96"/>
      <c r="B48" s="97"/>
      <c r="C48" s="284" t="s">
        <v>114</v>
      </c>
      <c r="D48" s="207"/>
      <c r="E48" s="207"/>
      <c r="F48" s="284" t="s">
        <v>115</v>
      </c>
      <c r="G48" s="207"/>
      <c r="H48" s="101"/>
      <c r="I48" s="284" t="s">
        <v>116</v>
      </c>
      <c r="J48" s="207"/>
      <c r="K48" s="19"/>
      <c r="L48" s="139"/>
      <c r="M48" s="59"/>
      <c r="N48" s="59"/>
      <c r="O48" s="10"/>
      <c r="P48" s="104"/>
      <c r="Q48" s="19"/>
      <c r="R48" s="19"/>
      <c r="S48" s="19"/>
      <c r="T48" s="19"/>
      <c r="U48" s="19"/>
      <c r="V48" s="19"/>
      <c r="W48" s="19"/>
      <c r="X48" s="19"/>
      <c r="Y48" s="19"/>
      <c r="Z48" s="19"/>
      <c r="AA48" s="19"/>
      <c r="AB48" s="19"/>
      <c r="AC48" s="97"/>
      <c r="AD48" s="99"/>
      <c r="AE48" s="10"/>
      <c r="AF48" s="10"/>
    </row>
    <row r="49" spans="1:32" ht="15.75" customHeight="1" x14ac:dyDescent="0.35">
      <c r="A49" s="96"/>
      <c r="B49" s="97"/>
      <c r="C49" s="284" t="s">
        <v>117</v>
      </c>
      <c r="D49" s="207"/>
      <c r="E49" s="207"/>
      <c r="F49" s="284" t="s">
        <v>118</v>
      </c>
      <c r="G49" s="207"/>
      <c r="H49" s="101"/>
      <c r="I49" s="284" t="s">
        <v>116</v>
      </c>
      <c r="J49" s="207"/>
      <c r="K49" s="19"/>
      <c r="L49" s="139"/>
      <c r="M49" s="59"/>
      <c r="N49" s="59"/>
      <c r="O49" s="10"/>
      <c r="P49" s="104"/>
      <c r="Q49" s="97"/>
      <c r="R49" s="97"/>
      <c r="S49" s="97"/>
      <c r="T49" s="97"/>
      <c r="U49" s="97"/>
      <c r="V49" s="97"/>
      <c r="W49" s="97"/>
      <c r="X49" s="97"/>
      <c r="Y49" s="97"/>
      <c r="Z49" s="97"/>
      <c r="AA49" s="97"/>
      <c r="AB49" s="97"/>
      <c r="AC49" s="97"/>
      <c r="AD49" s="99"/>
      <c r="AE49" s="10"/>
      <c r="AF49" s="10"/>
    </row>
    <row r="50" spans="1:32" ht="15.75" customHeight="1" x14ac:dyDescent="0.35">
      <c r="A50" s="96"/>
      <c r="B50" s="97"/>
      <c r="C50" s="284" t="s">
        <v>119</v>
      </c>
      <c r="D50" s="207"/>
      <c r="E50" s="207"/>
      <c r="F50" s="284" t="s">
        <v>120</v>
      </c>
      <c r="G50" s="207"/>
      <c r="H50" s="101"/>
      <c r="I50" s="284" t="s">
        <v>116</v>
      </c>
      <c r="J50" s="207"/>
      <c r="K50" s="19"/>
      <c r="L50" s="139"/>
      <c r="M50" s="59"/>
      <c r="N50" s="59"/>
      <c r="O50" s="10"/>
      <c r="P50" s="104"/>
      <c r="Q50" s="291" t="str">
        <f>IF('INPUT DATA'!F19="","",'INPUT DATA'!F19)</f>
        <v/>
      </c>
      <c r="R50" s="282"/>
      <c r="S50" s="282"/>
      <c r="T50" s="282"/>
      <c r="U50" s="282"/>
      <c r="V50" s="282"/>
      <c r="W50" s="97"/>
      <c r="X50" s="97"/>
      <c r="Y50" s="97"/>
      <c r="Z50" s="97"/>
      <c r="AA50" s="97"/>
      <c r="AB50" s="97"/>
      <c r="AC50" s="97"/>
      <c r="AD50" s="99"/>
      <c r="AE50" s="10"/>
      <c r="AF50" s="10"/>
    </row>
    <row r="51" spans="1:32" ht="15.75" customHeight="1" x14ac:dyDescent="0.35">
      <c r="A51" s="96"/>
      <c r="B51" s="97"/>
      <c r="C51" s="284" t="s">
        <v>121</v>
      </c>
      <c r="D51" s="207"/>
      <c r="E51" s="207"/>
      <c r="F51" s="284" t="s">
        <v>122</v>
      </c>
      <c r="G51" s="207"/>
      <c r="H51" s="101"/>
      <c r="I51" s="284" t="s">
        <v>123</v>
      </c>
      <c r="J51" s="207"/>
      <c r="K51" s="19"/>
      <c r="L51" s="139"/>
      <c r="M51" s="59"/>
      <c r="N51" s="59"/>
      <c r="O51" s="10"/>
      <c r="P51" s="104"/>
      <c r="Q51" s="284" t="s">
        <v>85</v>
      </c>
      <c r="R51" s="207"/>
      <c r="S51" s="207"/>
      <c r="T51" s="207"/>
      <c r="U51" s="207"/>
      <c r="V51" s="207"/>
      <c r="W51" s="97"/>
      <c r="X51" s="97"/>
      <c r="Y51" s="97"/>
      <c r="Z51" s="97"/>
      <c r="AA51" s="97"/>
      <c r="AB51" s="97"/>
      <c r="AC51" s="97"/>
      <c r="AD51" s="99"/>
      <c r="AE51" s="10"/>
      <c r="AF51" s="10"/>
    </row>
    <row r="52" spans="1:32" ht="15.75" customHeight="1" x14ac:dyDescent="0.35">
      <c r="A52" s="104"/>
      <c r="B52" s="10"/>
      <c r="C52" s="284" t="s">
        <v>124</v>
      </c>
      <c r="D52" s="207"/>
      <c r="E52" s="207"/>
      <c r="F52" s="284" t="s">
        <v>125</v>
      </c>
      <c r="G52" s="207"/>
      <c r="H52" s="10"/>
      <c r="I52" s="284" t="s">
        <v>123</v>
      </c>
      <c r="J52" s="207"/>
      <c r="K52" s="10"/>
      <c r="L52" s="99"/>
      <c r="M52" s="10"/>
      <c r="N52" s="10"/>
      <c r="O52" s="10"/>
      <c r="P52" s="104"/>
      <c r="Q52" s="97"/>
      <c r="R52" s="97"/>
      <c r="S52" s="97"/>
      <c r="T52" s="97"/>
      <c r="U52" s="97"/>
      <c r="V52" s="97"/>
      <c r="W52" s="97"/>
      <c r="X52" s="97"/>
      <c r="Y52" s="97"/>
      <c r="Z52" s="97"/>
      <c r="AA52" s="97"/>
      <c r="AB52" s="97"/>
      <c r="AC52" s="97"/>
      <c r="AD52" s="99"/>
      <c r="AE52" s="10"/>
      <c r="AF52" s="10"/>
    </row>
    <row r="53" spans="1:32" ht="15.75" customHeight="1" x14ac:dyDescent="0.35">
      <c r="A53" s="140"/>
      <c r="B53" s="141"/>
      <c r="C53" s="141"/>
      <c r="D53" s="141"/>
      <c r="E53" s="141"/>
      <c r="F53" s="141"/>
      <c r="G53" s="141"/>
      <c r="H53" s="141"/>
      <c r="I53" s="141"/>
      <c r="J53" s="141"/>
      <c r="K53" s="141"/>
      <c r="L53" s="142"/>
      <c r="M53" s="10"/>
      <c r="N53" s="10"/>
      <c r="O53" s="10"/>
      <c r="P53" s="140"/>
      <c r="Q53" s="141"/>
      <c r="R53" s="141"/>
      <c r="S53" s="141"/>
      <c r="T53" s="141"/>
      <c r="U53" s="141"/>
      <c r="V53" s="141"/>
      <c r="W53" s="141"/>
      <c r="X53" s="141"/>
      <c r="Y53" s="141"/>
      <c r="Z53" s="141"/>
      <c r="AA53" s="141"/>
      <c r="AB53" s="141"/>
      <c r="AC53" s="141"/>
      <c r="AD53" s="142"/>
      <c r="AE53" s="10"/>
      <c r="AF53" s="10"/>
    </row>
    <row r="54" spans="1:32" ht="15.75" customHeight="1" x14ac:dyDescent="0.3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row>
    <row r="55" spans="1:32" ht="15.75" customHeight="1" x14ac:dyDescent="0.3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row>
    <row r="56" spans="1:32" ht="15.75" customHeight="1" x14ac:dyDescent="0.3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row>
    <row r="57" spans="1:32" ht="15.75" customHeight="1" x14ac:dyDescent="0.3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row>
    <row r="58" spans="1:32" ht="15.75" customHeight="1" x14ac:dyDescent="0.3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row>
    <row r="59" spans="1:32" ht="15.75" customHeight="1" x14ac:dyDescent="0.3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row>
    <row r="60" spans="1:32" ht="15.75" customHeight="1" x14ac:dyDescent="0.3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row>
    <row r="61" spans="1:32" ht="15.75" customHeight="1" x14ac:dyDescent="0.3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row>
    <row r="62" spans="1:32" ht="15.75" customHeight="1" x14ac:dyDescent="0.3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row>
    <row r="63" spans="1:32" ht="15.75" customHeight="1" x14ac:dyDescent="0.3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row>
    <row r="64" spans="1:32" ht="15.75" customHeight="1" x14ac:dyDescent="0.3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row>
    <row r="65" spans="1:32" ht="15.75" customHeight="1" x14ac:dyDescent="0.3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row>
    <row r="66" spans="1:32" ht="15.75" customHeight="1" x14ac:dyDescent="0.3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row>
    <row r="67" spans="1:32" ht="15.75" customHeight="1" x14ac:dyDescent="0.3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row>
    <row r="68" spans="1:32" ht="15.75" customHeight="1" x14ac:dyDescent="0.3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row>
    <row r="69" spans="1:32" ht="15.75" customHeight="1" x14ac:dyDescent="0.3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row>
    <row r="70" spans="1:32" ht="15.75" customHeight="1" x14ac:dyDescent="0.3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row>
    <row r="71" spans="1:32" ht="15.75" customHeight="1" x14ac:dyDescent="0.3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row>
    <row r="72" spans="1:32" ht="15.75" customHeight="1" x14ac:dyDescent="0.3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row>
    <row r="73" spans="1:32" ht="15.75" customHeight="1" x14ac:dyDescent="0.3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row>
    <row r="74" spans="1:32" ht="15.75" customHeight="1" x14ac:dyDescent="0.3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row>
    <row r="75" spans="1:32" ht="15.75" customHeight="1" x14ac:dyDescent="0.3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row>
    <row r="76" spans="1:32" ht="15.75" customHeight="1" x14ac:dyDescent="0.3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row>
    <row r="77" spans="1:32" ht="15.75" customHeight="1" x14ac:dyDescent="0.3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row>
    <row r="78" spans="1:32" ht="15.75" customHeight="1" x14ac:dyDescent="0.3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row>
    <row r="79" spans="1:32" ht="15.75" customHeight="1" x14ac:dyDescent="0.3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row>
    <row r="80" spans="1:32" ht="15.75" customHeight="1" x14ac:dyDescent="0.3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row>
    <row r="81" spans="1:32" ht="15.75" customHeight="1" x14ac:dyDescent="0.3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row>
    <row r="82" spans="1:32" ht="15.75" customHeight="1" x14ac:dyDescent="0.3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row>
    <row r="83" spans="1:32" ht="15.75" customHeight="1" x14ac:dyDescent="0.3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row>
    <row r="84" spans="1:32" ht="15.75" customHeight="1" x14ac:dyDescent="0.3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row>
    <row r="85" spans="1:32" ht="15.75" customHeight="1" x14ac:dyDescent="0.3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row>
    <row r="86" spans="1:32" ht="15.75" customHeight="1" x14ac:dyDescent="0.3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row>
    <row r="87" spans="1:32" ht="15.75" customHeight="1" x14ac:dyDescent="0.3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row>
    <row r="88" spans="1:32" ht="15.75" customHeight="1" x14ac:dyDescent="0.3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row>
    <row r="89" spans="1:32" ht="15.75" customHeight="1" x14ac:dyDescent="0.3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row>
    <row r="90" spans="1:32" ht="15.75" customHeight="1" x14ac:dyDescent="0.3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row>
    <row r="91" spans="1:32" ht="15.75" customHeight="1" x14ac:dyDescent="0.3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row>
    <row r="92" spans="1:32" ht="15.75" customHeight="1" x14ac:dyDescent="0.3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row>
    <row r="93" spans="1:32" ht="15.75" customHeight="1" x14ac:dyDescent="0.3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row>
    <row r="94" spans="1:32" ht="15.75" customHeight="1" x14ac:dyDescent="0.3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row>
    <row r="95" spans="1:32" ht="15.75" customHeight="1" x14ac:dyDescent="0.3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row>
    <row r="96" spans="1:32" ht="15.75" customHeight="1" x14ac:dyDescent="0.3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row>
    <row r="97" spans="1:32" ht="15.75" customHeight="1" x14ac:dyDescent="0.3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row>
    <row r="98" spans="1:32" ht="15.75" customHeight="1" x14ac:dyDescent="0.3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row>
    <row r="99" spans="1:32" ht="15.75" customHeight="1" x14ac:dyDescent="0.3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row>
    <row r="100" spans="1:32" ht="15.75" customHeight="1" x14ac:dyDescent="0.3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row>
    <row r="101" spans="1:32" ht="15.75" customHeight="1" x14ac:dyDescent="0.3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row>
    <row r="102" spans="1:32" ht="15.75" customHeight="1" x14ac:dyDescent="0.3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row>
    <row r="103" spans="1:32" ht="15.75" customHeight="1" x14ac:dyDescent="0.3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row>
    <row r="104" spans="1:32" ht="15.75" customHeight="1" x14ac:dyDescent="0.3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row>
    <row r="105" spans="1:32" ht="15.75" customHeight="1" x14ac:dyDescent="0.3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row>
    <row r="106" spans="1:32" ht="15.75" customHeight="1" x14ac:dyDescent="0.3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row>
    <row r="107" spans="1:32" ht="15.75" customHeight="1" x14ac:dyDescent="0.3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row>
    <row r="108" spans="1:32" ht="15.75" customHeight="1" x14ac:dyDescent="0.3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row>
    <row r="109" spans="1:32" ht="15.75" customHeight="1" x14ac:dyDescent="0.3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row>
    <row r="110" spans="1:32" ht="15.75" customHeight="1" x14ac:dyDescent="0.3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row>
    <row r="111" spans="1:32" ht="15.75" customHeight="1" x14ac:dyDescent="0.3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row>
    <row r="112" spans="1:32" ht="15.75" customHeight="1" x14ac:dyDescent="0.3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row>
    <row r="113" spans="1:32" ht="15.75" customHeight="1" x14ac:dyDescent="0.3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row>
    <row r="114" spans="1:32" ht="15.75" customHeight="1" x14ac:dyDescent="0.3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row>
    <row r="115" spans="1:32" ht="15.75" customHeight="1" x14ac:dyDescent="0.3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row>
    <row r="116" spans="1:32" ht="15.75" customHeight="1" x14ac:dyDescent="0.3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row>
    <row r="117" spans="1:32" ht="15.75" customHeight="1" x14ac:dyDescent="0.3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row>
    <row r="118" spans="1:32" ht="15.75" customHeight="1" x14ac:dyDescent="0.3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row>
    <row r="119" spans="1:32" ht="15.75" customHeight="1" x14ac:dyDescent="0.3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row>
    <row r="120" spans="1:32" ht="15.75" customHeight="1" x14ac:dyDescent="0.3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row>
    <row r="121" spans="1:32" ht="15.75" customHeight="1" x14ac:dyDescent="0.3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row>
    <row r="122" spans="1:32" ht="15.75" customHeight="1" x14ac:dyDescent="0.3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row>
    <row r="123" spans="1:32" ht="15.75" customHeight="1" x14ac:dyDescent="0.3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row>
    <row r="124" spans="1:32" ht="15.75" customHeight="1" x14ac:dyDescent="0.3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row>
    <row r="125" spans="1:32" ht="15.75" customHeight="1" x14ac:dyDescent="0.3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row>
    <row r="126" spans="1:32" ht="15.75" customHeight="1" x14ac:dyDescent="0.3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row>
    <row r="127" spans="1:32" ht="15.75" customHeight="1" x14ac:dyDescent="0.3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row>
    <row r="128" spans="1:32" ht="15.75" customHeight="1" x14ac:dyDescent="0.3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row>
    <row r="129" spans="1:32" ht="15.75" customHeight="1" x14ac:dyDescent="0.3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row>
    <row r="130" spans="1:32" ht="15.75" customHeight="1" x14ac:dyDescent="0.3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row>
    <row r="131" spans="1:32" ht="15.75" customHeight="1" x14ac:dyDescent="0.3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row>
    <row r="132" spans="1:32" ht="15.75" customHeight="1" x14ac:dyDescent="0.3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row>
    <row r="133" spans="1:32" ht="15.75" customHeight="1" x14ac:dyDescent="0.3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row>
    <row r="134" spans="1:32" ht="15.75" customHeight="1" x14ac:dyDescent="0.3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row>
    <row r="135" spans="1:32" ht="15.75" customHeight="1" x14ac:dyDescent="0.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row>
    <row r="136" spans="1:32" ht="15.75" customHeight="1" x14ac:dyDescent="0.3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row>
    <row r="137" spans="1:32" ht="15.75" customHeight="1" x14ac:dyDescent="0.3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row>
    <row r="138" spans="1:32" ht="15.75" customHeight="1" x14ac:dyDescent="0.3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row>
    <row r="139" spans="1:32" ht="15.75" customHeight="1" x14ac:dyDescent="0.3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row>
    <row r="140" spans="1:32" ht="15.75" customHeight="1" x14ac:dyDescent="0.3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row>
    <row r="141" spans="1:32" ht="15.75" customHeight="1" x14ac:dyDescent="0.3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row>
    <row r="142" spans="1:32" ht="15.75" customHeight="1" x14ac:dyDescent="0.3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row>
    <row r="143" spans="1:32" ht="15.75" customHeight="1" x14ac:dyDescent="0.3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row>
    <row r="144" spans="1:32" ht="15.75" customHeight="1" x14ac:dyDescent="0.3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row>
    <row r="145" spans="1:32" ht="15.75" customHeight="1" x14ac:dyDescent="0.3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row>
    <row r="146" spans="1:32" ht="15.75" customHeight="1" x14ac:dyDescent="0.3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row>
    <row r="147" spans="1:32" ht="15.75" customHeight="1" x14ac:dyDescent="0.3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row>
    <row r="148" spans="1:32" ht="15.75" customHeight="1" x14ac:dyDescent="0.3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row>
    <row r="149" spans="1:32" ht="15.75" customHeight="1" x14ac:dyDescent="0.3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row>
    <row r="150" spans="1:32" ht="15.75" customHeight="1" x14ac:dyDescent="0.3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row>
    <row r="151" spans="1:32" ht="15.75" customHeight="1" x14ac:dyDescent="0.3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row>
    <row r="152" spans="1:32" ht="15.75" customHeight="1" x14ac:dyDescent="0.3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row>
    <row r="153" spans="1:32" ht="15.75" customHeight="1" x14ac:dyDescent="0.3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row>
    <row r="154" spans="1:32" ht="15.75" customHeight="1" x14ac:dyDescent="0.3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row>
    <row r="155" spans="1:32" ht="15.75" customHeight="1" x14ac:dyDescent="0.3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row>
    <row r="156" spans="1:32" ht="15.75" customHeight="1" x14ac:dyDescent="0.3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row>
    <row r="157" spans="1:32" ht="15.75" customHeight="1" x14ac:dyDescent="0.3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row>
    <row r="158" spans="1:32" ht="15.75" customHeight="1" x14ac:dyDescent="0.3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row>
    <row r="159" spans="1:32" ht="15.75" customHeight="1" x14ac:dyDescent="0.3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row>
    <row r="160" spans="1:32" ht="15.75" customHeight="1" x14ac:dyDescent="0.3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row>
    <row r="161" spans="1:32" ht="15.75" customHeight="1" x14ac:dyDescent="0.3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row>
    <row r="162" spans="1:32" ht="15.75" customHeight="1" x14ac:dyDescent="0.3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row>
    <row r="163" spans="1:32" ht="15.75" customHeight="1" x14ac:dyDescent="0.3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row>
    <row r="164" spans="1:32" ht="15.75" customHeight="1" x14ac:dyDescent="0.3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row>
    <row r="165" spans="1:32" ht="15.75" customHeight="1" x14ac:dyDescent="0.3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row>
    <row r="166" spans="1:32" ht="15.75" customHeight="1" x14ac:dyDescent="0.3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row>
    <row r="167" spans="1:32" ht="15.75" customHeight="1" x14ac:dyDescent="0.3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row>
    <row r="168" spans="1:32" ht="15.75" customHeight="1" x14ac:dyDescent="0.3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row>
    <row r="169" spans="1:32" ht="15.75" customHeight="1" x14ac:dyDescent="0.3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row>
    <row r="170" spans="1:32" ht="15.75" customHeight="1" x14ac:dyDescent="0.3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row>
    <row r="171" spans="1:32" ht="15.75" customHeight="1" x14ac:dyDescent="0.3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row>
    <row r="172" spans="1:32" ht="15.75" customHeight="1" x14ac:dyDescent="0.3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row>
    <row r="173" spans="1:32" ht="15.75" customHeight="1" x14ac:dyDescent="0.3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row>
    <row r="174" spans="1:32" ht="15.75" customHeight="1" x14ac:dyDescent="0.3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row>
    <row r="175" spans="1:32" ht="15.75" customHeight="1" x14ac:dyDescent="0.3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row>
    <row r="176" spans="1:32" ht="15.75" customHeight="1" x14ac:dyDescent="0.3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row>
    <row r="177" spans="1:32" ht="15.75" customHeight="1" x14ac:dyDescent="0.3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row>
    <row r="178" spans="1:32" ht="15.75" customHeight="1" x14ac:dyDescent="0.3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row>
    <row r="179" spans="1:32" ht="15.75" customHeight="1" x14ac:dyDescent="0.3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row>
    <row r="180" spans="1:32" ht="15.75" customHeight="1" x14ac:dyDescent="0.3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row>
    <row r="181" spans="1:32" ht="15.75" customHeight="1" x14ac:dyDescent="0.3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row>
    <row r="182" spans="1:32" ht="15.75" customHeight="1" x14ac:dyDescent="0.3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row>
    <row r="183" spans="1:32" ht="15.75" customHeight="1" x14ac:dyDescent="0.3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row>
    <row r="184" spans="1:32" ht="15.75" customHeight="1" x14ac:dyDescent="0.3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row>
    <row r="185" spans="1:32" ht="15.75" customHeight="1" x14ac:dyDescent="0.3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row>
    <row r="186" spans="1:32" ht="15.75" customHeight="1" x14ac:dyDescent="0.3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row>
    <row r="187" spans="1:32" ht="15.75" customHeight="1" x14ac:dyDescent="0.3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row>
    <row r="188" spans="1:32" ht="15.75" customHeight="1" x14ac:dyDescent="0.3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row>
    <row r="189" spans="1:32" ht="15.75" customHeight="1" x14ac:dyDescent="0.3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row>
    <row r="190" spans="1:32" ht="15.75" customHeight="1" x14ac:dyDescent="0.3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row>
    <row r="191" spans="1:32" ht="15.75" customHeight="1" x14ac:dyDescent="0.3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row>
    <row r="192" spans="1:32" ht="15.75" customHeight="1" x14ac:dyDescent="0.3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row>
    <row r="193" spans="1:32" ht="15.75" customHeight="1" x14ac:dyDescent="0.3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row>
    <row r="194" spans="1:32" ht="15.75" customHeight="1" x14ac:dyDescent="0.3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row>
    <row r="195" spans="1:32" ht="15.75" customHeight="1" x14ac:dyDescent="0.3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row>
    <row r="196" spans="1:32" ht="15.75" customHeight="1" x14ac:dyDescent="0.3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row>
    <row r="197" spans="1:32" ht="15.75" customHeight="1" x14ac:dyDescent="0.3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row>
    <row r="198" spans="1:32" ht="15.75" customHeight="1" x14ac:dyDescent="0.3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row>
    <row r="199" spans="1:32" ht="15.75" customHeight="1" x14ac:dyDescent="0.3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row>
    <row r="200" spans="1:32" ht="15.75" customHeight="1" x14ac:dyDescent="0.3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row>
    <row r="201" spans="1:32" ht="15.75" customHeight="1" x14ac:dyDescent="0.3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row>
    <row r="202" spans="1:32" ht="15.75" customHeight="1" x14ac:dyDescent="0.3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row>
    <row r="203" spans="1:32" ht="15.75" customHeight="1" x14ac:dyDescent="0.3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row>
    <row r="204" spans="1:32" ht="15.75" customHeight="1" x14ac:dyDescent="0.3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row>
    <row r="205" spans="1:32" ht="15.75" customHeight="1" x14ac:dyDescent="0.3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row>
    <row r="206" spans="1:32" ht="15.75" customHeight="1" x14ac:dyDescent="0.3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row>
    <row r="207" spans="1:32" ht="15.75" customHeight="1" x14ac:dyDescent="0.3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row>
    <row r="208" spans="1:32" ht="15.75" customHeight="1" x14ac:dyDescent="0.3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row>
    <row r="209" spans="1:32" ht="15.75" customHeight="1" x14ac:dyDescent="0.3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row>
    <row r="210" spans="1:32" ht="15.75" customHeight="1" x14ac:dyDescent="0.3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row>
    <row r="211" spans="1:32" ht="15.75" customHeight="1" x14ac:dyDescent="0.3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row>
    <row r="212" spans="1:32" ht="15.75" customHeight="1" x14ac:dyDescent="0.3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row>
    <row r="213" spans="1:32" ht="15.75" customHeight="1" x14ac:dyDescent="0.3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row>
    <row r="214" spans="1:32" ht="15.75" customHeight="1" x14ac:dyDescent="0.3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row>
    <row r="215" spans="1:32" ht="15.75" customHeight="1" x14ac:dyDescent="0.3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row>
    <row r="216" spans="1:32" ht="15.75" customHeight="1" x14ac:dyDescent="0.3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row>
    <row r="217" spans="1:32" ht="15.75" customHeight="1" x14ac:dyDescent="0.3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row>
    <row r="218" spans="1:32" ht="15.75" customHeight="1" x14ac:dyDescent="0.3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row>
    <row r="219" spans="1:32" ht="15.75" customHeight="1" x14ac:dyDescent="0.3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row>
    <row r="220" spans="1:32" ht="15.75" customHeight="1" x14ac:dyDescent="0.3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row>
    <row r="221" spans="1:32" ht="15.75" customHeight="1" x14ac:dyDescent="0.3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row>
    <row r="222" spans="1:32" ht="15.75" customHeight="1" x14ac:dyDescent="0.3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row>
    <row r="223" spans="1:32" ht="15.75" customHeight="1" x14ac:dyDescent="0.3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row>
    <row r="224" spans="1:32" ht="15.75" customHeight="1" x14ac:dyDescent="0.3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row>
    <row r="225" spans="1:32" ht="15.75" customHeight="1" x14ac:dyDescent="0.3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row>
    <row r="226" spans="1:32" ht="15.75" customHeight="1" x14ac:dyDescent="0.3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row>
    <row r="227" spans="1:32" ht="15.75" customHeight="1" x14ac:dyDescent="0.3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row>
    <row r="228" spans="1:32" ht="15.75" customHeight="1" x14ac:dyDescent="0.3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row>
    <row r="229" spans="1:32" ht="15.75" customHeight="1" x14ac:dyDescent="0.3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row>
    <row r="230" spans="1:32" ht="15.75" customHeight="1" x14ac:dyDescent="0.3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row>
    <row r="231" spans="1:32" ht="15.75" customHeight="1" x14ac:dyDescent="0.3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row>
    <row r="232" spans="1:32" ht="15.75" customHeight="1" x14ac:dyDescent="0.3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row>
    <row r="233" spans="1:32" ht="15.75" customHeight="1" x14ac:dyDescent="0.3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row>
    <row r="234" spans="1:32" ht="15.75" customHeight="1" x14ac:dyDescent="0.3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row>
    <row r="235" spans="1:32" ht="15.75" customHeight="1" x14ac:dyDescent="0.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row>
    <row r="236" spans="1:32" ht="15.75" customHeight="1" x14ac:dyDescent="0.3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row>
    <row r="237" spans="1:32" ht="15.75" customHeight="1" x14ac:dyDescent="0.3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row>
    <row r="238" spans="1:32" ht="15.75" customHeight="1" x14ac:dyDescent="0.3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row>
    <row r="239" spans="1:32" ht="15.75" customHeight="1" x14ac:dyDescent="0.3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row>
    <row r="240" spans="1:32" ht="15.75" customHeight="1" x14ac:dyDescent="0.3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row>
    <row r="241" spans="1:32" ht="15.75" customHeight="1" x14ac:dyDescent="0.3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row>
    <row r="242" spans="1:32" ht="15.75" customHeight="1" x14ac:dyDescent="0.3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row>
    <row r="243" spans="1:32" ht="15.75" customHeight="1" x14ac:dyDescent="0.3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row>
    <row r="244" spans="1:32" ht="15.75" customHeight="1" x14ac:dyDescent="0.3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row>
    <row r="245" spans="1:32" ht="15.75" customHeight="1" x14ac:dyDescent="0.3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row>
    <row r="246" spans="1:32" ht="15.75" customHeight="1" x14ac:dyDescent="0.3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row>
    <row r="247" spans="1:32" ht="15.75" customHeight="1" x14ac:dyDescent="0.3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row>
    <row r="248" spans="1:32" ht="15.75" customHeight="1" x14ac:dyDescent="0.3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row>
    <row r="249" spans="1:32" ht="15.75" customHeight="1" x14ac:dyDescent="0.3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row>
    <row r="250" spans="1:32" ht="15.75" customHeight="1" x14ac:dyDescent="0.3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row>
    <row r="251" spans="1:32" ht="15.75" customHeight="1" x14ac:dyDescent="0.3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row>
    <row r="252" spans="1:32" ht="15.75" customHeight="1" x14ac:dyDescent="0.3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row>
    <row r="253" spans="1:32" ht="15.75" customHeight="1" x14ac:dyDescent="0.2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row>
    <row r="254" spans="1:32" ht="15.75" customHeight="1" x14ac:dyDescent="0.2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row>
    <row r="255" spans="1:32" ht="15.75" customHeight="1" x14ac:dyDescent="0.2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row>
    <row r="256" spans="1:32" ht="15.75" customHeight="1" x14ac:dyDescent="0.2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row>
    <row r="257" spans="1:32" ht="15.75" customHeight="1" x14ac:dyDescent="0.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row>
    <row r="258" spans="1:32" ht="15.75" customHeight="1" x14ac:dyDescent="0.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row>
    <row r="259" spans="1:32" ht="15.75" customHeight="1" x14ac:dyDescent="0.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row>
    <row r="260" spans="1:32" ht="15.75" customHeight="1" x14ac:dyDescent="0.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row>
    <row r="261" spans="1:32" ht="15.75" customHeight="1" x14ac:dyDescent="0.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row>
    <row r="262" spans="1:32" ht="15.75" customHeight="1" x14ac:dyDescent="0.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row>
    <row r="263" spans="1:32" ht="15.75" customHeight="1" x14ac:dyDescent="0.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row>
    <row r="264" spans="1:32" ht="15.75" customHeight="1" x14ac:dyDescent="0.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row>
    <row r="265" spans="1:32" ht="15.75" customHeight="1" x14ac:dyDescent="0.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row>
    <row r="266" spans="1:32" ht="15.75" customHeight="1" x14ac:dyDescent="0.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row>
    <row r="267" spans="1:32" ht="15.75" customHeight="1"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row>
    <row r="268" spans="1:32" ht="15.75" customHeight="1"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row>
    <row r="269" spans="1:32" ht="15.75" customHeight="1"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row>
    <row r="270" spans="1:32" ht="15.75" customHeight="1"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row>
    <row r="271" spans="1:32" ht="15.75" customHeight="1"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row>
    <row r="272" spans="1:32" ht="15.75" customHeight="1"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row>
    <row r="273" spans="1:32" ht="15.75" customHeight="1"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row>
    <row r="274" spans="1:32" ht="15.75" customHeight="1"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row>
    <row r="275" spans="1:32" ht="15.75" customHeight="1"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row>
    <row r="276" spans="1:32" ht="15.75" customHeight="1"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row>
    <row r="277" spans="1:32" ht="15.75" customHeight="1"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row>
    <row r="278" spans="1:32" ht="15.75" customHeight="1"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row>
    <row r="279" spans="1:32" ht="15.75" customHeight="1"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row>
    <row r="280" spans="1:32" ht="15.75" customHeight="1"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row>
    <row r="281" spans="1:32" ht="15.75" customHeight="1"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row>
    <row r="282" spans="1:32" ht="15.75" customHeight="1"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row>
    <row r="283" spans="1:32" ht="15.75" customHeight="1"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row>
    <row r="284" spans="1:32" ht="15.75" customHeight="1"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row>
    <row r="285" spans="1:32" ht="15.75" customHeight="1"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row>
    <row r="286" spans="1:32" ht="15.75" customHeight="1"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row>
    <row r="287" spans="1:32" ht="15.75" customHeight="1"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row>
    <row r="288" spans="1:32" ht="15.75" customHeight="1"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row>
    <row r="289" spans="1:32" ht="15.75" customHeight="1"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row>
    <row r="290" spans="1:32" ht="15.75" customHeight="1"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row>
    <row r="291" spans="1:32" ht="15.75" customHeight="1"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row>
    <row r="292" spans="1:32" ht="15.75" customHeight="1"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row>
    <row r="293" spans="1:32" ht="15.75" customHeight="1"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row>
    <row r="294" spans="1:32" ht="15.75" customHeight="1"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row>
    <row r="295" spans="1:32" ht="15.75" customHeight="1"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row>
    <row r="296" spans="1:32" ht="15.75" customHeight="1"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row>
    <row r="297" spans="1:32" ht="15.75" customHeight="1"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row>
    <row r="298" spans="1:32" ht="15.75" customHeight="1"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row>
    <row r="299" spans="1:32" ht="15.75" customHeight="1"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row>
    <row r="300" spans="1:32" ht="15.75" customHeight="1"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row>
    <row r="301" spans="1:32" ht="15.75" customHeight="1"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row>
    <row r="302" spans="1:32" ht="15.75" customHeight="1"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row>
    <row r="303" spans="1:32" ht="15.75" customHeight="1"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row>
    <row r="304" spans="1:32" ht="15.75" customHeight="1"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row>
    <row r="305" spans="1:32" ht="15.75" customHeight="1"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row>
    <row r="306" spans="1:32" ht="15.75" customHeight="1"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row>
    <row r="307" spans="1:32" ht="15.75" customHeight="1"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1:32" ht="15.75" customHeight="1"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row>
    <row r="309" spans="1:32" ht="15.75" customHeight="1"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row>
    <row r="310" spans="1:32" ht="15.75" customHeight="1"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row>
    <row r="311" spans="1:32" ht="15.75" customHeight="1"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row>
    <row r="312" spans="1:32" ht="15.75" customHeight="1"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row>
    <row r="313" spans="1:32" ht="15.75" customHeight="1"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row>
    <row r="314" spans="1:32" ht="15.75" customHeight="1"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row>
    <row r="315" spans="1:32" ht="15.75" customHeight="1"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row>
    <row r="316" spans="1:32" ht="15.75" customHeight="1"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row>
    <row r="317" spans="1:32" ht="15.75" customHeight="1"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row>
    <row r="318" spans="1:32" ht="15.75" customHeight="1"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row>
    <row r="319" spans="1:32" ht="15.75" customHeight="1"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row>
    <row r="320" spans="1:32" ht="15.75" customHeight="1"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row>
    <row r="321" spans="1:32" ht="15.75" customHeight="1"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row>
    <row r="322" spans="1:32" ht="15.75" customHeight="1"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row>
    <row r="323" spans="1:32" ht="15.75" customHeight="1"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row>
    <row r="324" spans="1:32" ht="15.75" customHeight="1"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row>
    <row r="325" spans="1:32" ht="15.75" customHeight="1"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row>
    <row r="326" spans="1:32" ht="15.75" customHeight="1"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row>
    <row r="327" spans="1:32" ht="15.75" customHeight="1"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row>
    <row r="328" spans="1:32" ht="15.75" customHeight="1"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row>
    <row r="329" spans="1:32" ht="15.75" customHeight="1"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row>
    <row r="330" spans="1:32" ht="15.75" customHeight="1"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row>
    <row r="331" spans="1:32" ht="15.75" customHeight="1"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row>
    <row r="332" spans="1:32" ht="15.75" customHeight="1"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row>
    <row r="333" spans="1:32" ht="15.75" customHeight="1"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row>
    <row r="334" spans="1:32" ht="15.75" customHeight="1"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row>
    <row r="335" spans="1:32" ht="15.75" customHeight="1"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row>
    <row r="336" spans="1:32" ht="15.75" customHeight="1"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row>
    <row r="337" spans="1:32" ht="15.75" customHeight="1"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row>
    <row r="338" spans="1:32" ht="15.75" customHeight="1"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row>
    <row r="339" spans="1:32" ht="15.75" customHeight="1"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row>
    <row r="340" spans="1:32" ht="15.75" customHeight="1"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row>
    <row r="341" spans="1:32" ht="15.75" customHeight="1"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row>
    <row r="342" spans="1:32" ht="15.75" customHeight="1"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row>
    <row r="343" spans="1:32" ht="15.75" customHeight="1"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row>
    <row r="344" spans="1:32" ht="15.75" customHeight="1"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row>
    <row r="345" spans="1:32" ht="15.75" customHeight="1"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row>
    <row r="346" spans="1:32" ht="15.75" customHeight="1"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row>
    <row r="347" spans="1:32" ht="15.75" customHeight="1"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row>
    <row r="348" spans="1:32" ht="15.75" customHeight="1"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row>
    <row r="349" spans="1:32" ht="15.75" customHeight="1"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row>
    <row r="350" spans="1:32" ht="15.75" customHeight="1"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row>
    <row r="351" spans="1:32" ht="15.75" customHeight="1"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row>
    <row r="352" spans="1:32" ht="15.75" customHeight="1"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row>
    <row r="353" spans="1:32" ht="15.75" customHeight="1"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row>
    <row r="354" spans="1:32" ht="15.75" customHeight="1"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row>
    <row r="355" spans="1:32" ht="15.75" customHeight="1"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row>
    <row r="356" spans="1:32" ht="15.75" customHeight="1"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row>
    <row r="357" spans="1:32" ht="15.75" customHeight="1"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row>
    <row r="358" spans="1:32" ht="15.75" customHeight="1"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row>
    <row r="359" spans="1:32" ht="15.75" customHeight="1"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row>
    <row r="360" spans="1:32" ht="15.75" customHeight="1"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row>
    <row r="361" spans="1:32" ht="15.75" customHeight="1"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row>
    <row r="362" spans="1:32" ht="15.75" customHeight="1"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row>
    <row r="363" spans="1:32" ht="15.75" customHeight="1"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row>
    <row r="364" spans="1:32" ht="15.75" customHeight="1"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row>
    <row r="365" spans="1:32" ht="15.75" customHeight="1"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row>
    <row r="366" spans="1:32" ht="15.75" customHeight="1"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row>
    <row r="367" spans="1:32" ht="15.75" customHeight="1"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row>
    <row r="368" spans="1:32" ht="15.75" customHeight="1"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row>
    <row r="369" spans="1:32" ht="15.75" customHeight="1"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row>
    <row r="370" spans="1:32" ht="15.75" customHeight="1"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row>
    <row r="371" spans="1:32" ht="15.75" customHeight="1"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row>
    <row r="372" spans="1:32" ht="15.75" customHeight="1"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row>
    <row r="373" spans="1:32" ht="15.75" customHeight="1"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row>
    <row r="374" spans="1:32" ht="15.75" customHeight="1"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row>
    <row r="375" spans="1:32" ht="15.75" customHeight="1"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row>
    <row r="376" spans="1:32" ht="15.75" customHeight="1"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row>
    <row r="377" spans="1:32" ht="15.75" customHeight="1"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row>
    <row r="378" spans="1:32" ht="15.75" customHeight="1"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row>
    <row r="379" spans="1:32" ht="15.75" customHeight="1"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row>
    <row r="380" spans="1:32" ht="15.75" customHeight="1"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row>
    <row r="381" spans="1:32" ht="15.75" customHeight="1"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row>
    <row r="382" spans="1:32" ht="15.75" customHeight="1"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row>
    <row r="383" spans="1:32" ht="15.75" customHeight="1"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row>
    <row r="384" spans="1:32" ht="15.75" customHeight="1"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row>
    <row r="385" spans="1:32" ht="15.75" customHeight="1" x14ac:dyDescent="0.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row>
    <row r="386" spans="1:32" ht="15.75" customHeight="1" x14ac:dyDescent="0.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row>
    <row r="387" spans="1:32" ht="15.75" customHeight="1" x14ac:dyDescent="0.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row>
    <row r="388" spans="1:32" ht="15.75" customHeight="1" x14ac:dyDescent="0.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row>
    <row r="389" spans="1:32" ht="15.75" customHeight="1" x14ac:dyDescent="0.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row>
    <row r="390" spans="1:32" ht="15.75" customHeight="1" x14ac:dyDescent="0.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row>
    <row r="391" spans="1:32" ht="15.75" customHeight="1" x14ac:dyDescent="0.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row>
    <row r="392" spans="1:32" ht="15.75" customHeight="1" x14ac:dyDescent="0.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row>
    <row r="393" spans="1:32" ht="15.75" customHeight="1" x14ac:dyDescent="0.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row>
    <row r="394" spans="1:32" ht="15.75" customHeight="1" x14ac:dyDescent="0.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row>
    <row r="395" spans="1:32" ht="15.75" customHeight="1" x14ac:dyDescent="0.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row>
    <row r="396" spans="1:32" ht="15.75" customHeight="1" x14ac:dyDescent="0.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row>
    <row r="397" spans="1:32" ht="15.75" customHeight="1" x14ac:dyDescent="0.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row>
    <row r="398" spans="1:32" ht="15.75" customHeight="1" x14ac:dyDescent="0.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row>
    <row r="399" spans="1:32" ht="15.75" customHeight="1" x14ac:dyDescent="0.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row>
    <row r="400" spans="1:32" ht="15.75" customHeight="1" x14ac:dyDescent="0.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row>
    <row r="401" spans="1:32" ht="15.75" customHeight="1" x14ac:dyDescent="0.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row>
    <row r="402" spans="1:32" ht="15.75" customHeight="1" x14ac:dyDescent="0.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row>
    <row r="403" spans="1:32" ht="15.75" customHeight="1" x14ac:dyDescent="0.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row>
    <row r="404" spans="1:32" ht="15.75" customHeight="1" x14ac:dyDescent="0.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row>
    <row r="405" spans="1:32" ht="15.75" customHeight="1" x14ac:dyDescent="0.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row>
    <row r="406" spans="1:32" ht="15.75" customHeight="1" x14ac:dyDescent="0.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row>
    <row r="407" spans="1:32" ht="15.75" customHeight="1" x14ac:dyDescent="0.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row>
    <row r="408" spans="1:32" ht="15.75" customHeight="1" x14ac:dyDescent="0.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row>
    <row r="409" spans="1:32" ht="15.75" customHeight="1" x14ac:dyDescent="0.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row>
    <row r="410" spans="1:32" ht="15.75" customHeight="1" x14ac:dyDescent="0.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row>
    <row r="411" spans="1:32" ht="15.75" customHeight="1" x14ac:dyDescent="0.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row>
    <row r="412" spans="1:32" ht="15.75" customHeight="1" x14ac:dyDescent="0.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row>
    <row r="413" spans="1:32" ht="15.75" customHeight="1" x14ac:dyDescent="0.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row>
    <row r="414" spans="1:32" ht="15.75" customHeight="1" x14ac:dyDescent="0.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row>
    <row r="415" spans="1:32" ht="15.75" customHeight="1" x14ac:dyDescent="0.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row>
    <row r="416" spans="1:32" ht="15.75" customHeight="1" x14ac:dyDescent="0.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row>
    <row r="417" spans="1:32" ht="15.75" customHeight="1" x14ac:dyDescent="0.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row>
    <row r="418" spans="1:32" ht="15.75" customHeight="1" x14ac:dyDescent="0.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row>
    <row r="419" spans="1:32" ht="15.75" customHeight="1" x14ac:dyDescent="0.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row>
    <row r="420" spans="1:32" ht="15.75" customHeight="1" x14ac:dyDescent="0.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row>
    <row r="421" spans="1:32" ht="15.75" customHeight="1" x14ac:dyDescent="0.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row>
    <row r="422" spans="1:32" ht="15.75" customHeight="1" x14ac:dyDescent="0.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row>
    <row r="423" spans="1:32" ht="15.75" customHeight="1" x14ac:dyDescent="0.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row>
    <row r="424" spans="1:32" ht="15.75" customHeight="1" x14ac:dyDescent="0.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row>
    <row r="425" spans="1:32" ht="15.75" customHeight="1" x14ac:dyDescent="0.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row>
    <row r="426" spans="1:32" ht="15.75" customHeight="1" x14ac:dyDescent="0.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row>
    <row r="427" spans="1:32" ht="15.75" customHeight="1" x14ac:dyDescent="0.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row>
    <row r="428" spans="1:32" ht="15.75" customHeight="1" x14ac:dyDescent="0.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row>
    <row r="429" spans="1:32" ht="15.75" customHeight="1" x14ac:dyDescent="0.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row>
    <row r="430" spans="1:32" ht="15.75" customHeight="1" x14ac:dyDescent="0.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row>
    <row r="431" spans="1:32" ht="15.75" customHeight="1" x14ac:dyDescent="0.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row>
    <row r="432" spans="1:32" ht="15.75" customHeight="1" x14ac:dyDescent="0.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row>
    <row r="433" spans="1:32" ht="15.75" customHeight="1" x14ac:dyDescent="0.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row>
    <row r="434" spans="1:32" ht="15.75" customHeight="1" x14ac:dyDescent="0.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row>
    <row r="435" spans="1:32" ht="15.75" customHeight="1" x14ac:dyDescent="0.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row>
    <row r="436" spans="1:32" ht="15.75" customHeight="1" x14ac:dyDescent="0.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row>
    <row r="437" spans="1:32" ht="15.75" customHeight="1" x14ac:dyDescent="0.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row>
    <row r="438" spans="1:32" ht="15.75" customHeight="1" x14ac:dyDescent="0.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row>
    <row r="439" spans="1:32" ht="15.75" customHeight="1" x14ac:dyDescent="0.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row>
    <row r="440" spans="1:32" ht="15.75" customHeight="1" x14ac:dyDescent="0.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row>
    <row r="441" spans="1:32" ht="15.75" customHeight="1" x14ac:dyDescent="0.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row>
    <row r="442" spans="1:32" ht="15.75" customHeight="1" x14ac:dyDescent="0.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row>
    <row r="443" spans="1:32" ht="15.75" customHeight="1" x14ac:dyDescent="0.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row>
    <row r="444" spans="1:32" ht="15.75" customHeight="1" x14ac:dyDescent="0.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row>
    <row r="445" spans="1:32" ht="15.75" customHeight="1" x14ac:dyDescent="0.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row>
    <row r="446" spans="1:32" ht="15.75" customHeight="1" x14ac:dyDescent="0.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row>
    <row r="447" spans="1:32" ht="15.75" customHeight="1" x14ac:dyDescent="0.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row>
    <row r="448" spans="1:32" ht="15.75" customHeight="1" x14ac:dyDescent="0.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row>
    <row r="449" spans="1:32" ht="15.75" customHeight="1" x14ac:dyDescent="0.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row>
    <row r="450" spans="1:32" ht="15.75" customHeight="1" x14ac:dyDescent="0.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row>
    <row r="451" spans="1:32" ht="15.75" customHeight="1" x14ac:dyDescent="0.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row>
    <row r="452" spans="1:32" ht="15.75" customHeight="1" x14ac:dyDescent="0.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row>
    <row r="453" spans="1:32" ht="15.75" customHeight="1" x14ac:dyDescent="0.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row>
    <row r="454" spans="1:32" ht="15.75" customHeight="1" x14ac:dyDescent="0.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row>
    <row r="455" spans="1:32" ht="15.75" customHeight="1" x14ac:dyDescent="0.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row>
    <row r="456" spans="1:32" ht="15.75" customHeight="1" x14ac:dyDescent="0.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row>
    <row r="457" spans="1:32" ht="15.75" customHeight="1" x14ac:dyDescent="0.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row>
    <row r="458" spans="1:32" ht="15.75" customHeight="1" x14ac:dyDescent="0.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row>
    <row r="459" spans="1:32" ht="15.75" customHeight="1" x14ac:dyDescent="0.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row>
    <row r="460" spans="1:32" ht="15.75" customHeight="1" x14ac:dyDescent="0.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row>
    <row r="461" spans="1:32" ht="15.75" customHeight="1" x14ac:dyDescent="0.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row>
    <row r="462" spans="1:32" ht="15.75" customHeight="1" x14ac:dyDescent="0.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row>
    <row r="463" spans="1:32" ht="15.75" customHeight="1" x14ac:dyDescent="0.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row>
    <row r="464" spans="1:32" ht="15.75" customHeight="1" x14ac:dyDescent="0.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row>
    <row r="465" spans="1:32" ht="15.75" customHeight="1" x14ac:dyDescent="0.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row>
    <row r="466" spans="1:32" ht="15.75" customHeight="1" x14ac:dyDescent="0.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row>
    <row r="467" spans="1:32" ht="15.75" customHeight="1" x14ac:dyDescent="0.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row>
    <row r="468" spans="1:32" ht="15.75" customHeight="1" x14ac:dyDescent="0.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row>
    <row r="469" spans="1:32" ht="15.75" customHeight="1" x14ac:dyDescent="0.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row>
    <row r="470" spans="1:32" ht="15.75" customHeight="1" x14ac:dyDescent="0.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row>
    <row r="471" spans="1:32" ht="15.75" customHeight="1" x14ac:dyDescent="0.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row>
    <row r="472" spans="1:32" ht="15.75" customHeight="1" x14ac:dyDescent="0.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row>
    <row r="473" spans="1:32" ht="15.75" customHeight="1" x14ac:dyDescent="0.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row>
    <row r="474" spans="1:32" ht="15.75" customHeight="1" x14ac:dyDescent="0.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row>
    <row r="475" spans="1:32" ht="15.75" customHeight="1" x14ac:dyDescent="0.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row>
    <row r="476" spans="1:32" ht="15.75" customHeight="1" x14ac:dyDescent="0.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row>
    <row r="477" spans="1:32" ht="15.75" customHeight="1" x14ac:dyDescent="0.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row>
    <row r="478" spans="1:32" ht="15.75" customHeight="1" x14ac:dyDescent="0.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row>
    <row r="479" spans="1:32" ht="15.75" customHeight="1" x14ac:dyDescent="0.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row>
    <row r="480" spans="1:32" ht="15.75" customHeight="1" x14ac:dyDescent="0.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row>
    <row r="481" spans="1:32" ht="15.75" customHeight="1" x14ac:dyDescent="0.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row>
    <row r="482" spans="1:32" ht="15.75" customHeight="1" x14ac:dyDescent="0.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row>
    <row r="483" spans="1:32" ht="15.75" customHeight="1" x14ac:dyDescent="0.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row>
    <row r="484" spans="1:32" ht="15.75" customHeight="1" x14ac:dyDescent="0.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row>
    <row r="485" spans="1:32" ht="15.75" customHeight="1" x14ac:dyDescent="0.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row>
    <row r="486" spans="1:32" ht="15.75" customHeight="1" x14ac:dyDescent="0.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row>
    <row r="487" spans="1:32" ht="15.75" customHeight="1" x14ac:dyDescent="0.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row>
    <row r="488" spans="1:32" ht="15.75" customHeight="1" x14ac:dyDescent="0.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row>
    <row r="489" spans="1:32" ht="15.75" customHeight="1" x14ac:dyDescent="0.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row>
    <row r="490" spans="1:32" ht="15.75" customHeight="1" x14ac:dyDescent="0.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row>
    <row r="491" spans="1:32" ht="15.75" customHeight="1" x14ac:dyDescent="0.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row>
    <row r="492" spans="1:32" ht="15.75" customHeight="1" x14ac:dyDescent="0.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row>
    <row r="493" spans="1:32" ht="15.75" customHeight="1" x14ac:dyDescent="0.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row>
    <row r="494" spans="1:32" ht="15.75" customHeight="1" x14ac:dyDescent="0.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row>
    <row r="495" spans="1:32" ht="15.75" customHeight="1" x14ac:dyDescent="0.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row>
    <row r="496" spans="1:32" ht="15.75" customHeight="1" x14ac:dyDescent="0.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row>
    <row r="497" spans="1:32" ht="15.75" customHeight="1" x14ac:dyDescent="0.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row>
    <row r="498" spans="1:32" ht="15.75" customHeight="1" x14ac:dyDescent="0.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row>
    <row r="499" spans="1:32" ht="15.75" customHeight="1" x14ac:dyDescent="0.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0" spans="1:32" ht="15.75" customHeight="1" x14ac:dyDescent="0.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row>
    <row r="501" spans="1:32" ht="15.75" customHeight="1" x14ac:dyDescent="0.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row>
    <row r="502" spans="1:32" ht="15.75" customHeight="1" x14ac:dyDescent="0.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row>
    <row r="503" spans="1:32" ht="15.75" customHeight="1" x14ac:dyDescent="0.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row>
    <row r="504" spans="1:32" ht="15.75" customHeight="1" x14ac:dyDescent="0.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row>
    <row r="505" spans="1:32" ht="15.75" customHeight="1" x14ac:dyDescent="0.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row>
    <row r="506" spans="1:32" ht="15.75" customHeight="1" x14ac:dyDescent="0.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row>
    <row r="507" spans="1:32" ht="15.75" customHeight="1" x14ac:dyDescent="0.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row>
    <row r="508" spans="1:32" ht="15.75" customHeight="1" x14ac:dyDescent="0.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row>
    <row r="509" spans="1:32" ht="15.75" customHeight="1" x14ac:dyDescent="0.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1:32" ht="15.75" customHeight="1" x14ac:dyDescent="0.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1:32" ht="15.75" customHeight="1" x14ac:dyDescent="0.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row>
    <row r="512" spans="1:32" ht="15.75" customHeight="1" x14ac:dyDescent="0.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row>
    <row r="513" spans="1:32" ht="15.75" customHeight="1" x14ac:dyDescent="0.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row>
    <row r="514" spans="1:32" ht="15.75" customHeight="1" x14ac:dyDescent="0.2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row>
    <row r="515" spans="1:32" ht="15.75" customHeight="1" x14ac:dyDescent="0.2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row>
    <row r="516" spans="1:32" ht="15.75" customHeight="1" x14ac:dyDescent="0.2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row>
    <row r="517" spans="1:32" ht="15.75" customHeight="1" x14ac:dyDescent="0.2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row>
    <row r="518" spans="1:32" ht="15.75" customHeight="1" x14ac:dyDescent="0.2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row>
    <row r="519" spans="1:32" ht="15.75" customHeight="1" x14ac:dyDescent="0.2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row>
    <row r="520" spans="1:32" ht="15.75" customHeight="1" x14ac:dyDescent="0.2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row>
    <row r="521" spans="1:32" ht="15.75" customHeight="1" x14ac:dyDescent="0.2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row>
    <row r="522" spans="1:32" ht="15.75" customHeight="1" x14ac:dyDescent="0.2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row>
    <row r="523" spans="1:32" ht="15.75" customHeight="1" x14ac:dyDescent="0.2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row>
    <row r="524" spans="1:32" ht="15.75" customHeight="1" x14ac:dyDescent="0.2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row>
    <row r="525" spans="1:32" ht="15.75" customHeight="1" x14ac:dyDescent="0.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row>
    <row r="526" spans="1:32" ht="15.75" customHeight="1" x14ac:dyDescent="0.2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row>
    <row r="527" spans="1:32" ht="15.75" customHeight="1" x14ac:dyDescent="0.2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row>
    <row r="528" spans="1:32" ht="15.75" customHeight="1" x14ac:dyDescent="0.2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row>
    <row r="529" spans="1:32" ht="15.75" customHeight="1" x14ac:dyDescent="0.2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row>
    <row r="530" spans="1:32" ht="15.75" customHeight="1" x14ac:dyDescent="0.2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row>
    <row r="531" spans="1:32" ht="15.75" customHeight="1" x14ac:dyDescent="0.2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row>
    <row r="532" spans="1:32" ht="15.75" customHeight="1" x14ac:dyDescent="0.2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row>
    <row r="533" spans="1:32" ht="15.75" customHeight="1" x14ac:dyDescent="0.2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row>
    <row r="534" spans="1:32" ht="15.75" customHeight="1" x14ac:dyDescent="0.2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row>
    <row r="535" spans="1:32" ht="15.75" customHeight="1" x14ac:dyDescent="0.2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row>
    <row r="536" spans="1:32" ht="15.75" customHeight="1" x14ac:dyDescent="0.2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row>
    <row r="537" spans="1:32" ht="15.75" customHeight="1" x14ac:dyDescent="0.2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row>
    <row r="538" spans="1:32" ht="15.75" customHeight="1" x14ac:dyDescent="0.2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row>
    <row r="539" spans="1:32" ht="15.75" customHeight="1" x14ac:dyDescent="0.2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row>
    <row r="540" spans="1:32" ht="15.75" customHeight="1" x14ac:dyDescent="0.2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row>
    <row r="541" spans="1:32" ht="15.75" customHeight="1" x14ac:dyDescent="0.2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row>
    <row r="542" spans="1:32" ht="15.75" customHeight="1" x14ac:dyDescent="0.2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row>
    <row r="543" spans="1:32" ht="15.75" customHeight="1" x14ac:dyDescent="0.2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row>
    <row r="544" spans="1:32" ht="15.75" customHeight="1" x14ac:dyDescent="0.2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row>
    <row r="545" spans="1:32" ht="15.75" customHeight="1" x14ac:dyDescent="0.2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row>
    <row r="546" spans="1:32" ht="15.75" customHeight="1" x14ac:dyDescent="0.2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row>
    <row r="547" spans="1:32" ht="15.75" customHeight="1" x14ac:dyDescent="0.2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row>
    <row r="548" spans="1:32" ht="15.75" customHeight="1" x14ac:dyDescent="0.2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row>
    <row r="549" spans="1:32" ht="15.75" customHeight="1" x14ac:dyDescent="0.2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row>
    <row r="550" spans="1:32" ht="15.75" customHeight="1" x14ac:dyDescent="0.2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row>
    <row r="551" spans="1:32" ht="15.75" customHeight="1" x14ac:dyDescent="0.2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row>
    <row r="552" spans="1:32" ht="15.75" customHeight="1" x14ac:dyDescent="0.2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row>
    <row r="553" spans="1:32" ht="15.75" customHeight="1" x14ac:dyDescent="0.2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row>
    <row r="554" spans="1:32" ht="15.75" customHeight="1" x14ac:dyDescent="0.2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row>
    <row r="555" spans="1:32" ht="15.75" customHeight="1" x14ac:dyDescent="0.2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row>
    <row r="556" spans="1:32" ht="15.75" customHeight="1" x14ac:dyDescent="0.2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row>
    <row r="557" spans="1:32" ht="15.75" customHeight="1" x14ac:dyDescent="0.2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row>
    <row r="558" spans="1:32" ht="15.75" customHeight="1" x14ac:dyDescent="0.2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row>
    <row r="559" spans="1:32" ht="15.75" customHeight="1" x14ac:dyDescent="0.2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row>
    <row r="560" spans="1:32" ht="15.75" customHeight="1" x14ac:dyDescent="0.2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row>
    <row r="561" spans="1:32" ht="15.75" customHeight="1" x14ac:dyDescent="0.2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row>
    <row r="562" spans="1:32" ht="15.75" customHeight="1" x14ac:dyDescent="0.2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row>
    <row r="563" spans="1:32" ht="15.75" customHeight="1" x14ac:dyDescent="0.2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row>
    <row r="564" spans="1:32" ht="15.75" customHeight="1" x14ac:dyDescent="0.2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row>
    <row r="565" spans="1:32" ht="15.75" customHeight="1" x14ac:dyDescent="0.2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row>
    <row r="566" spans="1:32" ht="15.75" customHeight="1" x14ac:dyDescent="0.2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row>
    <row r="567" spans="1:32" ht="15.75" customHeight="1" x14ac:dyDescent="0.2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row>
    <row r="568" spans="1:32" ht="15.75" customHeight="1" x14ac:dyDescent="0.2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row>
    <row r="569" spans="1:32" ht="15.75" customHeight="1" x14ac:dyDescent="0.2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row>
    <row r="570" spans="1:32" ht="15.75" customHeight="1" x14ac:dyDescent="0.2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row>
    <row r="571" spans="1:32" ht="15.75" customHeight="1" x14ac:dyDescent="0.2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row>
    <row r="572" spans="1:32" ht="15.75" customHeight="1" x14ac:dyDescent="0.2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row>
    <row r="573" spans="1:32" ht="15.75" customHeight="1" x14ac:dyDescent="0.2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row>
    <row r="574" spans="1:32" ht="15.75" customHeight="1" x14ac:dyDescent="0.2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row>
    <row r="575" spans="1:32" ht="15.75" customHeight="1" x14ac:dyDescent="0.2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row>
    <row r="576" spans="1:32" ht="15.75" customHeight="1" x14ac:dyDescent="0.2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row>
    <row r="577" spans="1:32" ht="15.75" customHeight="1" x14ac:dyDescent="0.2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row>
    <row r="578" spans="1:32" ht="15.75" customHeight="1" x14ac:dyDescent="0.2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row>
    <row r="579" spans="1:32" ht="15.75" customHeight="1" x14ac:dyDescent="0.2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row>
    <row r="580" spans="1:32" ht="15.75" customHeight="1" x14ac:dyDescent="0.2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row>
    <row r="581" spans="1:32" ht="15.75" customHeight="1" x14ac:dyDescent="0.2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row>
    <row r="582" spans="1:32" ht="15.75" customHeight="1" x14ac:dyDescent="0.2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row>
    <row r="583" spans="1:32" ht="15.75" customHeight="1" x14ac:dyDescent="0.2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row>
    <row r="584" spans="1:32" ht="15.75" customHeight="1" x14ac:dyDescent="0.2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row>
    <row r="585" spans="1:32" ht="15.75" customHeight="1" x14ac:dyDescent="0.2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row>
    <row r="586" spans="1:32" ht="15.75" customHeight="1" x14ac:dyDescent="0.2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row>
    <row r="587" spans="1:32" ht="15.75" customHeight="1" x14ac:dyDescent="0.2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row>
    <row r="588" spans="1:32" ht="15.75" customHeight="1" x14ac:dyDescent="0.2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row>
    <row r="589" spans="1:32" ht="15.75" customHeight="1" x14ac:dyDescent="0.2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row>
    <row r="590" spans="1:32" ht="15.75" customHeight="1" x14ac:dyDescent="0.2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row>
    <row r="591" spans="1:32" ht="15.75" customHeight="1" x14ac:dyDescent="0.2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row>
    <row r="592" spans="1:32" ht="15.75" customHeight="1" x14ac:dyDescent="0.2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row>
    <row r="593" spans="1:32" ht="15.75" customHeight="1" x14ac:dyDescent="0.2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row>
    <row r="594" spans="1:32" ht="15.75" customHeight="1" x14ac:dyDescent="0.2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row>
    <row r="595" spans="1:32" ht="15.75" customHeight="1" x14ac:dyDescent="0.2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row>
    <row r="596" spans="1:32" ht="15.75" customHeight="1" x14ac:dyDescent="0.2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row>
    <row r="597" spans="1:32" ht="15.75" customHeight="1" x14ac:dyDescent="0.2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row>
    <row r="598" spans="1:32" ht="15.75" customHeight="1" x14ac:dyDescent="0.2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row>
    <row r="599" spans="1:32" ht="15.75" customHeight="1" x14ac:dyDescent="0.2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row>
    <row r="600" spans="1:32" ht="15.75" customHeight="1" x14ac:dyDescent="0.2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row>
    <row r="601" spans="1:32" ht="15.75" customHeight="1" x14ac:dyDescent="0.2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row>
    <row r="602" spans="1:32" ht="15.75" customHeight="1" x14ac:dyDescent="0.2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row>
    <row r="603" spans="1:32" ht="15.75" customHeight="1" x14ac:dyDescent="0.2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row>
    <row r="604" spans="1:32" ht="15.75" customHeight="1" x14ac:dyDescent="0.2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row>
    <row r="605" spans="1:32" ht="15.75" customHeight="1" x14ac:dyDescent="0.2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row>
    <row r="606" spans="1:32" ht="15.75" customHeight="1" x14ac:dyDescent="0.2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row>
    <row r="607" spans="1:32" ht="15.75" customHeight="1" x14ac:dyDescent="0.2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row>
    <row r="608" spans="1:32" ht="15.75" customHeight="1" x14ac:dyDescent="0.2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row>
    <row r="609" spans="1:32" ht="15.75" customHeight="1" x14ac:dyDescent="0.2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row>
    <row r="610" spans="1:32" ht="15.75" customHeight="1" x14ac:dyDescent="0.2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row>
    <row r="611" spans="1:32" ht="15.75" customHeight="1" x14ac:dyDescent="0.2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row>
    <row r="612" spans="1:32" ht="15.75" customHeight="1" x14ac:dyDescent="0.2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row>
    <row r="613" spans="1:32" ht="15.75" customHeight="1" x14ac:dyDescent="0.2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row>
    <row r="614" spans="1:32" ht="15.75" customHeight="1" x14ac:dyDescent="0.2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row>
    <row r="615" spans="1:32" ht="15.75" customHeight="1" x14ac:dyDescent="0.2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row>
    <row r="616" spans="1:32" ht="15.75" customHeight="1" x14ac:dyDescent="0.2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row>
    <row r="617" spans="1:32" ht="15.75" customHeight="1" x14ac:dyDescent="0.2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row>
    <row r="618" spans="1:32" ht="15.75" customHeight="1" x14ac:dyDescent="0.2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row>
    <row r="619" spans="1:32" ht="15.75" customHeight="1" x14ac:dyDescent="0.2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row>
    <row r="620" spans="1:32" ht="15.75" customHeight="1" x14ac:dyDescent="0.2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row>
    <row r="621" spans="1:32" ht="15.75" customHeight="1" x14ac:dyDescent="0.2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row>
    <row r="622" spans="1:32" ht="15.75" customHeight="1" x14ac:dyDescent="0.2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row>
    <row r="623" spans="1:32" ht="15.75" customHeight="1" x14ac:dyDescent="0.2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row>
    <row r="624" spans="1:32" ht="15.75" customHeight="1" x14ac:dyDescent="0.2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row>
    <row r="625" spans="1:32" ht="15.75" customHeight="1" x14ac:dyDescent="0.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row>
    <row r="626" spans="1:32" ht="15.75" customHeight="1" x14ac:dyDescent="0.2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row>
    <row r="627" spans="1:32" ht="15.75" customHeight="1" x14ac:dyDescent="0.2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row>
    <row r="628" spans="1:32" ht="15.75" customHeight="1" x14ac:dyDescent="0.2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row>
    <row r="629" spans="1:32" ht="15.75" customHeight="1" x14ac:dyDescent="0.2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row>
    <row r="630" spans="1:32" ht="15.75" customHeight="1" x14ac:dyDescent="0.2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row>
    <row r="631" spans="1:32" ht="15.75" customHeight="1" x14ac:dyDescent="0.2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row>
    <row r="632" spans="1:32" ht="15.75" customHeight="1" x14ac:dyDescent="0.2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row>
    <row r="633" spans="1:32" ht="15.75" customHeight="1" x14ac:dyDescent="0.2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row>
    <row r="634" spans="1:32" ht="15.75" customHeight="1" x14ac:dyDescent="0.2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row>
    <row r="635" spans="1:32" ht="15.75" customHeight="1" x14ac:dyDescent="0.2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row>
    <row r="636" spans="1:32" ht="15.75" customHeight="1" x14ac:dyDescent="0.2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row>
    <row r="637" spans="1:32" ht="15.75" customHeight="1" x14ac:dyDescent="0.2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row>
    <row r="638" spans="1:32" ht="15.75" customHeight="1" x14ac:dyDescent="0.2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row>
    <row r="639" spans="1:32" ht="15.75" customHeight="1" x14ac:dyDescent="0.2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row>
    <row r="640" spans="1:32" ht="15.75" customHeight="1" x14ac:dyDescent="0.2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row>
    <row r="641" spans="1:32" ht="15.75" customHeight="1" x14ac:dyDescent="0.2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row>
    <row r="642" spans="1:32" ht="15.75" customHeight="1" x14ac:dyDescent="0.2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row>
    <row r="643" spans="1:32" ht="15.75" customHeight="1" x14ac:dyDescent="0.2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row>
    <row r="644" spans="1:32" ht="15.75" customHeight="1" x14ac:dyDescent="0.2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row>
    <row r="645" spans="1:32" ht="15.75" customHeight="1" x14ac:dyDescent="0.2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row>
    <row r="646" spans="1:32" ht="15.75" customHeight="1" x14ac:dyDescent="0.2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row>
    <row r="647" spans="1:32" ht="15.75" customHeight="1" x14ac:dyDescent="0.2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row>
    <row r="648" spans="1:32" ht="15.75" customHeight="1" x14ac:dyDescent="0.2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row>
    <row r="649" spans="1:32" ht="15.75" customHeight="1" x14ac:dyDescent="0.2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row>
    <row r="650" spans="1:32" ht="15.75" customHeight="1" x14ac:dyDescent="0.2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row>
    <row r="651" spans="1:32" ht="15.75" customHeight="1" x14ac:dyDescent="0.2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row>
    <row r="652" spans="1:32" ht="15.75" customHeight="1" x14ac:dyDescent="0.2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row>
    <row r="653" spans="1:32" ht="15.75" customHeight="1" x14ac:dyDescent="0.2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row>
    <row r="654" spans="1:32" ht="15.75" customHeight="1" x14ac:dyDescent="0.2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row>
    <row r="655" spans="1:32" ht="15.75" customHeight="1" x14ac:dyDescent="0.2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row>
    <row r="656" spans="1:32" ht="15.75" customHeight="1" x14ac:dyDescent="0.2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row>
    <row r="657" spans="1:32" ht="15.75" customHeight="1" x14ac:dyDescent="0.2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row>
    <row r="658" spans="1:32" ht="15.75" customHeight="1" x14ac:dyDescent="0.2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row>
    <row r="659" spans="1:32" ht="15.75" customHeight="1" x14ac:dyDescent="0.2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row>
    <row r="660" spans="1:32" ht="15.75" customHeight="1" x14ac:dyDescent="0.2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row>
    <row r="661" spans="1:32" ht="15.75" customHeight="1" x14ac:dyDescent="0.2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row>
    <row r="662" spans="1:32" ht="15.75" customHeight="1" x14ac:dyDescent="0.2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row>
    <row r="663" spans="1:32" ht="15.75" customHeight="1" x14ac:dyDescent="0.2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row>
    <row r="664" spans="1:32" ht="15.75" customHeight="1" x14ac:dyDescent="0.2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row>
    <row r="665" spans="1:32" ht="15.75" customHeight="1" x14ac:dyDescent="0.2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row>
    <row r="666" spans="1:32" ht="15.75" customHeight="1" x14ac:dyDescent="0.2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row>
    <row r="667" spans="1:32" ht="15.75" customHeight="1" x14ac:dyDescent="0.2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row>
    <row r="668" spans="1:32" ht="15.75" customHeight="1" x14ac:dyDescent="0.2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row>
    <row r="669" spans="1:32" ht="15.75" customHeight="1" x14ac:dyDescent="0.2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row>
    <row r="670" spans="1:32" ht="15.75" customHeight="1" x14ac:dyDescent="0.2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row>
    <row r="671" spans="1:32" ht="15.75" customHeight="1" x14ac:dyDescent="0.2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row>
    <row r="672" spans="1:32" ht="15.75" customHeight="1" x14ac:dyDescent="0.2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row>
    <row r="673" spans="1:32" ht="15.75" customHeight="1" x14ac:dyDescent="0.2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row>
    <row r="674" spans="1:32" ht="15.75" customHeight="1" x14ac:dyDescent="0.2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row>
    <row r="675" spans="1:32" ht="15.75" customHeight="1" x14ac:dyDescent="0.2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row>
    <row r="676" spans="1:32" ht="15.75" customHeight="1" x14ac:dyDescent="0.2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row>
    <row r="677" spans="1:32" ht="15.75" customHeight="1" x14ac:dyDescent="0.2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row>
    <row r="678" spans="1:32" ht="15.75" customHeight="1" x14ac:dyDescent="0.2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row>
    <row r="679" spans="1:32" ht="15.75" customHeight="1" x14ac:dyDescent="0.2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row>
    <row r="680" spans="1:32" ht="15.75" customHeight="1" x14ac:dyDescent="0.2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row>
    <row r="681" spans="1:32" ht="15.75" customHeight="1" x14ac:dyDescent="0.2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row>
    <row r="682" spans="1:32" ht="15.75" customHeight="1" x14ac:dyDescent="0.2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row>
    <row r="683" spans="1:32" ht="15.75" customHeight="1" x14ac:dyDescent="0.2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row>
    <row r="684" spans="1:32" ht="15.75" customHeight="1" x14ac:dyDescent="0.2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row>
    <row r="685" spans="1:32" ht="15.75" customHeight="1" x14ac:dyDescent="0.2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row>
    <row r="686" spans="1:32" ht="15.75" customHeight="1" x14ac:dyDescent="0.2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row>
    <row r="687" spans="1:32" ht="15.75" customHeight="1" x14ac:dyDescent="0.2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row>
    <row r="688" spans="1:32" ht="15.75" customHeight="1" x14ac:dyDescent="0.2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row>
    <row r="689" spans="1:32" ht="15.75" customHeight="1" x14ac:dyDescent="0.2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row>
    <row r="690" spans="1:32" ht="15.75" customHeight="1" x14ac:dyDescent="0.2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row>
    <row r="691" spans="1:32" ht="15.75" customHeight="1" x14ac:dyDescent="0.2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row>
    <row r="692" spans="1:32" ht="15.75" customHeight="1" x14ac:dyDescent="0.2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row>
    <row r="693" spans="1:32" ht="15.75" customHeight="1" x14ac:dyDescent="0.2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row>
    <row r="694" spans="1:32" ht="15.75" customHeight="1" x14ac:dyDescent="0.2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row>
    <row r="695" spans="1:32" ht="15.75" customHeight="1" x14ac:dyDescent="0.2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row>
    <row r="696" spans="1:32" ht="15.75" customHeight="1" x14ac:dyDescent="0.2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row>
    <row r="697" spans="1:32" ht="15.75" customHeight="1" x14ac:dyDescent="0.2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row>
    <row r="698" spans="1:32" ht="15.75" customHeight="1" x14ac:dyDescent="0.2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row>
    <row r="699" spans="1:32" ht="15.75" customHeight="1" x14ac:dyDescent="0.2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row>
    <row r="700" spans="1:32" ht="15.75" customHeight="1" x14ac:dyDescent="0.2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row>
    <row r="701" spans="1:32" ht="15.75" customHeight="1" x14ac:dyDescent="0.2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row>
    <row r="702" spans="1:32" ht="15.75" customHeight="1" x14ac:dyDescent="0.2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row>
    <row r="703" spans="1:32" ht="15.75" customHeight="1" x14ac:dyDescent="0.2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row>
    <row r="704" spans="1:32" ht="15.75" customHeight="1" x14ac:dyDescent="0.2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row>
    <row r="705" spans="1:32" ht="15.75" customHeight="1" x14ac:dyDescent="0.2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row>
    <row r="706" spans="1:32" ht="15.75" customHeight="1" x14ac:dyDescent="0.2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row>
    <row r="707" spans="1:32" ht="15.75" customHeight="1" x14ac:dyDescent="0.2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row>
    <row r="708" spans="1:32" ht="15.75" customHeight="1" x14ac:dyDescent="0.2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row>
    <row r="709" spans="1:32" ht="15.75" customHeight="1" x14ac:dyDescent="0.2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row>
    <row r="710" spans="1:32" ht="15.75" customHeight="1" x14ac:dyDescent="0.2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row>
    <row r="711" spans="1:32" ht="15.75" customHeight="1" x14ac:dyDescent="0.2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1:32" ht="15.75" customHeight="1" x14ac:dyDescent="0.2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row>
    <row r="713" spans="1:32" ht="15.75" customHeight="1" x14ac:dyDescent="0.2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row>
    <row r="714" spans="1:32" ht="15.75" customHeight="1" x14ac:dyDescent="0.2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row>
    <row r="715" spans="1:32" ht="15.75" customHeight="1" x14ac:dyDescent="0.2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row>
    <row r="716" spans="1:32" ht="15.75" customHeight="1" x14ac:dyDescent="0.2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row>
    <row r="717" spans="1:32" ht="15.75" customHeight="1" x14ac:dyDescent="0.2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row>
    <row r="718" spans="1:32" ht="15.75" customHeight="1" x14ac:dyDescent="0.2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row>
    <row r="719" spans="1:32" ht="15.75" customHeight="1" x14ac:dyDescent="0.2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row>
    <row r="720" spans="1:32" ht="15.75" customHeight="1" x14ac:dyDescent="0.2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row>
    <row r="721" spans="1:32" ht="15.75" customHeight="1" x14ac:dyDescent="0.2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row>
    <row r="722" spans="1:32" ht="15.75" customHeight="1" x14ac:dyDescent="0.2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row>
    <row r="723" spans="1:32" ht="15.75" customHeight="1" x14ac:dyDescent="0.2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row>
    <row r="724" spans="1:32" ht="15.75" customHeight="1" x14ac:dyDescent="0.2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row>
    <row r="725" spans="1:32" ht="15.75" customHeight="1" x14ac:dyDescent="0.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row>
    <row r="726" spans="1:32" ht="15.75" customHeight="1" x14ac:dyDescent="0.2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row>
    <row r="727" spans="1:32" ht="15.75" customHeight="1" x14ac:dyDescent="0.2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row>
    <row r="728" spans="1:32" ht="15.75" customHeight="1" x14ac:dyDescent="0.2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row>
    <row r="729" spans="1:32" ht="15.75" customHeight="1" x14ac:dyDescent="0.2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row>
    <row r="730" spans="1:32" ht="15.75" customHeight="1" x14ac:dyDescent="0.2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row>
    <row r="731" spans="1:32" ht="15.75" customHeight="1" x14ac:dyDescent="0.2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row>
    <row r="732" spans="1:32" ht="15.75" customHeight="1" x14ac:dyDescent="0.2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row>
    <row r="733" spans="1:32" ht="15.75" customHeight="1" x14ac:dyDescent="0.2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row>
    <row r="734" spans="1:32" ht="15.75" customHeight="1" x14ac:dyDescent="0.2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row>
    <row r="735" spans="1:32" ht="15.75" customHeight="1" x14ac:dyDescent="0.2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row>
    <row r="736" spans="1:32" ht="15.75" customHeight="1" x14ac:dyDescent="0.2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row>
    <row r="737" spans="1:32" ht="15.75" customHeight="1" x14ac:dyDescent="0.2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row>
    <row r="738" spans="1:32" ht="15.75" customHeight="1" x14ac:dyDescent="0.2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row>
    <row r="739" spans="1:32" ht="15.75" customHeight="1" x14ac:dyDescent="0.2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row>
    <row r="740" spans="1:32" ht="15.75" customHeight="1" x14ac:dyDescent="0.2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row>
    <row r="741" spans="1:32" ht="15.75" customHeight="1" x14ac:dyDescent="0.2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row>
    <row r="742" spans="1:32" ht="15.75" customHeight="1" x14ac:dyDescent="0.2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row>
    <row r="743" spans="1:32" ht="15.75" customHeight="1" x14ac:dyDescent="0.2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row>
    <row r="744" spans="1:32" ht="15.75" customHeight="1" x14ac:dyDescent="0.2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row>
    <row r="745" spans="1:32" ht="15.75" customHeight="1" x14ac:dyDescent="0.2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row>
    <row r="746" spans="1:32" ht="15.75" customHeight="1" x14ac:dyDescent="0.2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row>
    <row r="747" spans="1:32" ht="15.75" customHeight="1" x14ac:dyDescent="0.2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row>
    <row r="748" spans="1:32" ht="15.75" customHeight="1" x14ac:dyDescent="0.2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row>
    <row r="749" spans="1:32" ht="15.75" customHeight="1" x14ac:dyDescent="0.2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row>
    <row r="750" spans="1:32" ht="15.75" customHeight="1" x14ac:dyDescent="0.2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row>
    <row r="751" spans="1:32" ht="15.75" customHeight="1" x14ac:dyDescent="0.2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row>
    <row r="752" spans="1:32" ht="15.75" customHeight="1" x14ac:dyDescent="0.2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row>
    <row r="753" spans="1:32" ht="15.75" customHeight="1" x14ac:dyDescent="0.2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row>
    <row r="754" spans="1:32" ht="15.75" customHeight="1" x14ac:dyDescent="0.2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row>
    <row r="755" spans="1:32" ht="15.75" customHeight="1" x14ac:dyDescent="0.2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row>
    <row r="756" spans="1:32" ht="15.75" customHeight="1" x14ac:dyDescent="0.2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row>
    <row r="757" spans="1:32" ht="15.75" customHeight="1" x14ac:dyDescent="0.2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row>
    <row r="758" spans="1:32" ht="15.75" customHeight="1" x14ac:dyDescent="0.2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row>
    <row r="759" spans="1:32" ht="15.75" customHeight="1" x14ac:dyDescent="0.2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row>
    <row r="760" spans="1:32" ht="15.75" customHeight="1" x14ac:dyDescent="0.2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row>
    <row r="761" spans="1:32" ht="15.75" customHeight="1" x14ac:dyDescent="0.2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row>
    <row r="762" spans="1:32" ht="15.75" customHeight="1" x14ac:dyDescent="0.2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row>
    <row r="763" spans="1:32" ht="15.75" customHeight="1" x14ac:dyDescent="0.2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row>
    <row r="764" spans="1:32" ht="15.75" customHeight="1" x14ac:dyDescent="0.2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row>
    <row r="765" spans="1:32" ht="15.75" customHeight="1" x14ac:dyDescent="0.2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row>
    <row r="766" spans="1:32" ht="15.75" customHeight="1" x14ac:dyDescent="0.2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row>
    <row r="767" spans="1:32" ht="15.75" customHeight="1" x14ac:dyDescent="0.2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row>
    <row r="768" spans="1:32" ht="15.75" customHeight="1" x14ac:dyDescent="0.2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row>
    <row r="769" spans="1:32" ht="15.75" customHeight="1" x14ac:dyDescent="0.2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row>
    <row r="770" spans="1:32" ht="15.75" customHeight="1" x14ac:dyDescent="0.2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row>
    <row r="771" spans="1:32" ht="15.75" customHeight="1" x14ac:dyDescent="0.2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row>
    <row r="772" spans="1:32" ht="15.75" customHeight="1" x14ac:dyDescent="0.2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row>
    <row r="773" spans="1:32" ht="15.75" customHeight="1" x14ac:dyDescent="0.2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row>
    <row r="774" spans="1:32" ht="15.75" customHeight="1" x14ac:dyDescent="0.2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row>
    <row r="775" spans="1:32" ht="15.75" customHeight="1" x14ac:dyDescent="0.2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row>
    <row r="776" spans="1:32" ht="15.75" customHeight="1" x14ac:dyDescent="0.2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row>
    <row r="777" spans="1:32" ht="15.75" customHeight="1" x14ac:dyDescent="0.2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row>
    <row r="778" spans="1:32" ht="15.75" customHeight="1" x14ac:dyDescent="0.2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row>
    <row r="779" spans="1:32" ht="15.75" customHeight="1" x14ac:dyDescent="0.2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row>
    <row r="780" spans="1:32" ht="15.75" customHeight="1" x14ac:dyDescent="0.2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row>
    <row r="781" spans="1:32" ht="15.75" customHeight="1" x14ac:dyDescent="0.2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row>
    <row r="782" spans="1:32" ht="15.75" customHeight="1" x14ac:dyDescent="0.2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row>
    <row r="783" spans="1:32" ht="15.75" customHeight="1" x14ac:dyDescent="0.2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row>
    <row r="784" spans="1:32" ht="15.75" customHeight="1" x14ac:dyDescent="0.2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row>
    <row r="785" spans="1:32" ht="15.75" customHeight="1" x14ac:dyDescent="0.2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row>
    <row r="786" spans="1:32" ht="15.75" customHeight="1" x14ac:dyDescent="0.2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row>
    <row r="787" spans="1:32" ht="15.75" customHeight="1" x14ac:dyDescent="0.2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row>
    <row r="788" spans="1:32" ht="15.75" customHeight="1" x14ac:dyDescent="0.2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row>
    <row r="789" spans="1:32" ht="15.75" customHeight="1" x14ac:dyDescent="0.2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row>
    <row r="790" spans="1:32" ht="15.75" customHeight="1" x14ac:dyDescent="0.2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row>
    <row r="791" spans="1:32" ht="15.75" customHeight="1" x14ac:dyDescent="0.2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row>
    <row r="792" spans="1:32" ht="15.75" customHeight="1" x14ac:dyDescent="0.2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row>
    <row r="793" spans="1:32" ht="15.75" customHeight="1" x14ac:dyDescent="0.2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row>
    <row r="794" spans="1:32" ht="15.75" customHeight="1" x14ac:dyDescent="0.2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row>
    <row r="795" spans="1:32" ht="15.75" customHeight="1" x14ac:dyDescent="0.2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row>
    <row r="796" spans="1:32" ht="15.75" customHeight="1" x14ac:dyDescent="0.2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row>
    <row r="797" spans="1:32" ht="15.75" customHeight="1" x14ac:dyDescent="0.2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row>
    <row r="798" spans="1:32" ht="15.75" customHeight="1" x14ac:dyDescent="0.2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row>
    <row r="799" spans="1:32" ht="15.75" customHeight="1" x14ac:dyDescent="0.2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row>
    <row r="800" spans="1:32" ht="15.75" customHeight="1" x14ac:dyDescent="0.2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row>
    <row r="801" spans="1:32" ht="15.75" customHeight="1" x14ac:dyDescent="0.2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row>
    <row r="802" spans="1:32" ht="15.75" customHeight="1" x14ac:dyDescent="0.2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row>
    <row r="803" spans="1:32" ht="15.75" customHeight="1" x14ac:dyDescent="0.2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row>
    <row r="804" spans="1:32" ht="15.75" customHeight="1" x14ac:dyDescent="0.2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row>
    <row r="805" spans="1:32" ht="15.75" customHeight="1" x14ac:dyDescent="0.2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row>
    <row r="806" spans="1:32" ht="15.75" customHeight="1" x14ac:dyDescent="0.2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row>
    <row r="807" spans="1:32" ht="15.75" customHeight="1" x14ac:dyDescent="0.2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row>
    <row r="808" spans="1:32" ht="15.75" customHeight="1" x14ac:dyDescent="0.2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row>
    <row r="809" spans="1:32" ht="15.75" customHeight="1" x14ac:dyDescent="0.2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row>
    <row r="810" spans="1:32" ht="15.75" customHeight="1" x14ac:dyDescent="0.2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row>
    <row r="811" spans="1:32" ht="15.75" customHeight="1" x14ac:dyDescent="0.2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row>
    <row r="812" spans="1:32" ht="15.75" customHeight="1" x14ac:dyDescent="0.2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row>
    <row r="813" spans="1:32" ht="15.75" customHeight="1" x14ac:dyDescent="0.2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row>
    <row r="814" spans="1:32" ht="15.75" customHeight="1" x14ac:dyDescent="0.2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row>
    <row r="815" spans="1:32" ht="15.75" customHeight="1" x14ac:dyDescent="0.2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row>
    <row r="816" spans="1:32" ht="15.75" customHeight="1" x14ac:dyDescent="0.2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row>
    <row r="817" spans="1:32" ht="15.75" customHeight="1" x14ac:dyDescent="0.2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row>
    <row r="818" spans="1:32" ht="15.75" customHeight="1" x14ac:dyDescent="0.2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row>
    <row r="819" spans="1:32" ht="15.75" customHeight="1" x14ac:dyDescent="0.2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row>
    <row r="820" spans="1:32" ht="15.75" customHeight="1" x14ac:dyDescent="0.2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row>
    <row r="821" spans="1:32" ht="15.75" customHeight="1" x14ac:dyDescent="0.2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row>
    <row r="822" spans="1:32" ht="15.75" customHeight="1" x14ac:dyDescent="0.2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row>
    <row r="823" spans="1:32" ht="15.75" customHeight="1" x14ac:dyDescent="0.2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row>
    <row r="824" spans="1:32" ht="15.75" customHeight="1" x14ac:dyDescent="0.2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row>
    <row r="825" spans="1:32" ht="15.75" customHeight="1" x14ac:dyDescent="0.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row>
    <row r="826" spans="1:32" ht="15.75" customHeight="1" x14ac:dyDescent="0.2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row>
    <row r="827" spans="1:32" ht="15.75" customHeight="1" x14ac:dyDescent="0.2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row>
    <row r="828" spans="1:32" ht="15.75" customHeight="1" x14ac:dyDescent="0.2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row>
    <row r="829" spans="1:32" ht="15.75" customHeight="1" x14ac:dyDescent="0.2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row>
    <row r="830" spans="1:32" ht="15.75" customHeight="1" x14ac:dyDescent="0.2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row>
    <row r="831" spans="1:32" ht="15.75" customHeight="1" x14ac:dyDescent="0.2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row>
    <row r="832" spans="1:32" ht="15.75" customHeight="1" x14ac:dyDescent="0.2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row>
    <row r="833" spans="1:32" ht="15.75" customHeight="1" x14ac:dyDescent="0.2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row>
    <row r="834" spans="1:32" ht="15.75" customHeight="1" x14ac:dyDescent="0.2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row>
    <row r="835" spans="1:32" ht="15.75" customHeight="1" x14ac:dyDescent="0.2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row>
    <row r="836" spans="1:32" ht="15.75" customHeight="1" x14ac:dyDescent="0.2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row>
    <row r="837" spans="1:32" ht="15.75" customHeight="1" x14ac:dyDescent="0.2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row>
    <row r="838" spans="1:32" ht="15.75" customHeight="1" x14ac:dyDescent="0.2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row>
    <row r="839" spans="1:32" ht="15.75" customHeight="1" x14ac:dyDescent="0.2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row>
    <row r="840" spans="1:32" ht="15.75" customHeight="1" x14ac:dyDescent="0.2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row>
    <row r="841" spans="1:32" ht="15.75" customHeight="1" x14ac:dyDescent="0.2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row>
    <row r="842" spans="1:32" ht="15.75" customHeight="1" x14ac:dyDescent="0.2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row>
    <row r="843" spans="1:32" ht="15.75" customHeight="1" x14ac:dyDescent="0.2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row>
    <row r="844" spans="1:32" ht="15.75" customHeight="1" x14ac:dyDescent="0.2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row>
    <row r="845" spans="1:32" ht="15.75" customHeight="1" x14ac:dyDescent="0.2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row>
    <row r="846" spans="1:32" ht="15.75" customHeight="1" x14ac:dyDescent="0.2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row>
    <row r="847" spans="1:32" ht="15.75" customHeight="1" x14ac:dyDescent="0.2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row>
    <row r="848" spans="1:32" ht="15.75" customHeight="1" x14ac:dyDescent="0.2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row>
    <row r="849" spans="1:32" ht="15.75" customHeight="1" x14ac:dyDescent="0.2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row>
    <row r="850" spans="1:32" ht="15.75" customHeight="1" x14ac:dyDescent="0.2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row>
    <row r="851" spans="1:32" ht="15.75" customHeight="1" x14ac:dyDescent="0.2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row>
    <row r="852" spans="1:32" ht="15.75" customHeight="1" x14ac:dyDescent="0.2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row>
    <row r="853" spans="1:32" ht="15.75" customHeight="1" x14ac:dyDescent="0.2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row>
    <row r="854" spans="1:32" ht="15.75" customHeight="1" x14ac:dyDescent="0.2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row>
    <row r="855" spans="1:32" ht="15.75" customHeight="1" x14ac:dyDescent="0.2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row>
    <row r="856" spans="1:32" ht="15.75" customHeight="1" x14ac:dyDescent="0.2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row>
    <row r="857" spans="1:32" ht="15.75" customHeight="1" x14ac:dyDescent="0.2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row>
    <row r="858" spans="1:32" ht="15.75" customHeight="1" x14ac:dyDescent="0.2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row>
    <row r="859" spans="1:32" ht="15.75" customHeight="1" x14ac:dyDescent="0.2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row>
    <row r="860" spans="1:32" ht="15.75" customHeight="1" x14ac:dyDescent="0.2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row>
    <row r="861" spans="1:32" ht="15.75" customHeight="1" x14ac:dyDescent="0.2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row>
    <row r="862" spans="1:32" ht="15.75" customHeight="1" x14ac:dyDescent="0.2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row>
    <row r="863" spans="1:32" ht="15.75" customHeight="1" x14ac:dyDescent="0.2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row>
    <row r="864" spans="1:32" ht="15.75" customHeight="1" x14ac:dyDescent="0.2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row>
    <row r="865" spans="1:32" ht="15.75" customHeight="1" x14ac:dyDescent="0.2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row>
    <row r="866" spans="1:32" ht="15.75" customHeight="1" x14ac:dyDescent="0.2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row>
    <row r="867" spans="1:32" ht="15.75" customHeight="1" x14ac:dyDescent="0.2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row>
    <row r="868" spans="1:32" ht="15.75" customHeight="1" x14ac:dyDescent="0.2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row>
    <row r="869" spans="1:32" ht="15.75" customHeight="1" x14ac:dyDescent="0.2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row>
    <row r="870" spans="1:32" ht="15.75" customHeight="1" x14ac:dyDescent="0.2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row>
    <row r="871" spans="1:32" ht="15.75" customHeight="1" x14ac:dyDescent="0.2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row>
    <row r="872" spans="1:32" ht="15.75" customHeight="1" x14ac:dyDescent="0.2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row>
    <row r="873" spans="1:32" ht="15.75" customHeight="1" x14ac:dyDescent="0.2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row>
    <row r="874" spans="1:32" ht="15.75" customHeight="1" x14ac:dyDescent="0.2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row>
    <row r="875" spans="1:32" ht="15.75" customHeight="1" x14ac:dyDescent="0.2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row>
    <row r="876" spans="1:32" ht="15.75" customHeight="1" x14ac:dyDescent="0.2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row>
    <row r="877" spans="1:32" ht="15.75" customHeight="1" x14ac:dyDescent="0.2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row>
    <row r="878" spans="1:32" ht="15.75" customHeight="1" x14ac:dyDescent="0.2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row>
    <row r="879" spans="1:32" ht="15.75" customHeight="1" x14ac:dyDescent="0.2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row>
    <row r="880" spans="1:32" ht="15.75" customHeight="1" x14ac:dyDescent="0.2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row>
    <row r="881" spans="1:32" ht="15.75" customHeight="1" x14ac:dyDescent="0.2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row>
    <row r="882" spans="1:32" ht="15.75" customHeight="1" x14ac:dyDescent="0.2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row>
    <row r="883" spans="1:32" ht="15.75" customHeight="1" x14ac:dyDescent="0.2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row>
    <row r="884" spans="1:32" ht="15.75" customHeight="1" x14ac:dyDescent="0.2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row>
    <row r="885" spans="1:32" ht="15.75" customHeight="1" x14ac:dyDescent="0.2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row>
    <row r="886" spans="1:32" ht="15.75" customHeight="1" x14ac:dyDescent="0.2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1:32" ht="15.75" customHeight="1" x14ac:dyDescent="0.2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row>
    <row r="888" spans="1:32" ht="15.75" customHeight="1" x14ac:dyDescent="0.2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row>
    <row r="889" spans="1:32" ht="15.75" customHeight="1" x14ac:dyDescent="0.2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row>
    <row r="890" spans="1:32" ht="15.75" customHeight="1" x14ac:dyDescent="0.2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row>
    <row r="891" spans="1:32" ht="15.75" customHeight="1" x14ac:dyDescent="0.2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row>
    <row r="892" spans="1:32" ht="15.75" customHeight="1" x14ac:dyDescent="0.2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row>
    <row r="893" spans="1:32" ht="15.75" customHeight="1" x14ac:dyDescent="0.2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row>
    <row r="894" spans="1:32" ht="15.75" customHeight="1" x14ac:dyDescent="0.2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row>
    <row r="895" spans="1:32" ht="15.75" customHeight="1" x14ac:dyDescent="0.2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row>
    <row r="896" spans="1:32" ht="15.75" customHeight="1" x14ac:dyDescent="0.2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row>
    <row r="897" spans="1:32" ht="15.75" customHeight="1" x14ac:dyDescent="0.2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row>
    <row r="898" spans="1:32" ht="15.75" customHeight="1" x14ac:dyDescent="0.2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row>
    <row r="899" spans="1:32" ht="15.75" customHeight="1" x14ac:dyDescent="0.2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row>
    <row r="900" spans="1:32" ht="15.75" customHeight="1" x14ac:dyDescent="0.2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row>
    <row r="901" spans="1:32" ht="15.75" customHeight="1" x14ac:dyDescent="0.2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row>
    <row r="902" spans="1:32" ht="15.75" customHeight="1" x14ac:dyDescent="0.2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row>
    <row r="903" spans="1:32" ht="15.75" customHeight="1" x14ac:dyDescent="0.2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row>
    <row r="904" spans="1:32" ht="15.75" customHeight="1" x14ac:dyDescent="0.2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row>
    <row r="905" spans="1:32" ht="15.75" customHeight="1" x14ac:dyDescent="0.2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row>
    <row r="906" spans="1:32" ht="15.75" customHeight="1" x14ac:dyDescent="0.2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row>
    <row r="907" spans="1:32" ht="15.75" customHeight="1" x14ac:dyDescent="0.2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row>
    <row r="908" spans="1:32" ht="15.75" customHeight="1" x14ac:dyDescent="0.2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row>
    <row r="909" spans="1:32" ht="15.75" customHeight="1" x14ac:dyDescent="0.2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row>
    <row r="910" spans="1:32" ht="15.75" customHeight="1" x14ac:dyDescent="0.2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row>
    <row r="911" spans="1:32" ht="15.75" customHeight="1" x14ac:dyDescent="0.2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row>
    <row r="912" spans="1:32" ht="15.75" customHeight="1" x14ac:dyDescent="0.2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row>
    <row r="913" spans="1:32" ht="15.75" customHeight="1" x14ac:dyDescent="0.2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row>
    <row r="914" spans="1:32" ht="15.75" customHeight="1" x14ac:dyDescent="0.2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row>
    <row r="915" spans="1:32" ht="15.75" customHeight="1" x14ac:dyDescent="0.2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row>
    <row r="916" spans="1:32" ht="15.75" customHeight="1" x14ac:dyDescent="0.2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row>
    <row r="917" spans="1:32" ht="15.75" customHeight="1" x14ac:dyDescent="0.2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row>
    <row r="918" spans="1:32" ht="15.75" customHeight="1" x14ac:dyDescent="0.2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row>
    <row r="919" spans="1:32" ht="15.75" customHeight="1" x14ac:dyDescent="0.2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row>
    <row r="920" spans="1:32" ht="15.75" customHeight="1" x14ac:dyDescent="0.2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row>
    <row r="921" spans="1:32" ht="15.75" customHeight="1" x14ac:dyDescent="0.2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row>
    <row r="922" spans="1:32" ht="15.75" customHeight="1" x14ac:dyDescent="0.2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row>
    <row r="923" spans="1:32" ht="15.75" customHeight="1" x14ac:dyDescent="0.2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row>
    <row r="924" spans="1:32" ht="15.75" customHeight="1" x14ac:dyDescent="0.2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row>
    <row r="925" spans="1:32" ht="15.75" customHeight="1" x14ac:dyDescent="0.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row>
    <row r="926" spans="1:32" ht="15.75" customHeight="1" x14ac:dyDescent="0.2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row>
    <row r="927" spans="1:32" ht="15.75" customHeight="1" x14ac:dyDescent="0.2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row>
    <row r="928" spans="1:32" ht="15.75" customHeight="1" x14ac:dyDescent="0.2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row>
    <row r="929" spans="1:32" ht="15.75" customHeight="1" x14ac:dyDescent="0.2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row>
    <row r="930" spans="1:32" ht="15.75" customHeight="1" x14ac:dyDescent="0.2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row>
    <row r="931" spans="1:32" ht="15.75" customHeight="1" x14ac:dyDescent="0.2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row>
    <row r="932" spans="1:32" ht="15.75" customHeight="1" x14ac:dyDescent="0.2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row>
    <row r="933" spans="1:32" ht="15.75" customHeight="1" x14ac:dyDescent="0.2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row>
    <row r="934" spans="1:32" ht="15.75" customHeight="1" x14ac:dyDescent="0.2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row>
    <row r="935" spans="1:32" ht="15.75" customHeight="1" x14ac:dyDescent="0.2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row>
    <row r="936" spans="1:32" ht="15.75" customHeight="1" x14ac:dyDescent="0.2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row>
    <row r="937" spans="1:32" ht="15.75" customHeight="1" x14ac:dyDescent="0.2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row>
    <row r="938" spans="1:32" ht="15.75" customHeight="1" x14ac:dyDescent="0.2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row>
    <row r="939" spans="1:32" ht="15.75" customHeight="1" x14ac:dyDescent="0.2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row>
    <row r="940" spans="1:32" ht="15.75" customHeight="1" x14ac:dyDescent="0.2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row>
    <row r="941" spans="1:32" ht="15.75" customHeight="1" x14ac:dyDescent="0.2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row>
    <row r="942" spans="1:32" ht="15.75" customHeight="1" x14ac:dyDescent="0.2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row>
    <row r="943" spans="1:32" ht="15.75" customHeight="1" x14ac:dyDescent="0.2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row>
    <row r="944" spans="1:32" ht="15.75" customHeight="1" x14ac:dyDescent="0.2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row>
    <row r="945" spans="1:32" ht="15.75" customHeight="1" x14ac:dyDescent="0.2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row>
    <row r="946" spans="1:32" ht="15.75" customHeight="1" x14ac:dyDescent="0.2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row>
    <row r="947" spans="1:32" ht="15.75" customHeight="1" x14ac:dyDescent="0.2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row>
    <row r="948" spans="1:32" ht="15.75" customHeight="1" x14ac:dyDescent="0.2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row>
    <row r="949" spans="1:32" ht="15.75" customHeight="1" x14ac:dyDescent="0.2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row>
    <row r="950" spans="1:32" ht="15.75" customHeight="1" x14ac:dyDescent="0.2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row>
    <row r="951" spans="1:32" ht="15.75" customHeight="1" x14ac:dyDescent="0.2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row>
    <row r="952" spans="1:32" ht="15.75" customHeight="1" x14ac:dyDescent="0.2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row>
    <row r="953" spans="1:32" ht="15.75" customHeight="1" x14ac:dyDescent="0.2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row>
    <row r="954" spans="1:32" ht="15.75" customHeight="1" x14ac:dyDescent="0.2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row>
    <row r="955" spans="1:32" ht="15.75" customHeight="1" x14ac:dyDescent="0.2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row>
    <row r="956" spans="1:32" ht="15.75" customHeight="1" x14ac:dyDescent="0.2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row>
    <row r="957" spans="1:32" ht="15.75" customHeight="1" x14ac:dyDescent="0.2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row>
    <row r="958" spans="1:32" ht="15.75" customHeight="1" x14ac:dyDescent="0.2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row>
    <row r="959" spans="1:32" ht="15.75" customHeight="1" x14ac:dyDescent="0.2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row>
    <row r="960" spans="1:32" ht="15.75" customHeight="1" x14ac:dyDescent="0.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row>
    <row r="961" spans="1:32" ht="15.75" customHeight="1" x14ac:dyDescent="0.2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row>
    <row r="962" spans="1:32" ht="15.75" customHeight="1" x14ac:dyDescent="0.2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row>
    <row r="963" spans="1:32" ht="15.75" customHeight="1" x14ac:dyDescent="0.2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row>
    <row r="964" spans="1:32" ht="15.75" customHeight="1" x14ac:dyDescent="0.2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row>
    <row r="965" spans="1:32" ht="15.75" customHeight="1" x14ac:dyDescent="0.2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row>
    <row r="966" spans="1:32" ht="15.75" customHeight="1" x14ac:dyDescent="0.2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row>
    <row r="967" spans="1:32" ht="15.75" customHeight="1" x14ac:dyDescent="0.2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row>
    <row r="968" spans="1:32" ht="15.75" customHeight="1" x14ac:dyDescent="0.2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row>
    <row r="969" spans="1:32" ht="15.75" customHeight="1" x14ac:dyDescent="0.2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row>
    <row r="970" spans="1:32" ht="15.75" customHeight="1" x14ac:dyDescent="0.2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row>
    <row r="971" spans="1:32" ht="15.75" customHeight="1" x14ac:dyDescent="0.2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row>
    <row r="972" spans="1:32" ht="15.75" customHeight="1" x14ac:dyDescent="0.2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row>
    <row r="973" spans="1:32" ht="15.75" customHeight="1" x14ac:dyDescent="0.2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row>
    <row r="974" spans="1:32" ht="15.75" customHeight="1" x14ac:dyDescent="0.2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row>
    <row r="975" spans="1:32" ht="15.75" customHeight="1" x14ac:dyDescent="0.2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row>
    <row r="976" spans="1:32" ht="15.75" customHeight="1" x14ac:dyDescent="0.2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row>
    <row r="977" spans="1:32" ht="15.75" customHeight="1" x14ac:dyDescent="0.2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row>
    <row r="978" spans="1:32" ht="15.75" customHeight="1" x14ac:dyDescent="0.2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row>
    <row r="979" spans="1:32" ht="15.75" customHeight="1" x14ac:dyDescent="0.2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row>
    <row r="980" spans="1:32" ht="15.75" customHeight="1" x14ac:dyDescent="0.2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row>
    <row r="981" spans="1:32" ht="15.75" customHeight="1" x14ac:dyDescent="0.2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row>
    <row r="982" spans="1:32" ht="15.75" customHeight="1" x14ac:dyDescent="0.2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row>
    <row r="983" spans="1:32" ht="15.75" customHeight="1" x14ac:dyDescent="0.2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row>
    <row r="984" spans="1:32" ht="15.75" customHeight="1" x14ac:dyDescent="0.2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row>
    <row r="985" spans="1:32" ht="15.75" customHeight="1" x14ac:dyDescent="0.2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row>
    <row r="986" spans="1:32" ht="15.75" customHeight="1" x14ac:dyDescent="0.2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row>
    <row r="987" spans="1:32" ht="15.75" customHeight="1" x14ac:dyDescent="0.2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row>
    <row r="988" spans="1:32" ht="15.75" customHeight="1" x14ac:dyDescent="0.2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row>
    <row r="989" spans="1:32" ht="15.75" customHeight="1" x14ac:dyDescent="0.2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row>
    <row r="990" spans="1:32" ht="15.75" customHeight="1" x14ac:dyDescent="0.2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row>
    <row r="991" spans="1:32" ht="15.75" customHeight="1" x14ac:dyDescent="0.2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row>
    <row r="992" spans="1:32" ht="15.75" customHeight="1" x14ac:dyDescent="0.2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row>
    <row r="993" spans="1:32" ht="15.75" customHeight="1" x14ac:dyDescent="0.2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row>
    <row r="994" spans="1:32" ht="15.75" customHeight="1" x14ac:dyDescent="0.2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row>
    <row r="995" spans="1:32" ht="15.75" customHeight="1" x14ac:dyDescent="0.2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row>
    <row r="996" spans="1:32" ht="15.75" customHeight="1" x14ac:dyDescent="0.2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row>
    <row r="997" spans="1:32" ht="15.75" customHeight="1" x14ac:dyDescent="0.2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row>
    <row r="998" spans="1:32" ht="15.75" customHeight="1" x14ac:dyDescent="0.2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row>
    <row r="999" spans="1:32" ht="15.75" customHeight="1" x14ac:dyDescent="0.2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row>
    <row r="1000" spans="1:32" ht="15.75" customHeight="1" x14ac:dyDescent="0.2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row>
  </sheetData>
  <mergeCells count="115">
    <mergeCell ref="X9:X10"/>
    <mergeCell ref="Y9:Y10"/>
    <mergeCell ref="Z9:Z10"/>
    <mergeCell ref="AA9:AA10"/>
    <mergeCell ref="AB9:AB10"/>
    <mergeCell ref="AC9:AC10"/>
    <mergeCell ref="Q9:Q10"/>
    <mergeCell ref="R9:R10"/>
    <mergeCell ref="S9:S10"/>
    <mergeCell ref="T9:T10"/>
    <mergeCell ref="U9:U10"/>
    <mergeCell ref="V9:V10"/>
    <mergeCell ref="W9:W10"/>
    <mergeCell ref="R5:R6"/>
    <mergeCell ref="S5:S6"/>
    <mergeCell ref="T5:T6"/>
    <mergeCell ref="U5:U6"/>
    <mergeCell ref="B7:K7"/>
    <mergeCell ref="Q5:Q6"/>
    <mergeCell ref="Q7:Q8"/>
    <mergeCell ref="R7:R8"/>
    <mergeCell ref="S7:S8"/>
    <mergeCell ref="T7:T8"/>
    <mergeCell ref="U7:U8"/>
    <mergeCell ref="B4:K6"/>
    <mergeCell ref="V5:V6"/>
    <mergeCell ref="W5:W6"/>
    <mergeCell ref="X5:X6"/>
    <mergeCell ref="Y5:Y6"/>
    <mergeCell ref="Z5:Z6"/>
    <mergeCell ref="AA5:AA6"/>
    <mergeCell ref="AB5:AB6"/>
    <mergeCell ref="AC5:AC6"/>
    <mergeCell ref="W7:W8"/>
    <mergeCell ref="X7:X8"/>
    <mergeCell ref="Y7:Y8"/>
    <mergeCell ref="Z7:Z8"/>
    <mergeCell ref="AA7:AA8"/>
    <mergeCell ref="AB7:AB8"/>
    <mergeCell ref="AC7:AC8"/>
    <mergeCell ref="V7:V8"/>
    <mergeCell ref="C52:E52"/>
    <mergeCell ref="F52:G52"/>
    <mergeCell ref="I52:J52"/>
    <mergeCell ref="C47:E47"/>
    <mergeCell ref="C48:E48"/>
    <mergeCell ref="F48:G48"/>
    <mergeCell ref="I48:J48"/>
    <mergeCell ref="C49:E49"/>
    <mergeCell ref="F49:G49"/>
    <mergeCell ref="I49:J49"/>
    <mergeCell ref="F47:G47"/>
    <mergeCell ref="I47:J47"/>
    <mergeCell ref="B44:H44"/>
    <mergeCell ref="C50:E50"/>
    <mergeCell ref="F50:G50"/>
    <mergeCell ref="I50:J50"/>
    <mergeCell ref="Q50:V50"/>
    <mergeCell ref="C51:E51"/>
    <mergeCell ref="F51:G51"/>
    <mergeCell ref="I51:J51"/>
    <mergeCell ref="Q51:V51"/>
    <mergeCell ref="Q45:AC45"/>
    <mergeCell ref="B46:E46"/>
    <mergeCell ref="F46:G46"/>
    <mergeCell ref="I46:J46"/>
    <mergeCell ref="B40:K40"/>
    <mergeCell ref="R40:U40"/>
    <mergeCell ref="X40:AC40"/>
    <mergeCell ref="X42:AC42"/>
    <mergeCell ref="X43:AC43"/>
    <mergeCell ref="B39:E39"/>
    <mergeCell ref="B41:E41"/>
    <mergeCell ref="Q41:V42"/>
    <mergeCell ref="X41:AC41"/>
    <mergeCell ref="B42:E42"/>
    <mergeCell ref="B43:E43"/>
    <mergeCell ref="Q43:V43"/>
    <mergeCell ref="B32:K32"/>
    <mergeCell ref="B33:E33"/>
    <mergeCell ref="Q33:AC33"/>
    <mergeCell ref="B34:E34"/>
    <mergeCell ref="B35:E35"/>
    <mergeCell ref="B36:E36"/>
    <mergeCell ref="B37:E37"/>
    <mergeCell ref="B38:E38"/>
    <mergeCell ref="X39:AC39"/>
    <mergeCell ref="R31:S31"/>
    <mergeCell ref="H27:K27"/>
    <mergeCell ref="H28:K28"/>
    <mergeCell ref="B29:K29"/>
    <mergeCell ref="R29:S29"/>
    <mergeCell ref="B30:E31"/>
    <mergeCell ref="F30:H30"/>
    <mergeCell ref="I30:I31"/>
    <mergeCell ref="J30:J31"/>
    <mergeCell ref="K30:K31"/>
    <mergeCell ref="Q14:AC14"/>
    <mergeCell ref="Q15:AC18"/>
    <mergeCell ref="Q19:AC22"/>
    <mergeCell ref="B21:C21"/>
    <mergeCell ref="Q23:AC26"/>
    <mergeCell ref="B27:F27"/>
    <mergeCell ref="B28:F28"/>
    <mergeCell ref="Q28:AC28"/>
    <mergeCell ref="R30:S30"/>
    <mergeCell ref="C18:E18"/>
    <mergeCell ref="E19:F19"/>
    <mergeCell ref="B8:K8"/>
    <mergeCell ref="B9:K9"/>
    <mergeCell ref="B10:K10"/>
    <mergeCell ref="B14:K14"/>
    <mergeCell ref="B15:K15"/>
    <mergeCell ref="C17:G17"/>
    <mergeCell ref="B11:K12"/>
  </mergeCells>
  <pageMargins left="0.47249999999999998" right="0.36166666666666669" top="0.25066666666666665" bottom="0.14399999999999999" header="0" footer="0"/>
  <pageSetup paperSize="9" fitToHeight="0"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'TERM 1 SUMMARY'!$C$15:$C$144</xm:f>
          </x14:formula1>
          <xm:sqref>C17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showGridLines="0" workbookViewId="0"/>
  </sheetViews>
  <sheetFormatPr defaultColWidth="12.6328125" defaultRowHeight="15" customHeight="1" x14ac:dyDescent="0.25"/>
  <cols>
    <col min="1" max="2" width="3.90625" customWidth="1"/>
    <col min="3" max="3" width="13.08984375" customWidth="1"/>
    <col min="4" max="5" width="12.6328125" customWidth="1"/>
    <col min="6" max="6" width="29.90625" customWidth="1"/>
    <col min="7" max="11" width="12.6328125" customWidth="1"/>
    <col min="12" max="12" width="11.90625" customWidth="1"/>
    <col min="13" max="13" width="9" customWidth="1"/>
    <col min="17" max="17" width="3.90625" customWidth="1"/>
  </cols>
  <sheetData>
    <row r="1" spans="1:26" ht="12.75" customHeight="1" x14ac:dyDescent="0.25">
      <c r="A1" s="320" t="s">
        <v>126</v>
      </c>
      <c r="B1" s="207"/>
      <c r="C1" s="207"/>
      <c r="D1" s="207"/>
      <c r="E1" s="207"/>
      <c r="F1" s="207"/>
      <c r="G1" s="207"/>
      <c r="H1" s="207"/>
      <c r="I1" s="207"/>
      <c r="J1" s="207"/>
      <c r="K1" s="207"/>
      <c r="L1" s="207"/>
      <c r="M1" s="207"/>
      <c r="N1" s="207"/>
      <c r="O1" s="207"/>
      <c r="P1" s="207"/>
      <c r="Q1" s="2"/>
      <c r="R1" s="2"/>
      <c r="S1" s="2"/>
      <c r="T1" s="2"/>
      <c r="U1" s="2"/>
      <c r="V1" s="2"/>
      <c r="W1" s="2"/>
      <c r="X1" s="2"/>
    </row>
    <row r="2" spans="1:26" ht="15.75" customHeight="1" x14ac:dyDescent="0.25">
      <c r="A2" s="207"/>
      <c r="B2" s="207"/>
      <c r="C2" s="207"/>
      <c r="D2" s="207"/>
      <c r="E2" s="207"/>
      <c r="F2" s="207"/>
      <c r="G2" s="207"/>
      <c r="H2" s="207"/>
      <c r="I2" s="207"/>
      <c r="J2" s="207"/>
      <c r="K2" s="207"/>
      <c r="L2" s="207"/>
      <c r="M2" s="207"/>
      <c r="N2" s="207"/>
      <c r="O2" s="207"/>
      <c r="P2" s="207"/>
      <c r="Q2" s="2"/>
      <c r="R2" s="2"/>
      <c r="S2" s="2"/>
      <c r="T2" s="2"/>
      <c r="U2" s="2"/>
      <c r="V2" s="2"/>
      <c r="W2" s="2"/>
      <c r="X2" s="2"/>
    </row>
    <row r="3" spans="1:26" ht="15.75" customHeight="1" x14ac:dyDescent="0.25">
      <c r="A3" s="207"/>
      <c r="B3" s="207"/>
      <c r="C3" s="207"/>
      <c r="D3" s="207"/>
      <c r="E3" s="207"/>
      <c r="F3" s="207"/>
      <c r="G3" s="207"/>
      <c r="H3" s="207"/>
      <c r="I3" s="207"/>
      <c r="J3" s="207"/>
      <c r="K3" s="207"/>
      <c r="L3" s="207"/>
      <c r="M3" s="207"/>
      <c r="N3" s="207"/>
      <c r="O3" s="207"/>
      <c r="P3" s="207"/>
      <c r="Q3" s="2"/>
      <c r="R3" s="2"/>
      <c r="S3" s="2"/>
      <c r="T3" s="2"/>
      <c r="U3" s="2"/>
      <c r="V3" s="2"/>
      <c r="W3" s="2"/>
      <c r="X3" s="2"/>
    </row>
    <row r="4" spans="1:26" ht="15.75" customHeight="1" x14ac:dyDescent="0.25">
      <c r="A4" s="207"/>
      <c r="B4" s="207"/>
      <c r="C4" s="207"/>
      <c r="D4" s="207"/>
      <c r="E4" s="207"/>
      <c r="F4" s="207"/>
      <c r="G4" s="207"/>
      <c r="H4" s="207"/>
      <c r="I4" s="207"/>
      <c r="J4" s="207"/>
      <c r="K4" s="207"/>
      <c r="L4" s="207"/>
      <c r="M4" s="207"/>
      <c r="N4" s="207"/>
      <c r="O4" s="207"/>
      <c r="P4" s="207"/>
      <c r="Q4" s="3"/>
      <c r="R4" s="3"/>
      <c r="S4" s="3"/>
      <c r="T4" s="3"/>
      <c r="U4" s="3"/>
      <c r="V4" s="3"/>
      <c r="W4" s="3"/>
      <c r="X4" s="3"/>
    </row>
    <row r="5" spans="1:26" ht="15.75" customHeight="1" x14ac:dyDescent="0.25">
      <c r="A5" s="3"/>
      <c r="B5" s="20"/>
      <c r="C5" s="2"/>
      <c r="D5" s="143" t="s">
        <v>4</v>
      </c>
      <c r="E5" s="314">
        <f>'INPUT DATA'!F10</f>
        <v>0</v>
      </c>
      <c r="F5" s="257"/>
      <c r="G5" s="143"/>
      <c r="H5" s="143" t="s">
        <v>5</v>
      </c>
      <c r="I5" s="314">
        <f>'INPUT DATA'!F11</f>
        <v>0</v>
      </c>
      <c r="J5" s="256"/>
      <c r="K5" s="257"/>
      <c r="L5" s="19"/>
      <c r="M5" s="19"/>
      <c r="N5" s="19"/>
      <c r="O5" s="19"/>
      <c r="P5" s="3"/>
      <c r="Q5" s="3"/>
      <c r="R5" s="3"/>
      <c r="S5" s="3"/>
      <c r="T5" s="3"/>
      <c r="U5" s="3"/>
      <c r="V5" s="3"/>
      <c r="W5" s="3"/>
      <c r="X5" s="3"/>
    </row>
    <row r="6" spans="1:26" ht="3.75" customHeight="1" x14ac:dyDescent="0.25">
      <c r="A6" s="3"/>
      <c r="B6" s="20"/>
      <c r="C6" s="148"/>
      <c r="D6" s="143"/>
      <c r="E6" s="321"/>
      <c r="F6" s="207"/>
      <c r="G6" s="207"/>
      <c r="H6" s="143"/>
      <c r="I6" s="310"/>
      <c r="J6" s="207"/>
      <c r="K6" s="21"/>
      <c r="L6" s="313"/>
      <c r="M6" s="207"/>
      <c r="N6" s="318"/>
      <c r="O6" s="207"/>
      <c r="P6" s="59"/>
      <c r="Q6" s="3"/>
      <c r="R6" s="3"/>
      <c r="S6" s="3"/>
      <c r="T6" s="3"/>
      <c r="U6" s="3"/>
      <c r="V6" s="3"/>
      <c r="W6" s="3"/>
      <c r="X6" s="3"/>
    </row>
    <row r="7" spans="1:26" ht="15.75" customHeight="1" x14ac:dyDescent="0.25">
      <c r="A7" s="3"/>
      <c r="B7" s="20"/>
      <c r="C7" s="21"/>
      <c r="D7" s="143" t="s">
        <v>7</v>
      </c>
      <c r="E7" s="314">
        <f>'INPUT DATA'!F16</f>
        <v>0</v>
      </c>
      <c r="F7" s="256"/>
      <c r="G7" s="257"/>
      <c r="H7" s="143" t="s">
        <v>8</v>
      </c>
      <c r="I7" s="311">
        <f>'INPUT DATA'!F15</f>
        <v>0</v>
      </c>
      <c r="J7" s="257"/>
      <c r="K7" s="21"/>
      <c r="L7" s="313" t="s">
        <v>10</v>
      </c>
      <c r="M7" s="207"/>
      <c r="N7" s="314">
        <f>'INPUT DATA'!F18</f>
        <v>0</v>
      </c>
      <c r="O7" s="257"/>
      <c r="P7" s="3"/>
      <c r="Q7" s="3"/>
      <c r="R7" s="3"/>
      <c r="S7" s="3"/>
      <c r="T7" s="3"/>
      <c r="U7" s="3"/>
      <c r="V7" s="3"/>
      <c r="W7" s="3"/>
      <c r="X7" s="3"/>
    </row>
    <row r="8" spans="1:26" ht="15.75" customHeight="1" x14ac:dyDescent="0.25">
      <c r="A8" s="3"/>
      <c r="B8" s="20"/>
      <c r="C8" s="21"/>
      <c r="D8" s="143"/>
      <c r="E8" s="2"/>
      <c r="F8" s="2"/>
      <c r="G8" s="2"/>
      <c r="H8" s="143"/>
      <c r="I8" s="157"/>
      <c r="J8" s="157"/>
      <c r="K8" s="21"/>
      <c r="L8" s="143"/>
      <c r="M8" s="143"/>
      <c r="N8" s="3"/>
      <c r="O8" s="3"/>
      <c r="P8" s="3"/>
      <c r="Q8" s="3"/>
      <c r="R8" s="3"/>
      <c r="S8" s="3"/>
      <c r="T8" s="3"/>
      <c r="U8" s="3"/>
      <c r="V8" s="3"/>
      <c r="W8" s="3"/>
      <c r="X8" s="3"/>
      <c r="Y8" s="19"/>
      <c r="Z8" s="19"/>
    </row>
    <row r="9" spans="1:26" ht="15.75" customHeight="1" x14ac:dyDescent="0.25">
      <c r="A9" s="3"/>
      <c r="B9" s="268"/>
      <c r="C9" s="256"/>
      <c r="D9" s="256"/>
      <c r="E9" s="256"/>
      <c r="F9" s="256"/>
      <c r="G9" s="256"/>
      <c r="H9" s="256"/>
      <c r="I9" s="256"/>
      <c r="J9" s="256"/>
      <c r="K9" s="256"/>
      <c r="L9" s="256"/>
      <c r="M9" s="256"/>
      <c r="N9" s="256"/>
      <c r="O9" s="256"/>
      <c r="P9" s="257"/>
      <c r="Q9" s="3"/>
      <c r="R9" s="3"/>
      <c r="S9" s="3"/>
      <c r="T9" s="3"/>
      <c r="U9" s="3"/>
      <c r="V9" s="3"/>
      <c r="W9" s="3"/>
      <c r="X9" s="3"/>
    </row>
    <row r="10" spans="1:26" ht="15.75" customHeight="1" x14ac:dyDescent="0.25">
      <c r="A10" s="2"/>
      <c r="B10" s="322" t="s">
        <v>20</v>
      </c>
      <c r="C10" s="207"/>
      <c r="D10" s="207"/>
      <c r="E10" s="234"/>
      <c r="F10" s="162" t="s">
        <v>15</v>
      </c>
      <c r="G10" s="315">
        <f>'INPUT DATA'!F27</f>
        <v>0</v>
      </c>
      <c r="H10" s="236"/>
      <c r="I10" s="236"/>
      <c r="J10" s="236"/>
      <c r="K10" s="312" t="s">
        <v>19</v>
      </c>
      <c r="L10" s="316">
        <f>'INPUT DATA'!F26</f>
        <v>0</v>
      </c>
      <c r="M10" s="204"/>
      <c r="N10" s="204"/>
      <c r="O10" s="204"/>
      <c r="P10" s="317"/>
      <c r="Q10" s="2"/>
      <c r="R10" s="2"/>
      <c r="S10" s="2"/>
      <c r="T10" s="2"/>
      <c r="U10" s="2"/>
      <c r="V10" s="2"/>
      <c r="W10" s="2"/>
      <c r="X10" s="2"/>
    </row>
    <row r="11" spans="1:26" ht="15.75" customHeight="1" x14ac:dyDescent="0.25">
      <c r="A11" s="2"/>
      <c r="B11" s="233"/>
      <c r="C11" s="207"/>
      <c r="D11" s="207"/>
      <c r="E11" s="234"/>
      <c r="F11" s="166" t="s">
        <v>16</v>
      </c>
      <c r="G11" s="318">
        <f>'INPUT DATA'!F28</f>
        <v>0</v>
      </c>
      <c r="H11" s="207"/>
      <c r="I11" s="207"/>
      <c r="J11" s="207"/>
      <c r="K11" s="263"/>
      <c r="L11" s="235"/>
      <c r="M11" s="236"/>
      <c r="N11" s="236"/>
      <c r="O11" s="236"/>
      <c r="P11" s="237"/>
      <c r="Q11" s="2"/>
      <c r="R11" s="2"/>
      <c r="S11" s="2"/>
      <c r="T11" s="2"/>
      <c r="U11" s="2"/>
      <c r="V11" s="2"/>
      <c r="W11" s="2"/>
      <c r="X11" s="2"/>
    </row>
    <row r="12" spans="1:26" ht="15.75" customHeight="1" x14ac:dyDescent="0.25">
      <c r="A12" s="3"/>
      <c r="B12" s="235"/>
      <c r="C12" s="236"/>
      <c r="D12" s="236"/>
      <c r="E12" s="237"/>
      <c r="F12" s="168" t="s">
        <v>163</v>
      </c>
      <c r="G12" s="168" t="s">
        <v>165</v>
      </c>
      <c r="H12" s="168" t="s">
        <v>167</v>
      </c>
      <c r="I12" s="168" t="s">
        <v>168</v>
      </c>
      <c r="J12" s="168" t="s">
        <v>169</v>
      </c>
      <c r="K12" s="168" t="s">
        <v>171</v>
      </c>
      <c r="L12" s="169" t="s">
        <v>172</v>
      </c>
      <c r="M12" s="169" t="s">
        <v>175</v>
      </c>
      <c r="N12" s="168" t="s">
        <v>176</v>
      </c>
      <c r="O12" s="168" t="s">
        <v>177</v>
      </c>
      <c r="P12" s="168" t="s">
        <v>179</v>
      </c>
      <c r="Q12" s="3"/>
      <c r="R12" s="3"/>
      <c r="S12" s="3"/>
      <c r="T12" s="3"/>
      <c r="U12" s="3"/>
      <c r="V12" s="3"/>
      <c r="W12" s="3"/>
      <c r="X12" s="3"/>
    </row>
    <row r="13" spans="1:26" ht="15.75" customHeight="1" x14ac:dyDescent="0.25">
      <c r="A13" s="3"/>
      <c r="B13" s="319" t="s">
        <v>9</v>
      </c>
      <c r="C13" s="256"/>
      <c r="D13" s="256"/>
      <c r="E13" s="256"/>
      <c r="F13" s="256"/>
      <c r="G13" s="256"/>
      <c r="H13" s="256"/>
      <c r="I13" s="256"/>
      <c r="J13" s="256"/>
      <c r="K13" s="256"/>
      <c r="L13" s="256"/>
      <c r="M13" s="256"/>
      <c r="N13" s="256"/>
      <c r="O13" s="256"/>
      <c r="P13" s="257"/>
      <c r="Q13" s="3"/>
      <c r="R13" s="3"/>
      <c r="S13" s="3"/>
      <c r="T13" s="3"/>
      <c r="U13" s="3"/>
      <c r="V13" s="3"/>
      <c r="W13" s="3"/>
      <c r="X13" s="3"/>
    </row>
    <row r="14" spans="1:26" ht="15.75" customHeight="1" x14ac:dyDescent="0.25">
      <c r="A14" s="3"/>
      <c r="B14" s="171">
        <v>1</v>
      </c>
      <c r="C14" s="323" t="str">
        <f>IF('INPUT DATA'!L11="","",'INPUT DATA'!L11)</f>
        <v/>
      </c>
      <c r="D14" s="282"/>
      <c r="E14" s="324"/>
      <c r="F14" s="174"/>
      <c r="G14" s="176"/>
      <c r="H14" s="176"/>
      <c r="I14" s="176"/>
      <c r="J14" s="176"/>
      <c r="K14" s="176"/>
      <c r="L14" s="176"/>
      <c r="M14" s="176"/>
      <c r="N14" s="176"/>
      <c r="O14" s="176"/>
      <c r="P14" s="181"/>
      <c r="Q14" s="3"/>
      <c r="R14" s="3"/>
      <c r="S14" s="3"/>
      <c r="T14" s="3"/>
      <c r="U14" s="3"/>
      <c r="V14" s="3"/>
      <c r="W14" s="3"/>
      <c r="X14" s="3"/>
    </row>
    <row r="15" spans="1:26" ht="15.75" customHeight="1" x14ac:dyDescent="0.25">
      <c r="A15" s="3"/>
      <c r="B15" s="182">
        <v>2</v>
      </c>
      <c r="C15" s="323" t="str">
        <f>IF('INPUT DATA'!L12="","",'INPUT DATA'!L12)</f>
        <v/>
      </c>
      <c r="D15" s="282"/>
      <c r="E15" s="324"/>
      <c r="F15" s="185"/>
      <c r="G15" s="186"/>
      <c r="H15" s="186"/>
      <c r="I15" s="186"/>
      <c r="J15" s="186"/>
      <c r="K15" s="186"/>
      <c r="L15" s="186"/>
      <c r="M15" s="186"/>
      <c r="N15" s="186"/>
      <c r="O15" s="186"/>
      <c r="P15" s="187"/>
      <c r="Q15" s="3"/>
      <c r="R15" s="3"/>
      <c r="S15" s="3"/>
      <c r="T15" s="3"/>
      <c r="U15" s="3"/>
      <c r="V15" s="3"/>
      <c r="W15" s="3"/>
      <c r="X15" s="3"/>
    </row>
    <row r="16" spans="1:26" ht="15.75" customHeight="1" x14ac:dyDescent="0.25">
      <c r="A16" s="3"/>
      <c r="B16" s="182">
        <v>3</v>
      </c>
      <c r="C16" s="323" t="str">
        <f>IF('INPUT DATA'!L13="","",'INPUT DATA'!L13)</f>
        <v/>
      </c>
      <c r="D16" s="282"/>
      <c r="E16" s="324"/>
      <c r="F16" s="186"/>
      <c r="G16" s="186"/>
      <c r="H16" s="186"/>
      <c r="I16" s="186"/>
      <c r="J16" s="186"/>
      <c r="K16" s="186"/>
      <c r="L16" s="186"/>
      <c r="M16" s="186"/>
      <c r="N16" s="186"/>
      <c r="O16" s="186"/>
      <c r="P16" s="187"/>
      <c r="Q16" s="3"/>
      <c r="R16" s="3"/>
      <c r="S16" s="3"/>
      <c r="T16" s="3"/>
      <c r="U16" s="3"/>
      <c r="V16" s="3"/>
      <c r="W16" s="3"/>
      <c r="X16" s="3"/>
    </row>
    <row r="17" spans="1:24" ht="15.75" customHeight="1" x14ac:dyDescent="0.25">
      <c r="A17" s="3"/>
      <c r="B17" s="182">
        <v>4</v>
      </c>
      <c r="C17" s="323" t="str">
        <f>IF('INPUT DATA'!L14="","",'INPUT DATA'!L14)</f>
        <v/>
      </c>
      <c r="D17" s="282"/>
      <c r="E17" s="324"/>
      <c r="F17" s="185"/>
      <c r="G17" s="186"/>
      <c r="H17" s="186"/>
      <c r="I17" s="186"/>
      <c r="J17" s="186"/>
      <c r="K17" s="186"/>
      <c r="L17" s="186"/>
      <c r="M17" s="186"/>
      <c r="N17" s="186"/>
      <c r="O17" s="186"/>
      <c r="P17" s="187"/>
      <c r="Q17" s="3"/>
      <c r="R17" s="3"/>
      <c r="S17" s="3"/>
      <c r="T17" s="3"/>
      <c r="U17" s="3"/>
      <c r="V17" s="3"/>
      <c r="W17" s="3"/>
      <c r="X17" s="3"/>
    </row>
    <row r="18" spans="1:24" ht="15.75" customHeight="1" x14ac:dyDescent="0.25">
      <c r="A18" s="3"/>
      <c r="B18" s="182">
        <v>5</v>
      </c>
      <c r="C18" s="323" t="str">
        <f>IF('INPUT DATA'!L15="","",'INPUT DATA'!L15)</f>
        <v/>
      </c>
      <c r="D18" s="282"/>
      <c r="E18" s="324"/>
      <c r="F18" s="185"/>
      <c r="G18" s="186"/>
      <c r="H18" s="186"/>
      <c r="I18" s="186"/>
      <c r="J18" s="186"/>
      <c r="K18" s="186"/>
      <c r="L18" s="186"/>
      <c r="M18" s="186"/>
      <c r="N18" s="186"/>
      <c r="O18" s="186"/>
      <c r="P18" s="187"/>
      <c r="Q18" s="3"/>
      <c r="R18" s="3"/>
      <c r="S18" s="3"/>
      <c r="T18" s="3"/>
      <c r="U18" s="3"/>
      <c r="V18" s="3"/>
      <c r="W18" s="3"/>
      <c r="X18" s="3"/>
    </row>
    <row r="19" spans="1:24" ht="15.75" customHeight="1" x14ac:dyDescent="0.25">
      <c r="A19" s="3"/>
      <c r="B19" s="182">
        <v>6</v>
      </c>
      <c r="C19" s="323" t="str">
        <f>IF('INPUT DATA'!L16="","",'INPUT DATA'!L16)</f>
        <v/>
      </c>
      <c r="D19" s="282"/>
      <c r="E19" s="324"/>
      <c r="F19" s="185"/>
      <c r="G19" s="186"/>
      <c r="H19" s="186"/>
      <c r="I19" s="186"/>
      <c r="J19" s="186"/>
      <c r="K19" s="186"/>
      <c r="L19" s="186"/>
      <c r="M19" s="186"/>
      <c r="N19" s="186"/>
      <c r="O19" s="186"/>
      <c r="P19" s="187"/>
      <c r="Q19" s="3"/>
      <c r="R19" s="3"/>
      <c r="S19" s="3"/>
      <c r="T19" s="3"/>
      <c r="U19" s="3"/>
      <c r="V19" s="3"/>
      <c r="W19" s="3"/>
      <c r="X19" s="3"/>
    </row>
    <row r="20" spans="1:24" ht="15.75" customHeight="1" x14ac:dyDescent="0.25">
      <c r="A20" s="3"/>
      <c r="B20" s="182">
        <v>7</v>
      </c>
      <c r="C20" s="323" t="str">
        <f>IF('INPUT DATA'!L17="","",'INPUT DATA'!L17)</f>
        <v/>
      </c>
      <c r="D20" s="282"/>
      <c r="E20" s="324"/>
      <c r="F20" s="185"/>
      <c r="G20" s="186"/>
      <c r="H20" s="186"/>
      <c r="I20" s="186"/>
      <c r="J20" s="186"/>
      <c r="K20" s="186"/>
      <c r="L20" s="186"/>
      <c r="M20" s="186"/>
      <c r="N20" s="186"/>
      <c r="O20" s="186"/>
      <c r="P20" s="187"/>
      <c r="Q20" s="3"/>
      <c r="R20" s="3"/>
      <c r="S20" s="3"/>
      <c r="T20" s="3"/>
      <c r="U20" s="3"/>
      <c r="V20" s="3"/>
      <c r="W20" s="3"/>
      <c r="X20" s="3"/>
    </row>
    <row r="21" spans="1:24" ht="15.75" customHeight="1" x14ac:dyDescent="0.25">
      <c r="A21" s="3"/>
      <c r="B21" s="182">
        <v>8</v>
      </c>
      <c r="C21" s="323" t="str">
        <f>IF('INPUT DATA'!L18="","",'INPUT DATA'!L18)</f>
        <v/>
      </c>
      <c r="D21" s="282"/>
      <c r="E21" s="324"/>
      <c r="F21" s="185"/>
      <c r="G21" s="186"/>
      <c r="H21" s="186"/>
      <c r="I21" s="186"/>
      <c r="J21" s="186"/>
      <c r="K21" s="186"/>
      <c r="L21" s="186"/>
      <c r="M21" s="186"/>
      <c r="N21" s="186"/>
      <c r="O21" s="186"/>
      <c r="P21" s="187"/>
      <c r="Q21" s="3"/>
      <c r="R21" s="3"/>
      <c r="S21" s="3"/>
      <c r="T21" s="3"/>
      <c r="U21" s="3"/>
      <c r="V21" s="3"/>
      <c r="W21" s="3"/>
      <c r="X21" s="3"/>
    </row>
    <row r="22" spans="1:24" ht="15.75" customHeight="1" x14ac:dyDescent="0.25">
      <c r="A22" s="3"/>
      <c r="B22" s="182">
        <v>9</v>
      </c>
      <c r="C22" s="323" t="str">
        <f>IF('INPUT DATA'!L19="","",'INPUT DATA'!L19)</f>
        <v/>
      </c>
      <c r="D22" s="282"/>
      <c r="E22" s="324"/>
      <c r="F22" s="185"/>
      <c r="G22" s="186"/>
      <c r="H22" s="186"/>
      <c r="I22" s="186"/>
      <c r="J22" s="186"/>
      <c r="K22" s="186"/>
      <c r="L22" s="186"/>
      <c r="M22" s="186"/>
      <c r="N22" s="186"/>
      <c r="O22" s="186"/>
      <c r="P22" s="187"/>
      <c r="Q22" s="3"/>
      <c r="R22" s="3"/>
      <c r="S22" s="3"/>
      <c r="T22" s="3"/>
      <c r="U22" s="3"/>
      <c r="V22" s="3"/>
      <c r="W22" s="3"/>
      <c r="X22" s="3"/>
    </row>
    <row r="23" spans="1:24" ht="15.75" customHeight="1" x14ac:dyDescent="0.25">
      <c r="A23" s="3"/>
      <c r="B23" s="182">
        <v>10</v>
      </c>
      <c r="C23" s="323" t="str">
        <f>IF('INPUT DATA'!L20="","",'INPUT DATA'!L20)</f>
        <v/>
      </c>
      <c r="D23" s="282"/>
      <c r="E23" s="324"/>
      <c r="F23" s="185"/>
      <c r="G23" s="186"/>
      <c r="H23" s="186"/>
      <c r="I23" s="186"/>
      <c r="J23" s="186"/>
      <c r="K23" s="186"/>
      <c r="L23" s="186"/>
      <c r="M23" s="186"/>
      <c r="N23" s="186"/>
      <c r="O23" s="186"/>
      <c r="P23" s="187"/>
      <c r="Q23" s="3"/>
      <c r="R23" s="3"/>
      <c r="S23" s="3"/>
      <c r="T23" s="3"/>
      <c r="U23" s="3"/>
      <c r="V23" s="3"/>
      <c r="W23" s="3"/>
      <c r="X23" s="3"/>
    </row>
    <row r="24" spans="1:24" ht="15.75" customHeight="1" x14ac:dyDescent="0.25">
      <c r="A24" s="3"/>
      <c r="B24" s="182">
        <v>11</v>
      </c>
      <c r="C24" s="323" t="str">
        <f>IF('INPUT DATA'!L21="","",'INPUT DATA'!L21)</f>
        <v/>
      </c>
      <c r="D24" s="282"/>
      <c r="E24" s="324"/>
      <c r="F24" s="185"/>
      <c r="G24" s="186"/>
      <c r="H24" s="186"/>
      <c r="I24" s="186"/>
      <c r="J24" s="186"/>
      <c r="K24" s="186"/>
      <c r="L24" s="186"/>
      <c r="M24" s="186"/>
      <c r="N24" s="186"/>
      <c r="O24" s="186"/>
      <c r="P24" s="187"/>
      <c r="Q24" s="3"/>
      <c r="R24" s="3"/>
      <c r="S24" s="3"/>
      <c r="T24" s="3"/>
      <c r="U24" s="3"/>
      <c r="V24" s="3"/>
      <c r="W24" s="3"/>
      <c r="X24" s="3"/>
    </row>
    <row r="25" spans="1:24" ht="15.75" customHeight="1" x14ac:dyDescent="0.25">
      <c r="A25" s="3"/>
      <c r="B25" s="182">
        <v>12</v>
      </c>
      <c r="C25" s="323" t="str">
        <f>IF('INPUT DATA'!L22="","",'INPUT DATA'!L22)</f>
        <v/>
      </c>
      <c r="D25" s="282"/>
      <c r="E25" s="324"/>
      <c r="F25" s="185"/>
      <c r="G25" s="186"/>
      <c r="H25" s="186"/>
      <c r="I25" s="186"/>
      <c r="J25" s="186"/>
      <c r="K25" s="186"/>
      <c r="L25" s="186"/>
      <c r="M25" s="186"/>
      <c r="N25" s="186"/>
      <c r="O25" s="186"/>
      <c r="P25" s="187"/>
      <c r="Q25" s="3"/>
      <c r="R25" s="3"/>
      <c r="S25" s="3"/>
      <c r="T25" s="3"/>
      <c r="U25" s="3"/>
      <c r="V25" s="3"/>
      <c r="W25" s="3"/>
      <c r="X25" s="3"/>
    </row>
    <row r="26" spans="1:24" ht="15.75" customHeight="1" x14ac:dyDescent="0.25">
      <c r="A26" s="3"/>
      <c r="B26" s="182">
        <v>13</v>
      </c>
      <c r="C26" s="323" t="str">
        <f>IF('INPUT DATA'!L23="","",'INPUT DATA'!L23)</f>
        <v/>
      </c>
      <c r="D26" s="282"/>
      <c r="E26" s="324"/>
      <c r="F26" s="185"/>
      <c r="G26" s="186"/>
      <c r="H26" s="186"/>
      <c r="I26" s="186"/>
      <c r="J26" s="186"/>
      <c r="K26" s="186"/>
      <c r="L26" s="186"/>
      <c r="M26" s="186"/>
      <c r="N26" s="186"/>
      <c r="O26" s="186"/>
      <c r="P26" s="187"/>
      <c r="Q26" s="3"/>
      <c r="R26" s="3"/>
      <c r="S26" s="3"/>
      <c r="T26" s="3"/>
      <c r="U26" s="3"/>
      <c r="V26" s="3"/>
      <c r="W26" s="3"/>
      <c r="X26" s="3"/>
    </row>
    <row r="27" spans="1:24" ht="15.75" customHeight="1" x14ac:dyDescent="0.25">
      <c r="A27" s="3"/>
      <c r="B27" s="182">
        <v>14</v>
      </c>
      <c r="C27" s="323" t="str">
        <f>IF('INPUT DATA'!L24="","",'INPUT DATA'!L24)</f>
        <v/>
      </c>
      <c r="D27" s="282"/>
      <c r="E27" s="324"/>
      <c r="F27" s="185"/>
      <c r="G27" s="186"/>
      <c r="H27" s="186"/>
      <c r="I27" s="186"/>
      <c r="J27" s="186"/>
      <c r="K27" s="186"/>
      <c r="L27" s="186"/>
      <c r="M27" s="186"/>
      <c r="N27" s="186"/>
      <c r="O27" s="186"/>
      <c r="P27" s="187"/>
      <c r="Q27" s="3"/>
      <c r="R27" s="3"/>
      <c r="S27" s="3"/>
      <c r="T27" s="3"/>
      <c r="U27" s="3"/>
      <c r="V27" s="3"/>
      <c r="W27" s="3"/>
      <c r="X27" s="3"/>
    </row>
    <row r="28" spans="1:24" ht="15.75" customHeight="1" x14ac:dyDescent="0.25">
      <c r="A28" s="3"/>
      <c r="B28" s="182">
        <v>15</v>
      </c>
      <c r="C28" s="323" t="str">
        <f>IF('INPUT DATA'!L25="","",'INPUT DATA'!L25)</f>
        <v/>
      </c>
      <c r="D28" s="282"/>
      <c r="E28" s="324"/>
      <c r="F28" s="185"/>
      <c r="G28" s="186"/>
      <c r="H28" s="186"/>
      <c r="I28" s="186"/>
      <c r="J28" s="186"/>
      <c r="K28" s="186"/>
      <c r="L28" s="186"/>
      <c r="M28" s="186"/>
      <c r="N28" s="186"/>
      <c r="O28" s="186"/>
      <c r="P28" s="187"/>
      <c r="Q28" s="3"/>
      <c r="R28" s="3"/>
      <c r="S28" s="3"/>
      <c r="T28" s="3"/>
      <c r="U28" s="3"/>
      <c r="V28" s="3"/>
      <c r="W28" s="3"/>
      <c r="X28" s="3"/>
    </row>
    <row r="29" spans="1:24" ht="15.75" customHeight="1" x14ac:dyDescent="0.25">
      <c r="A29" s="3"/>
      <c r="B29" s="182">
        <v>16</v>
      </c>
      <c r="C29" s="323" t="str">
        <f>IF('INPUT DATA'!L26="","",'INPUT DATA'!L26)</f>
        <v/>
      </c>
      <c r="D29" s="282"/>
      <c r="E29" s="324"/>
      <c r="F29" s="185"/>
      <c r="G29" s="186"/>
      <c r="H29" s="186"/>
      <c r="I29" s="186"/>
      <c r="J29" s="186"/>
      <c r="K29" s="186"/>
      <c r="L29" s="186"/>
      <c r="M29" s="186"/>
      <c r="N29" s="186"/>
      <c r="O29" s="186"/>
      <c r="P29" s="187"/>
      <c r="Q29" s="3"/>
      <c r="R29" s="3"/>
      <c r="S29" s="3"/>
      <c r="T29" s="3"/>
      <c r="U29" s="3"/>
      <c r="V29" s="3"/>
      <c r="W29" s="3"/>
      <c r="X29" s="3"/>
    </row>
    <row r="30" spans="1:24" ht="15.75" customHeight="1" x14ac:dyDescent="0.25">
      <c r="A30" s="3"/>
      <c r="B30" s="182">
        <v>17</v>
      </c>
      <c r="C30" s="323" t="str">
        <f>IF('INPUT DATA'!L27="","",'INPUT DATA'!L27)</f>
        <v/>
      </c>
      <c r="D30" s="282"/>
      <c r="E30" s="324"/>
      <c r="F30" s="185"/>
      <c r="G30" s="186"/>
      <c r="H30" s="186"/>
      <c r="I30" s="186"/>
      <c r="J30" s="186"/>
      <c r="K30" s="186"/>
      <c r="L30" s="186"/>
      <c r="M30" s="186"/>
      <c r="N30" s="186"/>
      <c r="O30" s="186"/>
      <c r="P30" s="187"/>
      <c r="Q30" s="3"/>
      <c r="R30" s="3"/>
      <c r="S30" s="3"/>
      <c r="T30" s="3"/>
      <c r="U30" s="3"/>
      <c r="V30" s="3"/>
      <c r="W30" s="3"/>
      <c r="X30" s="3"/>
    </row>
    <row r="31" spans="1:24" ht="15.75" customHeight="1" x14ac:dyDescent="0.25">
      <c r="A31" s="3"/>
      <c r="B31" s="182">
        <v>18</v>
      </c>
      <c r="C31" s="323" t="str">
        <f>IF('INPUT DATA'!L28="","",'INPUT DATA'!L28)</f>
        <v/>
      </c>
      <c r="D31" s="282"/>
      <c r="E31" s="324"/>
      <c r="F31" s="185"/>
      <c r="G31" s="186"/>
      <c r="H31" s="186"/>
      <c r="I31" s="186"/>
      <c r="J31" s="186"/>
      <c r="K31" s="186"/>
      <c r="L31" s="186"/>
      <c r="M31" s="186"/>
      <c r="N31" s="186"/>
      <c r="O31" s="186"/>
      <c r="P31" s="187"/>
      <c r="Q31" s="3"/>
      <c r="R31" s="3"/>
      <c r="S31" s="3"/>
      <c r="T31" s="3"/>
      <c r="U31" s="3"/>
      <c r="V31" s="3"/>
      <c r="W31" s="3"/>
      <c r="X31" s="3"/>
    </row>
    <row r="32" spans="1:24" ht="15.75" customHeight="1" x14ac:dyDescent="0.25">
      <c r="A32" s="3"/>
      <c r="B32" s="182">
        <v>19</v>
      </c>
      <c r="C32" s="323" t="str">
        <f>IF('INPUT DATA'!L29="","",'INPUT DATA'!L29)</f>
        <v/>
      </c>
      <c r="D32" s="282"/>
      <c r="E32" s="324"/>
      <c r="F32" s="185"/>
      <c r="G32" s="186"/>
      <c r="H32" s="186"/>
      <c r="I32" s="186"/>
      <c r="J32" s="186"/>
      <c r="K32" s="186"/>
      <c r="L32" s="186"/>
      <c r="M32" s="186"/>
      <c r="N32" s="186"/>
      <c r="O32" s="186"/>
      <c r="P32" s="187"/>
      <c r="Q32" s="3"/>
      <c r="R32" s="3"/>
      <c r="S32" s="3"/>
      <c r="T32" s="3"/>
      <c r="U32" s="3"/>
      <c r="V32" s="3"/>
      <c r="W32" s="3"/>
      <c r="X32" s="3"/>
    </row>
    <row r="33" spans="1:24" ht="15.75" customHeight="1" x14ac:dyDescent="0.25">
      <c r="A33" s="3"/>
      <c r="B33" s="192">
        <v>20</v>
      </c>
      <c r="C33" s="323" t="str">
        <f>IF('INPUT DATA'!L30="","",'INPUT DATA'!L30)</f>
        <v/>
      </c>
      <c r="D33" s="282"/>
      <c r="E33" s="324"/>
      <c r="F33" s="185"/>
      <c r="G33" s="186"/>
      <c r="H33" s="186"/>
      <c r="I33" s="186"/>
      <c r="J33" s="186"/>
      <c r="K33" s="186"/>
      <c r="L33" s="186"/>
      <c r="M33" s="186"/>
      <c r="N33" s="186"/>
      <c r="O33" s="186"/>
      <c r="P33" s="187"/>
      <c r="Q33" s="3"/>
      <c r="R33" s="3"/>
      <c r="S33" s="3"/>
      <c r="T33" s="3"/>
      <c r="U33" s="3"/>
      <c r="V33" s="3"/>
      <c r="W33" s="3"/>
      <c r="X33" s="3"/>
    </row>
    <row r="34" spans="1:24" ht="15.75" customHeight="1" x14ac:dyDescent="0.25">
      <c r="A34" s="3"/>
      <c r="B34" s="192">
        <v>21</v>
      </c>
      <c r="C34" s="323" t="str">
        <f>IF('INPUT DATA'!L31="","",'INPUT DATA'!L31)</f>
        <v/>
      </c>
      <c r="D34" s="282"/>
      <c r="E34" s="324"/>
      <c r="F34" s="185"/>
      <c r="G34" s="186"/>
      <c r="H34" s="186"/>
      <c r="I34" s="186"/>
      <c r="J34" s="186"/>
      <c r="K34" s="186"/>
      <c r="L34" s="186"/>
      <c r="M34" s="186"/>
      <c r="N34" s="186"/>
      <c r="O34" s="186"/>
      <c r="P34" s="187"/>
      <c r="Q34" s="3"/>
      <c r="R34" s="3"/>
      <c r="S34" s="3"/>
      <c r="T34" s="3"/>
      <c r="U34" s="3"/>
      <c r="V34" s="3"/>
      <c r="W34" s="3"/>
      <c r="X34" s="3"/>
    </row>
    <row r="35" spans="1:24" ht="15.75" customHeight="1" x14ac:dyDescent="0.25">
      <c r="A35" s="3"/>
      <c r="B35" s="192">
        <v>22</v>
      </c>
      <c r="C35" s="323" t="str">
        <f>IF('INPUT DATA'!L32="","",'INPUT DATA'!L32)</f>
        <v/>
      </c>
      <c r="D35" s="282"/>
      <c r="E35" s="324"/>
      <c r="F35" s="185"/>
      <c r="G35" s="186"/>
      <c r="H35" s="186"/>
      <c r="I35" s="186"/>
      <c r="J35" s="186"/>
      <c r="K35" s="186"/>
      <c r="L35" s="186"/>
      <c r="M35" s="186"/>
      <c r="N35" s="186"/>
      <c r="O35" s="186"/>
      <c r="P35" s="187"/>
      <c r="Q35" s="3"/>
      <c r="R35" s="3"/>
      <c r="S35" s="3"/>
      <c r="T35" s="3"/>
      <c r="U35" s="3"/>
      <c r="V35" s="3"/>
      <c r="W35" s="3"/>
      <c r="X35" s="3"/>
    </row>
    <row r="36" spans="1:24" ht="15.75" customHeight="1" x14ac:dyDescent="0.25">
      <c r="A36" s="3"/>
      <c r="B36" s="192">
        <v>23</v>
      </c>
      <c r="C36" s="323" t="str">
        <f>IF('INPUT DATA'!L33="","",'INPUT DATA'!L33)</f>
        <v/>
      </c>
      <c r="D36" s="282"/>
      <c r="E36" s="324"/>
      <c r="F36" s="185"/>
      <c r="G36" s="186"/>
      <c r="H36" s="186"/>
      <c r="I36" s="186"/>
      <c r="J36" s="186"/>
      <c r="K36" s="186"/>
      <c r="L36" s="186"/>
      <c r="M36" s="186"/>
      <c r="N36" s="186"/>
      <c r="O36" s="186"/>
      <c r="P36" s="187"/>
      <c r="Q36" s="3"/>
      <c r="R36" s="3"/>
      <c r="S36" s="3"/>
      <c r="T36" s="3"/>
      <c r="U36" s="3"/>
      <c r="V36" s="3"/>
      <c r="W36" s="3"/>
      <c r="X36" s="3"/>
    </row>
    <row r="37" spans="1:24" ht="15.75" customHeight="1" x14ac:dyDescent="0.25">
      <c r="A37" s="3"/>
      <c r="B37" s="192">
        <v>24</v>
      </c>
      <c r="C37" s="323" t="str">
        <f>IF('INPUT DATA'!L34="","",'INPUT DATA'!L34)</f>
        <v/>
      </c>
      <c r="D37" s="282"/>
      <c r="E37" s="324"/>
      <c r="F37" s="185"/>
      <c r="G37" s="186"/>
      <c r="H37" s="186"/>
      <c r="I37" s="186"/>
      <c r="J37" s="186"/>
      <c r="K37" s="186"/>
      <c r="L37" s="186"/>
      <c r="M37" s="186"/>
      <c r="N37" s="186"/>
      <c r="O37" s="186"/>
      <c r="P37" s="187"/>
      <c r="Q37" s="3"/>
      <c r="R37" s="3"/>
      <c r="S37" s="3"/>
      <c r="T37" s="3"/>
      <c r="U37" s="3"/>
      <c r="V37" s="3"/>
      <c r="W37" s="3"/>
      <c r="X37" s="3"/>
    </row>
    <row r="38" spans="1:24" ht="15.75" customHeight="1" x14ac:dyDescent="0.25">
      <c r="A38" s="3"/>
      <c r="B38" s="192">
        <v>25</v>
      </c>
      <c r="C38" s="323" t="str">
        <f>IF('INPUT DATA'!L35="","",'INPUT DATA'!L35)</f>
        <v/>
      </c>
      <c r="D38" s="282"/>
      <c r="E38" s="324"/>
      <c r="F38" s="185"/>
      <c r="G38" s="186"/>
      <c r="H38" s="186"/>
      <c r="I38" s="186"/>
      <c r="J38" s="186"/>
      <c r="K38" s="186"/>
      <c r="L38" s="186"/>
      <c r="M38" s="186"/>
      <c r="N38" s="186"/>
      <c r="O38" s="186"/>
      <c r="P38" s="187"/>
      <c r="Q38" s="3"/>
      <c r="R38" s="3"/>
      <c r="S38" s="3"/>
      <c r="T38" s="3"/>
      <c r="U38" s="3"/>
      <c r="V38" s="3"/>
      <c r="W38" s="3"/>
      <c r="X38" s="3"/>
    </row>
    <row r="39" spans="1:24" ht="15.75" customHeight="1" x14ac:dyDescent="0.25">
      <c r="A39" s="3"/>
      <c r="B39" s="192">
        <v>26</v>
      </c>
      <c r="C39" s="323" t="str">
        <f>IF('INPUT DATA'!L36="","",'INPUT DATA'!L36)</f>
        <v/>
      </c>
      <c r="D39" s="282"/>
      <c r="E39" s="324"/>
      <c r="F39" s="185"/>
      <c r="G39" s="186"/>
      <c r="H39" s="186"/>
      <c r="I39" s="186"/>
      <c r="J39" s="186"/>
      <c r="K39" s="186"/>
      <c r="L39" s="186"/>
      <c r="M39" s="186"/>
      <c r="N39" s="186"/>
      <c r="O39" s="186"/>
      <c r="P39" s="187"/>
      <c r="Q39" s="3"/>
      <c r="R39" s="3"/>
      <c r="S39" s="3"/>
      <c r="T39" s="3"/>
      <c r="U39" s="3"/>
      <c r="V39" s="3"/>
      <c r="W39" s="3"/>
      <c r="X39" s="3"/>
    </row>
    <row r="40" spans="1:24" ht="15.75" customHeight="1" x14ac:dyDescent="0.25">
      <c r="A40" s="3"/>
      <c r="B40" s="192">
        <v>27</v>
      </c>
      <c r="C40" s="323" t="str">
        <f>IF('INPUT DATA'!L37="","",'INPUT DATA'!L37)</f>
        <v/>
      </c>
      <c r="D40" s="282"/>
      <c r="E40" s="324"/>
      <c r="F40" s="185"/>
      <c r="G40" s="186"/>
      <c r="H40" s="186"/>
      <c r="I40" s="186"/>
      <c r="J40" s="186"/>
      <c r="K40" s="186"/>
      <c r="L40" s="186"/>
      <c r="M40" s="186"/>
      <c r="N40" s="186"/>
      <c r="O40" s="186"/>
      <c r="P40" s="187"/>
      <c r="Q40" s="3"/>
      <c r="R40" s="3"/>
      <c r="S40" s="3"/>
      <c r="T40" s="3"/>
      <c r="U40" s="3"/>
      <c r="V40" s="3"/>
      <c r="W40" s="3"/>
      <c r="X40" s="3"/>
    </row>
    <row r="41" spans="1:24" ht="15.75" customHeight="1" x14ac:dyDescent="0.25">
      <c r="A41" s="3"/>
      <c r="B41" s="192">
        <v>28</v>
      </c>
      <c r="C41" s="323" t="str">
        <f>IF('INPUT DATA'!L38="","",'INPUT DATA'!L38)</f>
        <v/>
      </c>
      <c r="D41" s="282"/>
      <c r="E41" s="324"/>
      <c r="F41" s="185"/>
      <c r="G41" s="186"/>
      <c r="H41" s="186"/>
      <c r="I41" s="186"/>
      <c r="J41" s="186"/>
      <c r="K41" s="186"/>
      <c r="L41" s="186"/>
      <c r="M41" s="186"/>
      <c r="N41" s="186"/>
      <c r="O41" s="186"/>
      <c r="P41" s="187"/>
      <c r="Q41" s="3"/>
      <c r="R41" s="3"/>
      <c r="S41" s="3"/>
      <c r="T41" s="3"/>
      <c r="U41" s="3"/>
      <c r="V41" s="3"/>
      <c r="W41" s="3"/>
      <c r="X41" s="3"/>
    </row>
    <row r="42" spans="1:24" ht="15.75" customHeight="1" x14ac:dyDescent="0.25">
      <c r="A42" s="3"/>
      <c r="B42" s="192">
        <v>29</v>
      </c>
      <c r="C42" s="323" t="str">
        <f>IF('INPUT DATA'!L39="","",'INPUT DATA'!L39)</f>
        <v/>
      </c>
      <c r="D42" s="282"/>
      <c r="E42" s="324"/>
      <c r="F42" s="185"/>
      <c r="G42" s="186"/>
      <c r="H42" s="186"/>
      <c r="I42" s="186"/>
      <c r="J42" s="186"/>
      <c r="K42" s="186"/>
      <c r="L42" s="186"/>
      <c r="M42" s="186"/>
      <c r="N42" s="186"/>
      <c r="O42" s="186"/>
      <c r="P42" s="187"/>
      <c r="Q42" s="3"/>
      <c r="R42" s="3"/>
      <c r="S42" s="3"/>
      <c r="T42" s="3"/>
      <c r="U42" s="3"/>
      <c r="V42" s="3"/>
      <c r="W42" s="3"/>
      <c r="X42" s="3"/>
    </row>
    <row r="43" spans="1:24" ht="15.75" customHeight="1" x14ac:dyDescent="0.25">
      <c r="A43" s="3"/>
      <c r="B43" s="192">
        <v>30</v>
      </c>
      <c r="C43" s="323" t="str">
        <f>IF('INPUT DATA'!L40="","",'INPUT DATA'!L40)</f>
        <v/>
      </c>
      <c r="D43" s="282"/>
      <c r="E43" s="324"/>
      <c r="F43" s="185"/>
      <c r="G43" s="186"/>
      <c r="H43" s="186"/>
      <c r="I43" s="186"/>
      <c r="J43" s="186"/>
      <c r="K43" s="186"/>
      <c r="L43" s="186"/>
      <c r="M43" s="186"/>
      <c r="N43" s="186"/>
      <c r="O43" s="186"/>
      <c r="P43" s="187"/>
      <c r="Q43" s="3"/>
      <c r="R43" s="3"/>
      <c r="S43" s="3"/>
      <c r="T43" s="3"/>
      <c r="U43" s="3"/>
      <c r="V43" s="3"/>
      <c r="W43" s="3"/>
      <c r="X43" s="3"/>
    </row>
    <row r="44" spans="1:24" ht="15.75" customHeight="1" x14ac:dyDescent="0.25">
      <c r="A44" s="3"/>
      <c r="B44" s="192">
        <v>31</v>
      </c>
      <c r="C44" s="323" t="str">
        <f>IF('INPUT DATA'!L41="","",'INPUT DATA'!L41)</f>
        <v/>
      </c>
      <c r="D44" s="282"/>
      <c r="E44" s="324"/>
      <c r="F44" s="185"/>
      <c r="G44" s="186"/>
      <c r="H44" s="186"/>
      <c r="I44" s="186"/>
      <c r="J44" s="186"/>
      <c r="K44" s="186"/>
      <c r="L44" s="186"/>
      <c r="M44" s="186"/>
      <c r="N44" s="186"/>
      <c r="O44" s="186"/>
      <c r="P44" s="187"/>
      <c r="Q44" s="3"/>
      <c r="R44" s="3"/>
      <c r="S44" s="3"/>
      <c r="T44" s="3"/>
      <c r="U44" s="3"/>
      <c r="V44" s="3"/>
      <c r="W44" s="3"/>
      <c r="X44" s="3"/>
    </row>
    <row r="45" spans="1:24" ht="15.75" customHeight="1" x14ac:dyDescent="0.25">
      <c r="A45" s="3"/>
      <c r="B45" s="192">
        <v>32</v>
      </c>
      <c r="C45" s="323" t="str">
        <f>IF('INPUT DATA'!L42="","",'INPUT DATA'!L42)</f>
        <v/>
      </c>
      <c r="D45" s="282"/>
      <c r="E45" s="324"/>
      <c r="F45" s="185"/>
      <c r="G45" s="186"/>
      <c r="H45" s="186"/>
      <c r="I45" s="186"/>
      <c r="J45" s="186"/>
      <c r="K45" s="186"/>
      <c r="L45" s="186"/>
      <c r="M45" s="186"/>
      <c r="N45" s="186"/>
      <c r="O45" s="186"/>
      <c r="P45" s="187"/>
      <c r="Q45" s="3"/>
      <c r="R45" s="3"/>
      <c r="S45" s="3"/>
      <c r="T45" s="3"/>
      <c r="U45" s="3"/>
      <c r="V45" s="3"/>
      <c r="W45" s="3"/>
      <c r="X45" s="3"/>
    </row>
    <row r="46" spans="1:24" ht="15.75" customHeight="1" x14ac:dyDescent="0.25">
      <c r="A46" s="3"/>
      <c r="B46" s="192">
        <v>33</v>
      </c>
      <c r="C46" s="323" t="str">
        <f>IF('INPUT DATA'!L43="","",'INPUT DATA'!L43)</f>
        <v/>
      </c>
      <c r="D46" s="282"/>
      <c r="E46" s="324"/>
      <c r="F46" s="185"/>
      <c r="G46" s="186"/>
      <c r="H46" s="186"/>
      <c r="I46" s="186"/>
      <c r="J46" s="186"/>
      <c r="K46" s="186"/>
      <c r="L46" s="186"/>
      <c r="M46" s="186"/>
      <c r="N46" s="186"/>
      <c r="O46" s="186"/>
      <c r="P46" s="187"/>
      <c r="Q46" s="3"/>
      <c r="R46" s="3"/>
      <c r="S46" s="3"/>
      <c r="T46" s="3"/>
      <c r="U46" s="3"/>
      <c r="V46" s="3"/>
      <c r="W46" s="3"/>
      <c r="X46" s="3"/>
    </row>
    <row r="47" spans="1:24" ht="15.75" customHeight="1" x14ac:dyDescent="0.25">
      <c r="A47" s="3"/>
      <c r="B47" s="192">
        <v>34</v>
      </c>
      <c r="C47" s="323" t="str">
        <f>IF('INPUT DATA'!L44="","",'INPUT DATA'!L44)</f>
        <v/>
      </c>
      <c r="D47" s="282"/>
      <c r="E47" s="324"/>
      <c r="F47" s="185"/>
      <c r="G47" s="186"/>
      <c r="H47" s="186"/>
      <c r="I47" s="186"/>
      <c r="J47" s="186"/>
      <c r="K47" s="186"/>
      <c r="L47" s="186"/>
      <c r="M47" s="186"/>
      <c r="N47" s="186"/>
      <c r="O47" s="186"/>
      <c r="P47" s="187"/>
      <c r="Q47" s="3"/>
      <c r="R47" s="3"/>
      <c r="S47" s="3"/>
      <c r="T47" s="3"/>
      <c r="U47" s="3"/>
      <c r="V47" s="3"/>
      <c r="W47" s="3"/>
      <c r="X47" s="3"/>
    </row>
    <row r="48" spans="1:24" ht="15.75" customHeight="1" x14ac:dyDescent="0.25">
      <c r="A48" s="3"/>
      <c r="B48" s="192">
        <v>35</v>
      </c>
      <c r="C48" s="323" t="str">
        <f>IF('INPUT DATA'!L45="","",'INPUT DATA'!L45)</f>
        <v/>
      </c>
      <c r="D48" s="282"/>
      <c r="E48" s="324"/>
      <c r="F48" s="185"/>
      <c r="G48" s="186"/>
      <c r="H48" s="186"/>
      <c r="I48" s="186"/>
      <c r="J48" s="186"/>
      <c r="K48" s="186"/>
      <c r="L48" s="186"/>
      <c r="M48" s="186"/>
      <c r="N48" s="186"/>
      <c r="O48" s="186"/>
      <c r="P48" s="187"/>
      <c r="Q48" s="3"/>
      <c r="R48" s="3"/>
      <c r="S48" s="3"/>
      <c r="T48" s="3"/>
      <c r="U48" s="3"/>
      <c r="V48" s="3"/>
      <c r="W48" s="3"/>
      <c r="X48" s="3"/>
    </row>
    <row r="49" spans="1:24" ht="15.75" customHeight="1" x14ac:dyDescent="0.25">
      <c r="A49" s="3"/>
      <c r="B49" s="192">
        <v>36</v>
      </c>
      <c r="C49" s="323" t="str">
        <f>IF('INPUT DATA'!L46="","",'INPUT DATA'!L46)</f>
        <v/>
      </c>
      <c r="D49" s="282"/>
      <c r="E49" s="324"/>
      <c r="F49" s="185"/>
      <c r="G49" s="186"/>
      <c r="H49" s="186"/>
      <c r="I49" s="186"/>
      <c r="J49" s="186"/>
      <c r="K49" s="186"/>
      <c r="L49" s="186"/>
      <c r="M49" s="186"/>
      <c r="N49" s="186"/>
      <c r="O49" s="186"/>
      <c r="P49" s="187"/>
      <c r="Q49" s="3"/>
      <c r="R49" s="3"/>
      <c r="S49" s="3"/>
      <c r="T49" s="3"/>
      <c r="U49" s="3"/>
      <c r="V49" s="3"/>
      <c r="W49" s="3"/>
      <c r="X49" s="3"/>
    </row>
    <row r="50" spans="1:24" ht="15.75" customHeight="1" x14ac:dyDescent="0.25">
      <c r="A50" s="3"/>
      <c r="B50" s="192">
        <v>37</v>
      </c>
      <c r="C50" s="323" t="str">
        <f>IF('INPUT DATA'!L47="","",'INPUT DATA'!L47)</f>
        <v/>
      </c>
      <c r="D50" s="282"/>
      <c r="E50" s="324"/>
      <c r="F50" s="185"/>
      <c r="G50" s="186"/>
      <c r="H50" s="186"/>
      <c r="I50" s="186"/>
      <c r="J50" s="186"/>
      <c r="K50" s="186"/>
      <c r="L50" s="186"/>
      <c r="M50" s="186"/>
      <c r="N50" s="186"/>
      <c r="O50" s="186"/>
      <c r="P50" s="187"/>
      <c r="Q50" s="3"/>
      <c r="R50" s="3"/>
      <c r="S50" s="3"/>
      <c r="T50" s="3"/>
      <c r="U50" s="3"/>
      <c r="V50" s="3"/>
      <c r="W50" s="3"/>
      <c r="X50" s="3"/>
    </row>
    <row r="51" spans="1:24" ht="15.75" customHeight="1" x14ac:dyDescent="0.25">
      <c r="A51" s="3"/>
      <c r="B51" s="192">
        <v>38</v>
      </c>
      <c r="C51" s="323" t="str">
        <f>IF('INPUT DATA'!L48="","",'INPUT DATA'!L48)</f>
        <v/>
      </c>
      <c r="D51" s="282"/>
      <c r="E51" s="324"/>
      <c r="F51" s="185"/>
      <c r="G51" s="186"/>
      <c r="H51" s="186"/>
      <c r="I51" s="186"/>
      <c r="J51" s="186"/>
      <c r="K51" s="186"/>
      <c r="L51" s="186"/>
      <c r="M51" s="186"/>
      <c r="N51" s="186"/>
      <c r="O51" s="186"/>
      <c r="P51" s="187"/>
      <c r="Q51" s="3"/>
      <c r="R51" s="3"/>
      <c r="S51" s="3"/>
      <c r="T51" s="3"/>
      <c r="U51" s="3"/>
      <c r="V51" s="3"/>
      <c r="W51" s="3"/>
      <c r="X51" s="3"/>
    </row>
    <row r="52" spans="1:24" ht="15.75" customHeight="1" x14ac:dyDescent="0.25">
      <c r="A52" s="3"/>
      <c r="B52" s="192">
        <v>39</v>
      </c>
      <c r="C52" s="323" t="str">
        <f>IF('INPUT DATA'!L49="","",'INPUT DATA'!L49)</f>
        <v/>
      </c>
      <c r="D52" s="282"/>
      <c r="E52" s="324"/>
      <c r="F52" s="185"/>
      <c r="G52" s="186"/>
      <c r="H52" s="186"/>
      <c r="I52" s="186"/>
      <c r="J52" s="186"/>
      <c r="K52" s="186"/>
      <c r="L52" s="186"/>
      <c r="M52" s="186"/>
      <c r="N52" s="186"/>
      <c r="O52" s="186"/>
      <c r="P52" s="187"/>
      <c r="Q52" s="3"/>
      <c r="R52" s="3"/>
      <c r="S52" s="3"/>
      <c r="T52" s="3"/>
      <c r="U52" s="3"/>
      <c r="V52" s="3"/>
      <c r="W52" s="3"/>
      <c r="X52" s="3"/>
    </row>
    <row r="53" spans="1:24" ht="15.75" customHeight="1" x14ac:dyDescent="0.25">
      <c r="A53" s="3"/>
      <c r="B53" s="192">
        <v>40</v>
      </c>
      <c r="C53" s="323" t="str">
        <f>IF('INPUT DATA'!L50="","",'INPUT DATA'!L50)</f>
        <v/>
      </c>
      <c r="D53" s="282"/>
      <c r="E53" s="324"/>
      <c r="F53" s="185"/>
      <c r="G53" s="186"/>
      <c r="H53" s="186"/>
      <c r="I53" s="186"/>
      <c r="J53" s="186"/>
      <c r="K53" s="186"/>
      <c r="L53" s="186"/>
      <c r="M53" s="186"/>
      <c r="N53" s="186"/>
      <c r="O53" s="186"/>
      <c r="P53" s="187"/>
      <c r="Q53" s="3"/>
      <c r="R53" s="3"/>
      <c r="S53" s="3"/>
      <c r="T53" s="3"/>
      <c r="U53" s="3"/>
      <c r="V53" s="3"/>
      <c r="W53" s="3"/>
      <c r="X53" s="3"/>
    </row>
    <row r="54" spans="1:24" ht="15.75" customHeight="1" x14ac:dyDescent="0.25">
      <c r="A54" s="3"/>
      <c r="B54" s="192">
        <v>41</v>
      </c>
      <c r="C54" s="323" t="str">
        <f>IF('INPUT DATA'!L51="","",'INPUT DATA'!L51)</f>
        <v/>
      </c>
      <c r="D54" s="282"/>
      <c r="E54" s="324"/>
      <c r="F54" s="185"/>
      <c r="G54" s="186"/>
      <c r="H54" s="186"/>
      <c r="I54" s="186"/>
      <c r="J54" s="186"/>
      <c r="K54" s="186"/>
      <c r="L54" s="186"/>
      <c r="M54" s="186"/>
      <c r="N54" s="186"/>
      <c r="O54" s="186"/>
      <c r="P54" s="187"/>
      <c r="Q54" s="3"/>
      <c r="R54" s="3"/>
      <c r="S54" s="3"/>
      <c r="T54" s="3"/>
      <c r="U54" s="3"/>
      <c r="V54" s="3"/>
      <c r="W54" s="3"/>
      <c r="X54" s="3"/>
    </row>
    <row r="55" spans="1:24" ht="15.75" customHeight="1" x14ac:dyDescent="0.25">
      <c r="A55" s="3"/>
      <c r="B55" s="192">
        <v>42</v>
      </c>
      <c r="C55" s="323" t="str">
        <f>IF('INPUT DATA'!L52="","",'INPUT DATA'!L52)</f>
        <v/>
      </c>
      <c r="D55" s="282"/>
      <c r="E55" s="324"/>
      <c r="F55" s="185"/>
      <c r="G55" s="186"/>
      <c r="H55" s="186"/>
      <c r="I55" s="186"/>
      <c r="J55" s="186"/>
      <c r="K55" s="186"/>
      <c r="L55" s="186"/>
      <c r="M55" s="186"/>
      <c r="N55" s="186"/>
      <c r="O55" s="186"/>
      <c r="P55" s="187"/>
      <c r="Q55" s="3"/>
      <c r="R55" s="3"/>
      <c r="S55" s="3"/>
      <c r="T55" s="3"/>
      <c r="U55" s="3"/>
      <c r="V55" s="3"/>
      <c r="W55" s="3"/>
      <c r="X55" s="3"/>
    </row>
    <row r="56" spans="1:24" ht="15.75" customHeight="1" x14ac:dyDescent="0.25">
      <c r="A56" s="3"/>
      <c r="B56" s="192">
        <v>43</v>
      </c>
      <c r="C56" s="323" t="str">
        <f>IF('INPUT DATA'!L53="","",'INPUT DATA'!L53)</f>
        <v/>
      </c>
      <c r="D56" s="282"/>
      <c r="E56" s="324"/>
      <c r="F56" s="185"/>
      <c r="G56" s="186"/>
      <c r="H56" s="186"/>
      <c r="I56" s="186"/>
      <c r="J56" s="186"/>
      <c r="K56" s="186"/>
      <c r="L56" s="186"/>
      <c r="M56" s="186"/>
      <c r="N56" s="186"/>
      <c r="O56" s="186"/>
      <c r="P56" s="187"/>
      <c r="Q56" s="3"/>
      <c r="R56" s="3"/>
      <c r="S56" s="3"/>
      <c r="T56" s="3"/>
      <c r="U56" s="3"/>
      <c r="V56" s="3"/>
      <c r="W56" s="3"/>
      <c r="X56" s="3"/>
    </row>
    <row r="57" spans="1:24" ht="15.75" customHeight="1" x14ac:dyDescent="0.25">
      <c r="A57" s="3"/>
      <c r="B57" s="192">
        <v>44</v>
      </c>
      <c r="C57" s="323" t="str">
        <f>IF('INPUT DATA'!L54="","",'INPUT DATA'!L54)</f>
        <v/>
      </c>
      <c r="D57" s="282"/>
      <c r="E57" s="324"/>
      <c r="F57" s="185"/>
      <c r="G57" s="186"/>
      <c r="H57" s="186"/>
      <c r="I57" s="186"/>
      <c r="J57" s="186"/>
      <c r="K57" s="186"/>
      <c r="L57" s="186"/>
      <c r="M57" s="186"/>
      <c r="N57" s="186"/>
      <c r="O57" s="186"/>
      <c r="P57" s="187"/>
      <c r="Q57" s="3"/>
      <c r="R57" s="3"/>
      <c r="S57" s="3"/>
      <c r="T57" s="3"/>
      <c r="U57" s="3"/>
      <c r="V57" s="3"/>
      <c r="W57" s="3"/>
      <c r="X57" s="3"/>
    </row>
    <row r="58" spans="1:24" ht="15.75" customHeight="1" x14ac:dyDescent="0.25">
      <c r="A58" s="3"/>
      <c r="B58" s="192">
        <v>45</v>
      </c>
      <c r="C58" s="323" t="str">
        <f>IF('INPUT DATA'!L55="","",'INPUT DATA'!L55)</f>
        <v/>
      </c>
      <c r="D58" s="282"/>
      <c r="E58" s="324"/>
      <c r="F58" s="185"/>
      <c r="G58" s="186"/>
      <c r="H58" s="186"/>
      <c r="I58" s="186"/>
      <c r="J58" s="186"/>
      <c r="K58" s="186"/>
      <c r="L58" s="186"/>
      <c r="M58" s="186"/>
      <c r="N58" s="186"/>
      <c r="O58" s="186"/>
      <c r="P58" s="187"/>
      <c r="Q58" s="3"/>
      <c r="R58" s="3"/>
      <c r="S58" s="3"/>
      <c r="T58" s="3"/>
      <c r="U58" s="3"/>
      <c r="V58" s="3"/>
      <c r="W58" s="3"/>
      <c r="X58" s="3"/>
    </row>
    <row r="59" spans="1:24" ht="15.75" customHeight="1" x14ac:dyDescent="0.25">
      <c r="A59" s="3"/>
      <c r="B59" s="192">
        <v>46</v>
      </c>
      <c r="C59" s="323" t="str">
        <f>IF('INPUT DATA'!L56="","",'INPUT DATA'!L56)</f>
        <v/>
      </c>
      <c r="D59" s="282"/>
      <c r="E59" s="324"/>
      <c r="F59" s="185"/>
      <c r="G59" s="186"/>
      <c r="H59" s="186"/>
      <c r="I59" s="186"/>
      <c r="J59" s="186"/>
      <c r="K59" s="186"/>
      <c r="L59" s="186"/>
      <c r="M59" s="186"/>
      <c r="N59" s="186"/>
      <c r="O59" s="186"/>
      <c r="P59" s="187"/>
      <c r="Q59" s="3"/>
      <c r="R59" s="3"/>
      <c r="S59" s="3"/>
      <c r="T59" s="3"/>
      <c r="U59" s="3"/>
      <c r="V59" s="3"/>
      <c r="W59" s="3"/>
      <c r="X59" s="3"/>
    </row>
    <row r="60" spans="1:24" ht="15.75" customHeight="1" x14ac:dyDescent="0.25">
      <c r="A60" s="3"/>
      <c r="B60" s="192">
        <v>47</v>
      </c>
      <c r="C60" s="323" t="str">
        <f>IF('INPUT DATA'!L57="","",'INPUT DATA'!L57)</f>
        <v/>
      </c>
      <c r="D60" s="282"/>
      <c r="E60" s="324"/>
      <c r="F60" s="185"/>
      <c r="G60" s="186"/>
      <c r="H60" s="186"/>
      <c r="I60" s="186"/>
      <c r="J60" s="186"/>
      <c r="K60" s="186"/>
      <c r="L60" s="186"/>
      <c r="M60" s="186"/>
      <c r="N60" s="186"/>
      <c r="O60" s="186"/>
      <c r="P60" s="187"/>
      <c r="Q60" s="3"/>
      <c r="R60" s="3"/>
      <c r="S60" s="3"/>
      <c r="T60" s="3"/>
      <c r="U60" s="3"/>
      <c r="V60" s="3"/>
      <c r="W60" s="3"/>
      <c r="X60" s="3"/>
    </row>
    <row r="61" spans="1:24" ht="15.75" customHeight="1" x14ac:dyDescent="0.25">
      <c r="A61" s="3"/>
      <c r="B61" s="192">
        <v>48</v>
      </c>
      <c r="C61" s="323" t="str">
        <f>IF('INPUT DATA'!L58="","",'INPUT DATA'!L58)</f>
        <v/>
      </c>
      <c r="D61" s="282"/>
      <c r="E61" s="324"/>
      <c r="F61" s="185"/>
      <c r="G61" s="186"/>
      <c r="H61" s="186"/>
      <c r="I61" s="186"/>
      <c r="J61" s="186"/>
      <c r="K61" s="186"/>
      <c r="L61" s="186"/>
      <c r="M61" s="186"/>
      <c r="N61" s="186"/>
      <c r="O61" s="186"/>
      <c r="P61" s="187"/>
      <c r="Q61" s="3"/>
      <c r="R61" s="3"/>
      <c r="S61" s="3"/>
      <c r="T61" s="3"/>
      <c r="U61" s="3"/>
      <c r="V61" s="3"/>
      <c r="W61" s="3"/>
      <c r="X61" s="3"/>
    </row>
    <row r="62" spans="1:24" ht="15.75" customHeight="1" x14ac:dyDescent="0.25">
      <c r="A62" s="3"/>
      <c r="B62" s="192">
        <v>49</v>
      </c>
      <c r="C62" s="323" t="str">
        <f>IF('INPUT DATA'!L59="","",'INPUT DATA'!L59)</f>
        <v/>
      </c>
      <c r="D62" s="282"/>
      <c r="E62" s="324"/>
      <c r="F62" s="185"/>
      <c r="G62" s="186"/>
      <c r="H62" s="186"/>
      <c r="I62" s="186"/>
      <c r="J62" s="186"/>
      <c r="K62" s="186"/>
      <c r="L62" s="186"/>
      <c r="M62" s="186"/>
      <c r="N62" s="186"/>
      <c r="O62" s="186"/>
      <c r="P62" s="187"/>
      <c r="Q62" s="3"/>
      <c r="R62" s="3"/>
      <c r="S62" s="3"/>
      <c r="T62" s="3"/>
      <c r="U62" s="3"/>
      <c r="V62" s="3"/>
      <c r="W62" s="3"/>
      <c r="X62" s="3"/>
    </row>
    <row r="63" spans="1:24" ht="15.75" customHeight="1" x14ac:dyDescent="0.25">
      <c r="A63" s="3"/>
      <c r="B63" s="192">
        <v>50</v>
      </c>
      <c r="C63" s="323" t="str">
        <f>IF('INPUT DATA'!L60="","",'INPUT DATA'!L60)</f>
        <v/>
      </c>
      <c r="D63" s="282"/>
      <c r="E63" s="324"/>
      <c r="F63" s="193"/>
      <c r="G63" s="194"/>
      <c r="H63" s="194"/>
      <c r="I63" s="194"/>
      <c r="J63" s="194"/>
      <c r="K63" s="194"/>
      <c r="L63" s="194"/>
      <c r="M63" s="194"/>
      <c r="N63" s="194"/>
      <c r="O63" s="194"/>
      <c r="P63" s="195"/>
      <c r="Q63" s="3"/>
      <c r="R63" s="3"/>
      <c r="S63" s="3"/>
      <c r="T63" s="3"/>
      <c r="U63" s="3"/>
      <c r="V63" s="3"/>
      <c r="W63" s="3"/>
      <c r="X63" s="3"/>
    </row>
    <row r="64" spans="1:24" ht="15.75" customHeight="1" x14ac:dyDescent="0.25">
      <c r="A64" s="3"/>
      <c r="B64" s="196" t="s">
        <v>13</v>
      </c>
      <c r="C64" s="197"/>
      <c r="D64" s="197"/>
      <c r="E64" s="325"/>
      <c r="F64" s="256"/>
      <c r="G64" s="256"/>
      <c r="H64" s="256"/>
      <c r="I64" s="256"/>
      <c r="J64" s="256"/>
      <c r="K64" s="256"/>
      <c r="L64" s="256"/>
      <c r="M64" s="256"/>
      <c r="N64" s="256"/>
      <c r="O64" s="256"/>
      <c r="P64" s="257"/>
      <c r="Q64" s="3"/>
      <c r="R64" s="3"/>
      <c r="S64" s="3"/>
      <c r="T64" s="3"/>
      <c r="U64" s="3"/>
      <c r="V64" s="3"/>
      <c r="W64" s="3"/>
      <c r="X64" s="3"/>
    </row>
    <row r="65" spans="1:24" ht="15.75" customHeight="1" x14ac:dyDescent="0.25">
      <c r="A65" s="3"/>
      <c r="B65" s="171">
        <v>1</v>
      </c>
      <c r="C65" s="323" t="str">
        <f>IF('INPUT DATA'!Q11="","",'INPUT DATA'!Q11)</f>
        <v/>
      </c>
      <c r="D65" s="282"/>
      <c r="E65" s="324"/>
      <c r="F65" s="186"/>
      <c r="G65" s="186"/>
      <c r="H65" s="186"/>
      <c r="I65" s="186"/>
      <c r="J65" s="186"/>
      <c r="K65" s="186"/>
      <c r="L65" s="186"/>
      <c r="M65" s="186"/>
      <c r="N65" s="186"/>
      <c r="O65" s="186"/>
      <c r="P65" s="187"/>
      <c r="Q65" s="3"/>
      <c r="R65" s="3"/>
      <c r="S65" s="3"/>
      <c r="T65" s="3"/>
      <c r="U65" s="3"/>
      <c r="V65" s="3"/>
      <c r="W65" s="3"/>
      <c r="X65" s="3"/>
    </row>
    <row r="66" spans="1:24" ht="15.75" customHeight="1" x14ac:dyDescent="0.25">
      <c r="A66" s="3"/>
      <c r="B66" s="182">
        <v>2</v>
      </c>
      <c r="C66" s="323" t="str">
        <f>IF('INPUT DATA'!Q12="","",'INPUT DATA'!Q12)</f>
        <v/>
      </c>
      <c r="D66" s="282"/>
      <c r="E66" s="324"/>
      <c r="F66" s="186"/>
      <c r="G66" s="186"/>
      <c r="H66" s="186"/>
      <c r="I66" s="186"/>
      <c r="J66" s="186"/>
      <c r="K66" s="186"/>
      <c r="L66" s="186"/>
      <c r="M66" s="186"/>
      <c r="N66" s="186"/>
      <c r="O66" s="186"/>
      <c r="P66" s="187"/>
      <c r="Q66" s="3"/>
      <c r="R66" s="3"/>
      <c r="S66" s="3"/>
      <c r="T66" s="3"/>
      <c r="U66" s="3"/>
      <c r="V66" s="3"/>
      <c r="W66" s="3"/>
      <c r="X66" s="3"/>
    </row>
    <row r="67" spans="1:24" ht="15.75" customHeight="1" x14ac:dyDescent="0.25">
      <c r="A67" s="3"/>
      <c r="B67" s="182">
        <v>3</v>
      </c>
      <c r="C67" s="323" t="str">
        <f>IF('INPUT DATA'!Q13="","",'INPUT DATA'!Q13)</f>
        <v/>
      </c>
      <c r="D67" s="282"/>
      <c r="E67" s="324"/>
      <c r="F67" s="186"/>
      <c r="G67" s="186"/>
      <c r="H67" s="186"/>
      <c r="I67" s="186"/>
      <c r="J67" s="186"/>
      <c r="K67" s="186"/>
      <c r="L67" s="186"/>
      <c r="M67" s="186"/>
      <c r="N67" s="186"/>
      <c r="O67" s="186"/>
      <c r="P67" s="187"/>
      <c r="Q67" s="3"/>
      <c r="R67" s="3"/>
      <c r="S67" s="3"/>
      <c r="T67" s="3"/>
      <c r="U67" s="3"/>
      <c r="V67" s="3"/>
      <c r="W67" s="3"/>
      <c r="X67" s="3"/>
    </row>
    <row r="68" spans="1:24" ht="15.75" customHeight="1" x14ac:dyDescent="0.25">
      <c r="A68" s="3"/>
      <c r="B68" s="182">
        <v>4</v>
      </c>
      <c r="C68" s="323" t="str">
        <f>IF('INPUT DATA'!Q14="","",'INPUT DATA'!Q14)</f>
        <v/>
      </c>
      <c r="D68" s="282"/>
      <c r="E68" s="324"/>
      <c r="F68" s="185"/>
      <c r="G68" s="186"/>
      <c r="H68" s="186"/>
      <c r="I68" s="186"/>
      <c r="J68" s="186"/>
      <c r="K68" s="186"/>
      <c r="L68" s="186"/>
      <c r="M68" s="186"/>
      <c r="N68" s="186"/>
      <c r="O68" s="186"/>
      <c r="P68" s="187"/>
      <c r="Q68" s="3"/>
      <c r="R68" s="3"/>
      <c r="S68" s="3"/>
      <c r="T68" s="3"/>
      <c r="U68" s="3"/>
      <c r="V68" s="3"/>
      <c r="W68" s="3"/>
      <c r="X68" s="3"/>
    </row>
    <row r="69" spans="1:24" ht="15.75" customHeight="1" x14ac:dyDescent="0.25">
      <c r="A69" s="3"/>
      <c r="B69" s="182">
        <v>5</v>
      </c>
      <c r="C69" s="323" t="str">
        <f>IF('INPUT DATA'!Q15="","",'INPUT DATA'!Q15)</f>
        <v/>
      </c>
      <c r="D69" s="282"/>
      <c r="E69" s="324"/>
      <c r="F69" s="185"/>
      <c r="G69" s="186"/>
      <c r="H69" s="186"/>
      <c r="I69" s="186"/>
      <c r="J69" s="186"/>
      <c r="K69" s="186"/>
      <c r="L69" s="186"/>
      <c r="M69" s="186"/>
      <c r="N69" s="186"/>
      <c r="O69" s="186"/>
      <c r="P69" s="187"/>
      <c r="Q69" s="3"/>
      <c r="R69" s="3"/>
      <c r="S69" s="3"/>
      <c r="T69" s="3"/>
      <c r="U69" s="3"/>
      <c r="V69" s="3"/>
      <c r="W69" s="3"/>
      <c r="X69" s="3"/>
    </row>
    <row r="70" spans="1:24" ht="15.75" customHeight="1" x14ac:dyDescent="0.25">
      <c r="A70" s="3"/>
      <c r="B70" s="182">
        <v>6</v>
      </c>
      <c r="C70" s="323" t="str">
        <f>IF('INPUT DATA'!Q16="","",'INPUT DATA'!Q16)</f>
        <v/>
      </c>
      <c r="D70" s="282"/>
      <c r="E70" s="324"/>
      <c r="F70" s="185"/>
      <c r="G70" s="186"/>
      <c r="H70" s="186"/>
      <c r="I70" s="186"/>
      <c r="J70" s="186"/>
      <c r="K70" s="186"/>
      <c r="L70" s="186"/>
      <c r="M70" s="186"/>
      <c r="N70" s="186"/>
      <c r="O70" s="186"/>
      <c r="P70" s="187"/>
      <c r="Q70" s="3"/>
      <c r="R70" s="3"/>
      <c r="S70" s="3"/>
      <c r="T70" s="3"/>
      <c r="U70" s="3"/>
      <c r="V70" s="3"/>
      <c r="W70" s="3"/>
      <c r="X70" s="3"/>
    </row>
    <row r="71" spans="1:24" ht="15.75" customHeight="1" x14ac:dyDescent="0.25">
      <c r="A71" s="3"/>
      <c r="B71" s="182">
        <v>7</v>
      </c>
      <c r="C71" s="323" t="str">
        <f>IF('INPUT DATA'!Q17="","",'INPUT DATA'!Q17)</f>
        <v/>
      </c>
      <c r="D71" s="282"/>
      <c r="E71" s="324"/>
      <c r="F71" s="185"/>
      <c r="G71" s="186"/>
      <c r="H71" s="186"/>
      <c r="I71" s="186"/>
      <c r="J71" s="186"/>
      <c r="K71" s="186"/>
      <c r="L71" s="186"/>
      <c r="M71" s="186"/>
      <c r="N71" s="186"/>
      <c r="O71" s="186"/>
      <c r="P71" s="187"/>
      <c r="Q71" s="3"/>
      <c r="R71" s="3"/>
      <c r="S71" s="3"/>
      <c r="T71" s="3"/>
      <c r="U71" s="3"/>
      <c r="V71" s="3"/>
      <c r="W71" s="3"/>
      <c r="X71" s="3"/>
    </row>
    <row r="72" spans="1:24" ht="15.75" customHeight="1" x14ac:dyDescent="0.25">
      <c r="A72" s="3"/>
      <c r="B72" s="182">
        <v>8</v>
      </c>
      <c r="C72" s="323" t="str">
        <f>IF('INPUT DATA'!Q18="","",'INPUT DATA'!Q18)</f>
        <v/>
      </c>
      <c r="D72" s="282"/>
      <c r="E72" s="324"/>
      <c r="F72" s="185"/>
      <c r="G72" s="186"/>
      <c r="H72" s="186"/>
      <c r="I72" s="186"/>
      <c r="J72" s="186"/>
      <c r="K72" s="186"/>
      <c r="L72" s="186"/>
      <c r="M72" s="186"/>
      <c r="N72" s="186"/>
      <c r="O72" s="186"/>
      <c r="P72" s="187"/>
      <c r="Q72" s="3"/>
      <c r="R72" s="3"/>
      <c r="S72" s="3"/>
      <c r="T72" s="3"/>
      <c r="U72" s="3"/>
      <c r="V72" s="3"/>
      <c r="W72" s="3"/>
      <c r="X72" s="3"/>
    </row>
    <row r="73" spans="1:24" ht="15.75" customHeight="1" x14ac:dyDescent="0.25">
      <c r="A73" s="3"/>
      <c r="B73" s="182">
        <v>9</v>
      </c>
      <c r="C73" s="323" t="str">
        <f>IF('INPUT DATA'!Q19="","",'INPUT DATA'!Q19)</f>
        <v/>
      </c>
      <c r="D73" s="282"/>
      <c r="E73" s="324"/>
      <c r="F73" s="185"/>
      <c r="G73" s="186"/>
      <c r="H73" s="186"/>
      <c r="I73" s="186"/>
      <c r="J73" s="186"/>
      <c r="K73" s="186"/>
      <c r="L73" s="186"/>
      <c r="M73" s="186"/>
      <c r="N73" s="186"/>
      <c r="O73" s="186"/>
      <c r="P73" s="187"/>
      <c r="Q73" s="3"/>
      <c r="R73" s="3"/>
      <c r="S73" s="3"/>
      <c r="T73" s="3"/>
      <c r="U73" s="3"/>
      <c r="V73" s="3"/>
      <c r="W73" s="3"/>
      <c r="X73" s="3"/>
    </row>
    <row r="74" spans="1:24" ht="15.75" customHeight="1" x14ac:dyDescent="0.25">
      <c r="A74" s="3"/>
      <c r="B74" s="182">
        <v>10</v>
      </c>
      <c r="C74" s="323" t="str">
        <f>IF('INPUT DATA'!Q20="","",'INPUT DATA'!Q20)</f>
        <v/>
      </c>
      <c r="D74" s="282"/>
      <c r="E74" s="324"/>
      <c r="F74" s="185"/>
      <c r="G74" s="186"/>
      <c r="H74" s="186"/>
      <c r="I74" s="186"/>
      <c r="J74" s="186"/>
      <c r="K74" s="186"/>
      <c r="L74" s="186"/>
      <c r="M74" s="186"/>
      <c r="N74" s="186"/>
      <c r="O74" s="186"/>
      <c r="P74" s="187"/>
      <c r="Q74" s="3"/>
      <c r="R74" s="3"/>
      <c r="S74" s="3"/>
      <c r="T74" s="3"/>
      <c r="U74" s="3"/>
      <c r="V74" s="3"/>
      <c r="W74" s="3"/>
      <c r="X74" s="3"/>
    </row>
    <row r="75" spans="1:24" ht="15.75" customHeight="1" x14ac:dyDescent="0.25">
      <c r="A75" s="3"/>
      <c r="B75" s="182">
        <v>11</v>
      </c>
      <c r="C75" s="323" t="str">
        <f>IF('INPUT DATA'!Q21="","",'INPUT DATA'!Q21)</f>
        <v/>
      </c>
      <c r="D75" s="282"/>
      <c r="E75" s="324"/>
      <c r="F75" s="185"/>
      <c r="G75" s="186"/>
      <c r="H75" s="186"/>
      <c r="I75" s="186"/>
      <c r="J75" s="186"/>
      <c r="K75" s="186"/>
      <c r="L75" s="186"/>
      <c r="M75" s="186"/>
      <c r="N75" s="186"/>
      <c r="O75" s="186"/>
      <c r="P75" s="187"/>
      <c r="Q75" s="3"/>
      <c r="R75" s="3"/>
      <c r="S75" s="3"/>
      <c r="T75" s="3"/>
      <c r="U75" s="3"/>
      <c r="V75" s="3"/>
      <c r="W75" s="3"/>
      <c r="X75" s="3"/>
    </row>
    <row r="76" spans="1:24" ht="15.75" customHeight="1" x14ac:dyDescent="0.25">
      <c r="A76" s="3"/>
      <c r="B76" s="182">
        <v>12</v>
      </c>
      <c r="C76" s="323" t="str">
        <f>IF('INPUT DATA'!Q22="","",'INPUT DATA'!Q22)</f>
        <v/>
      </c>
      <c r="D76" s="282"/>
      <c r="E76" s="324"/>
      <c r="F76" s="185"/>
      <c r="G76" s="186"/>
      <c r="H76" s="186"/>
      <c r="I76" s="186"/>
      <c r="J76" s="186"/>
      <c r="K76" s="186"/>
      <c r="L76" s="186"/>
      <c r="M76" s="186"/>
      <c r="N76" s="186"/>
      <c r="O76" s="186"/>
      <c r="P76" s="187"/>
      <c r="Q76" s="3"/>
      <c r="R76" s="3"/>
      <c r="S76" s="3"/>
      <c r="T76" s="3"/>
      <c r="U76" s="3"/>
      <c r="V76" s="3"/>
      <c r="W76" s="3"/>
      <c r="X76" s="3"/>
    </row>
    <row r="77" spans="1:24" ht="15.75" customHeight="1" x14ac:dyDescent="0.25">
      <c r="A77" s="3"/>
      <c r="B77" s="182">
        <v>13</v>
      </c>
      <c r="C77" s="323" t="str">
        <f>IF('INPUT DATA'!Q23="","",'INPUT DATA'!Q23)</f>
        <v/>
      </c>
      <c r="D77" s="282"/>
      <c r="E77" s="324"/>
      <c r="F77" s="185"/>
      <c r="G77" s="186"/>
      <c r="H77" s="186"/>
      <c r="I77" s="186"/>
      <c r="J77" s="186"/>
      <c r="K77" s="186"/>
      <c r="L77" s="186"/>
      <c r="M77" s="186"/>
      <c r="N77" s="186"/>
      <c r="O77" s="186"/>
      <c r="P77" s="187"/>
      <c r="Q77" s="3"/>
      <c r="R77" s="3"/>
      <c r="S77" s="3"/>
      <c r="T77" s="3"/>
      <c r="U77" s="3"/>
      <c r="V77" s="3"/>
      <c r="W77" s="3"/>
      <c r="X77" s="3"/>
    </row>
    <row r="78" spans="1:24" ht="15.75" customHeight="1" x14ac:dyDescent="0.25">
      <c r="A78" s="3"/>
      <c r="B78" s="182">
        <v>14</v>
      </c>
      <c r="C78" s="323" t="str">
        <f>IF('INPUT DATA'!Q24="","",'INPUT DATA'!Q24)</f>
        <v/>
      </c>
      <c r="D78" s="282"/>
      <c r="E78" s="324"/>
      <c r="F78" s="185"/>
      <c r="G78" s="186"/>
      <c r="H78" s="186"/>
      <c r="I78" s="186"/>
      <c r="J78" s="186"/>
      <c r="K78" s="186"/>
      <c r="L78" s="186"/>
      <c r="M78" s="186"/>
      <c r="N78" s="186"/>
      <c r="O78" s="186"/>
      <c r="P78" s="187"/>
      <c r="Q78" s="3"/>
      <c r="R78" s="3"/>
      <c r="S78" s="3"/>
      <c r="T78" s="3"/>
      <c r="U78" s="3"/>
      <c r="V78" s="3"/>
      <c r="W78" s="3"/>
      <c r="X78" s="3"/>
    </row>
    <row r="79" spans="1:24" ht="15.75" customHeight="1" x14ac:dyDescent="0.25">
      <c r="A79" s="3"/>
      <c r="B79" s="182">
        <v>15</v>
      </c>
      <c r="C79" s="323" t="str">
        <f>IF('INPUT DATA'!Q25="","",'INPUT DATA'!Q25)</f>
        <v/>
      </c>
      <c r="D79" s="282"/>
      <c r="E79" s="324"/>
      <c r="F79" s="185"/>
      <c r="G79" s="186"/>
      <c r="H79" s="186"/>
      <c r="I79" s="186"/>
      <c r="J79" s="186"/>
      <c r="K79" s="186"/>
      <c r="L79" s="186"/>
      <c r="M79" s="186"/>
      <c r="N79" s="186"/>
      <c r="O79" s="186"/>
      <c r="P79" s="187"/>
      <c r="Q79" s="3"/>
      <c r="R79" s="3"/>
      <c r="S79" s="3"/>
      <c r="T79" s="3"/>
      <c r="U79" s="3"/>
      <c r="V79" s="3"/>
      <c r="W79" s="3"/>
      <c r="X79" s="3"/>
    </row>
    <row r="80" spans="1:24" ht="15.75" customHeight="1" x14ac:dyDescent="0.25">
      <c r="A80" s="3"/>
      <c r="B80" s="182">
        <v>16</v>
      </c>
      <c r="C80" s="323" t="str">
        <f>IF('INPUT DATA'!Q26="","",'INPUT DATA'!Q26)</f>
        <v/>
      </c>
      <c r="D80" s="282"/>
      <c r="E80" s="324"/>
      <c r="F80" s="185"/>
      <c r="G80" s="186"/>
      <c r="H80" s="186"/>
      <c r="I80" s="186"/>
      <c r="J80" s="186"/>
      <c r="K80" s="186"/>
      <c r="L80" s="186"/>
      <c r="M80" s="186"/>
      <c r="N80" s="186"/>
      <c r="O80" s="186"/>
      <c r="P80" s="187"/>
      <c r="Q80" s="3"/>
      <c r="R80" s="3"/>
      <c r="S80" s="3"/>
      <c r="T80" s="3"/>
      <c r="U80" s="3"/>
      <c r="V80" s="3"/>
      <c r="W80" s="3"/>
      <c r="X80" s="3"/>
    </row>
    <row r="81" spans="1:24" ht="15.75" customHeight="1" x14ac:dyDescent="0.25">
      <c r="A81" s="3"/>
      <c r="B81" s="182">
        <v>17</v>
      </c>
      <c r="C81" s="323" t="str">
        <f>IF('INPUT DATA'!Q27="","",'INPUT DATA'!Q27)</f>
        <v/>
      </c>
      <c r="D81" s="282"/>
      <c r="E81" s="324"/>
      <c r="F81" s="185"/>
      <c r="G81" s="186"/>
      <c r="H81" s="186"/>
      <c r="I81" s="186"/>
      <c r="J81" s="186"/>
      <c r="K81" s="186"/>
      <c r="L81" s="186"/>
      <c r="M81" s="186"/>
      <c r="N81" s="186"/>
      <c r="O81" s="186"/>
      <c r="P81" s="187"/>
      <c r="Q81" s="3"/>
      <c r="R81" s="3"/>
      <c r="S81" s="3"/>
      <c r="T81" s="3"/>
      <c r="U81" s="3"/>
      <c r="V81" s="3"/>
      <c r="W81" s="3"/>
      <c r="X81" s="3"/>
    </row>
    <row r="82" spans="1:24" ht="15.75" customHeight="1" x14ac:dyDescent="0.25">
      <c r="A82" s="3"/>
      <c r="B82" s="182">
        <v>18</v>
      </c>
      <c r="C82" s="323" t="str">
        <f>IF('INPUT DATA'!Q28="","",'INPUT DATA'!Q28)</f>
        <v/>
      </c>
      <c r="D82" s="282"/>
      <c r="E82" s="324"/>
      <c r="F82" s="185"/>
      <c r="G82" s="186"/>
      <c r="H82" s="186"/>
      <c r="I82" s="186"/>
      <c r="J82" s="186"/>
      <c r="K82" s="186"/>
      <c r="L82" s="186"/>
      <c r="M82" s="186"/>
      <c r="N82" s="186"/>
      <c r="O82" s="186"/>
      <c r="P82" s="187"/>
      <c r="Q82" s="3"/>
      <c r="R82" s="3"/>
      <c r="S82" s="3"/>
      <c r="T82" s="3"/>
      <c r="U82" s="3"/>
      <c r="V82" s="3"/>
      <c r="W82" s="3"/>
      <c r="X82" s="3"/>
    </row>
    <row r="83" spans="1:24" ht="15.75" customHeight="1" x14ac:dyDescent="0.25">
      <c r="A83" s="3"/>
      <c r="B83" s="182">
        <v>19</v>
      </c>
      <c r="C83" s="323" t="str">
        <f>IF('INPUT DATA'!Q29="","",'INPUT DATA'!Q29)</f>
        <v/>
      </c>
      <c r="D83" s="282"/>
      <c r="E83" s="324"/>
      <c r="F83" s="185"/>
      <c r="G83" s="186"/>
      <c r="H83" s="186"/>
      <c r="I83" s="186"/>
      <c r="J83" s="186"/>
      <c r="K83" s="186"/>
      <c r="L83" s="186"/>
      <c r="M83" s="186"/>
      <c r="N83" s="186"/>
      <c r="O83" s="186"/>
      <c r="P83" s="187"/>
      <c r="Q83" s="3"/>
      <c r="R83" s="3"/>
      <c r="S83" s="3"/>
      <c r="T83" s="3"/>
      <c r="U83" s="3"/>
      <c r="V83" s="3"/>
      <c r="W83" s="3"/>
      <c r="X83" s="3"/>
    </row>
    <row r="84" spans="1:24" ht="15.75" customHeight="1" x14ac:dyDescent="0.25">
      <c r="A84" s="3"/>
      <c r="B84" s="192">
        <v>20</v>
      </c>
      <c r="C84" s="323" t="str">
        <f>IF('INPUT DATA'!Q30="","",'INPUT DATA'!Q30)</f>
        <v/>
      </c>
      <c r="D84" s="282"/>
      <c r="E84" s="324"/>
      <c r="F84" s="185"/>
      <c r="G84" s="186"/>
      <c r="H84" s="186"/>
      <c r="I84" s="186"/>
      <c r="J84" s="186"/>
      <c r="K84" s="186"/>
      <c r="L84" s="186"/>
      <c r="M84" s="186"/>
      <c r="N84" s="186"/>
      <c r="O84" s="186"/>
      <c r="P84" s="187"/>
      <c r="Q84" s="3"/>
      <c r="R84" s="3"/>
      <c r="S84" s="3"/>
      <c r="T84" s="3"/>
      <c r="U84" s="3"/>
      <c r="V84" s="3"/>
      <c r="W84" s="3"/>
      <c r="X84" s="3"/>
    </row>
    <row r="85" spans="1:24" ht="15.75" customHeight="1" x14ac:dyDescent="0.25">
      <c r="A85" s="3"/>
      <c r="B85" s="192">
        <v>21</v>
      </c>
      <c r="C85" s="323" t="str">
        <f>IF('INPUT DATA'!Q31="","",'INPUT DATA'!Q31)</f>
        <v/>
      </c>
      <c r="D85" s="282"/>
      <c r="E85" s="324"/>
      <c r="F85" s="185"/>
      <c r="G85" s="186"/>
      <c r="H85" s="186"/>
      <c r="I85" s="186"/>
      <c r="J85" s="186"/>
      <c r="K85" s="186"/>
      <c r="L85" s="186"/>
      <c r="M85" s="186"/>
      <c r="N85" s="186"/>
      <c r="O85" s="186"/>
      <c r="P85" s="187"/>
      <c r="Q85" s="3"/>
      <c r="R85" s="3"/>
      <c r="S85" s="3"/>
      <c r="T85" s="3"/>
      <c r="U85" s="3"/>
      <c r="V85" s="3"/>
      <c r="W85" s="3"/>
      <c r="X85" s="3"/>
    </row>
    <row r="86" spans="1:24" ht="15.75" customHeight="1" x14ac:dyDescent="0.25">
      <c r="A86" s="3"/>
      <c r="B86" s="192">
        <v>22</v>
      </c>
      <c r="C86" s="323" t="str">
        <f>IF('INPUT DATA'!Q32="","",'INPUT DATA'!Q32)</f>
        <v/>
      </c>
      <c r="D86" s="282"/>
      <c r="E86" s="324"/>
      <c r="F86" s="185"/>
      <c r="G86" s="186"/>
      <c r="H86" s="186"/>
      <c r="I86" s="186"/>
      <c r="J86" s="186"/>
      <c r="K86" s="186"/>
      <c r="L86" s="186"/>
      <c r="M86" s="186"/>
      <c r="N86" s="186"/>
      <c r="O86" s="186"/>
      <c r="P86" s="187"/>
      <c r="Q86" s="3"/>
      <c r="R86" s="3"/>
      <c r="S86" s="3"/>
      <c r="T86" s="3"/>
      <c r="U86" s="3"/>
      <c r="V86" s="3"/>
      <c r="W86" s="3"/>
      <c r="X86" s="3"/>
    </row>
    <row r="87" spans="1:24" ht="15.75" customHeight="1" x14ac:dyDescent="0.25">
      <c r="A87" s="3"/>
      <c r="B87" s="192">
        <v>23</v>
      </c>
      <c r="C87" s="323" t="str">
        <f>IF('INPUT DATA'!Q33="","",'INPUT DATA'!Q33)</f>
        <v/>
      </c>
      <c r="D87" s="282"/>
      <c r="E87" s="324"/>
      <c r="F87" s="185"/>
      <c r="G87" s="186"/>
      <c r="H87" s="186"/>
      <c r="I87" s="186"/>
      <c r="J87" s="186"/>
      <c r="K87" s="186"/>
      <c r="L87" s="186"/>
      <c r="M87" s="186"/>
      <c r="N87" s="186"/>
      <c r="O87" s="186"/>
      <c r="P87" s="187"/>
      <c r="Q87" s="3"/>
      <c r="R87" s="3"/>
      <c r="S87" s="3"/>
      <c r="T87" s="3"/>
      <c r="U87" s="3"/>
      <c r="V87" s="3"/>
      <c r="W87" s="3"/>
      <c r="X87" s="3"/>
    </row>
    <row r="88" spans="1:24" ht="15.75" customHeight="1" x14ac:dyDescent="0.25">
      <c r="A88" s="3"/>
      <c r="B88" s="192">
        <v>24</v>
      </c>
      <c r="C88" s="323" t="str">
        <f>IF('INPUT DATA'!Q34="","",'INPUT DATA'!Q34)</f>
        <v/>
      </c>
      <c r="D88" s="282"/>
      <c r="E88" s="324"/>
      <c r="F88" s="185"/>
      <c r="G88" s="186"/>
      <c r="H88" s="186"/>
      <c r="I88" s="186"/>
      <c r="J88" s="186"/>
      <c r="K88" s="186"/>
      <c r="L88" s="186"/>
      <c r="M88" s="186"/>
      <c r="N88" s="186"/>
      <c r="O88" s="186"/>
      <c r="P88" s="187"/>
      <c r="Q88" s="3"/>
      <c r="R88" s="3"/>
      <c r="S88" s="3"/>
      <c r="T88" s="3"/>
      <c r="U88" s="3"/>
      <c r="V88" s="3"/>
      <c r="W88" s="3"/>
      <c r="X88" s="3"/>
    </row>
    <row r="89" spans="1:24" ht="15.75" customHeight="1" x14ac:dyDescent="0.25">
      <c r="A89" s="3"/>
      <c r="B89" s="192">
        <v>25</v>
      </c>
      <c r="C89" s="323" t="str">
        <f>IF('INPUT DATA'!Q35="","",'INPUT DATA'!Q35)</f>
        <v/>
      </c>
      <c r="D89" s="282"/>
      <c r="E89" s="324"/>
      <c r="F89" s="185"/>
      <c r="G89" s="186"/>
      <c r="H89" s="186"/>
      <c r="I89" s="186"/>
      <c r="J89" s="186"/>
      <c r="K89" s="186"/>
      <c r="L89" s="186"/>
      <c r="M89" s="186"/>
      <c r="N89" s="186"/>
      <c r="O89" s="186"/>
      <c r="P89" s="187"/>
      <c r="Q89" s="3"/>
      <c r="R89" s="3"/>
      <c r="S89" s="3"/>
      <c r="T89" s="3"/>
      <c r="U89" s="3"/>
      <c r="V89" s="3"/>
      <c r="W89" s="3"/>
      <c r="X89" s="3"/>
    </row>
    <row r="90" spans="1:24" ht="15.75" customHeight="1" x14ac:dyDescent="0.25">
      <c r="A90" s="3"/>
      <c r="B90" s="192">
        <v>26</v>
      </c>
      <c r="C90" s="323" t="str">
        <f>IF('INPUT DATA'!Q36="","",'INPUT DATA'!Q36)</f>
        <v/>
      </c>
      <c r="D90" s="282"/>
      <c r="E90" s="324"/>
      <c r="F90" s="185"/>
      <c r="G90" s="186"/>
      <c r="H90" s="186"/>
      <c r="I90" s="186"/>
      <c r="J90" s="186"/>
      <c r="K90" s="186"/>
      <c r="L90" s="186"/>
      <c r="M90" s="186"/>
      <c r="N90" s="186"/>
      <c r="O90" s="186"/>
      <c r="P90" s="187"/>
      <c r="Q90" s="3"/>
      <c r="R90" s="3"/>
      <c r="S90" s="3"/>
      <c r="T90" s="3"/>
      <c r="U90" s="3"/>
      <c r="V90" s="3"/>
      <c r="W90" s="3"/>
      <c r="X90" s="3"/>
    </row>
    <row r="91" spans="1:24" ht="15.75" customHeight="1" x14ac:dyDescent="0.25">
      <c r="A91" s="3"/>
      <c r="B91" s="192">
        <v>27</v>
      </c>
      <c r="C91" s="323" t="str">
        <f>IF('INPUT DATA'!Q37="","",'INPUT DATA'!Q37)</f>
        <v/>
      </c>
      <c r="D91" s="282"/>
      <c r="E91" s="324"/>
      <c r="F91" s="185"/>
      <c r="G91" s="186"/>
      <c r="H91" s="186"/>
      <c r="I91" s="186"/>
      <c r="J91" s="186"/>
      <c r="K91" s="186"/>
      <c r="L91" s="186"/>
      <c r="M91" s="186"/>
      <c r="N91" s="186"/>
      <c r="O91" s="186"/>
      <c r="P91" s="187"/>
      <c r="Q91" s="3"/>
      <c r="R91" s="3"/>
      <c r="S91" s="3"/>
      <c r="T91" s="3"/>
      <c r="U91" s="3"/>
      <c r="V91" s="3"/>
      <c r="W91" s="3"/>
      <c r="X91" s="3"/>
    </row>
    <row r="92" spans="1:24" ht="15.75" customHeight="1" x14ac:dyDescent="0.25">
      <c r="A92" s="3"/>
      <c r="B92" s="192">
        <v>28</v>
      </c>
      <c r="C92" s="323" t="str">
        <f>IF('INPUT DATA'!Q38="","",'INPUT DATA'!Q38)</f>
        <v/>
      </c>
      <c r="D92" s="282"/>
      <c r="E92" s="324"/>
      <c r="F92" s="185"/>
      <c r="G92" s="186"/>
      <c r="H92" s="186"/>
      <c r="I92" s="186"/>
      <c r="J92" s="186"/>
      <c r="K92" s="186"/>
      <c r="L92" s="186"/>
      <c r="M92" s="186"/>
      <c r="N92" s="186"/>
      <c r="O92" s="186"/>
      <c r="P92" s="187"/>
      <c r="Q92" s="3"/>
      <c r="R92" s="3"/>
      <c r="S92" s="3"/>
      <c r="T92" s="3"/>
      <c r="U92" s="3"/>
      <c r="V92" s="3"/>
      <c r="W92" s="3"/>
      <c r="X92" s="3"/>
    </row>
    <row r="93" spans="1:24" ht="15.75" customHeight="1" x14ac:dyDescent="0.25">
      <c r="A93" s="3"/>
      <c r="B93" s="192">
        <v>29</v>
      </c>
      <c r="C93" s="323" t="str">
        <f>IF('INPUT DATA'!Q39="","",'INPUT DATA'!Q39)</f>
        <v/>
      </c>
      <c r="D93" s="282"/>
      <c r="E93" s="324"/>
      <c r="F93" s="185"/>
      <c r="G93" s="186"/>
      <c r="H93" s="186"/>
      <c r="I93" s="186"/>
      <c r="J93" s="186"/>
      <c r="K93" s="186"/>
      <c r="L93" s="186"/>
      <c r="M93" s="186"/>
      <c r="N93" s="186"/>
      <c r="O93" s="186"/>
      <c r="P93" s="187"/>
      <c r="Q93" s="3"/>
      <c r="R93" s="3"/>
      <c r="S93" s="3"/>
      <c r="T93" s="3"/>
      <c r="U93" s="3"/>
      <c r="V93" s="3"/>
      <c r="W93" s="3"/>
      <c r="X93" s="3"/>
    </row>
    <row r="94" spans="1:24" ht="15.75" customHeight="1" x14ac:dyDescent="0.25">
      <c r="A94" s="3"/>
      <c r="B94" s="192">
        <v>30</v>
      </c>
      <c r="C94" s="323" t="str">
        <f>IF('INPUT DATA'!Q40="","",'INPUT DATA'!Q40)</f>
        <v/>
      </c>
      <c r="D94" s="282"/>
      <c r="E94" s="324"/>
      <c r="F94" s="185"/>
      <c r="G94" s="186"/>
      <c r="H94" s="186"/>
      <c r="I94" s="186"/>
      <c r="J94" s="186"/>
      <c r="K94" s="186"/>
      <c r="L94" s="186"/>
      <c r="M94" s="186"/>
      <c r="N94" s="186"/>
      <c r="O94" s="186"/>
      <c r="P94" s="187"/>
      <c r="Q94" s="3"/>
      <c r="R94" s="3"/>
      <c r="S94" s="3"/>
      <c r="T94" s="3"/>
      <c r="U94" s="3"/>
      <c r="V94" s="3"/>
      <c r="W94" s="3"/>
      <c r="X94" s="3"/>
    </row>
    <row r="95" spans="1:24" ht="15.75" customHeight="1" x14ac:dyDescent="0.25">
      <c r="A95" s="3"/>
      <c r="B95" s="192">
        <v>31</v>
      </c>
      <c r="C95" s="323" t="str">
        <f>IF('INPUT DATA'!Q41="","",'INPUT DATA'!Q41)</f>
        <v/>
      </c>
      <c r="D95" s="282"/>
      <c r="E95" s="324"/>
      <c r="F95" s="185"/>
      <c r="G95" s="186"/>
      <c r="H95" s="186"/>
      <c r="I95" s="186"/>
      <c r="J95" s="186"/>
      <c r="K95" s="186"/>
      <c r="L95" s="186"/>
      <c r="M95" s="186"/>
      <c r="N95" s="186"/>
      <c r="O95" s="186"/>
      <c r="P95" s="187"/>
      <c r="Q95" s="3"/>
      <c r="R95" s="3"/>
      <c r="S95" s="3"/>
      <c r="T95" s="3"/>
      <c r="U95" s="3"/>
      <c r="V95" s="3"/>
      <c r="W95" s="3"/>
      <c r="X95" s="3"/>
    </row>
    <row r="96" spans="1:24" ht="15.75" customHeight="1" x14ac:dyDescent="0.25">
      <c r="A96" s="3"/>
      <c r="B96" s="192">
        <v>32</v>
      </c>
      <c r="C96" s="323" t="str">
        <f>IF('INPUT DATA'!Q42="","",'INPUT DATA'!Q42)</f>
        <v/>
      </c>
      <c r="D96" s="282"/>
      <c r="E96" s="324"/>
      <c r="F96" s="185"/>
      <c r="G96" s="186"/>
      <c r="H96" s="186"/>
      <c r="I96" s="186"/>
      <c r="J96" s="186"/>
      <c r="K96" s="186"/>
      <c r="L96" s="186"/>
      <c r="M96" s="186"/>
      <c r="N96" s="186"/>
      <c r="O96" s="186"/>
      <c r="P96" s="187"/>
      <c r="Q96" s="3"/>
      <c r="R96" s="3"/>
      <c r="S96" s="3"/>
      <c r="T96" s="3"/>
      <c r="U96" s="3"/>
      <c r="V96" s="3"/>
      <c r="W96" s="3"/>
      <c r="X96" s="3"/>
    </row>
    <row r="97" spans="1:24" ht="15.75" customHeight="1" x14ac:dyDescent="0.25">
      <c r="A97" s="3"/>
      <c r="B97" s="192">
        <v>33</v>
      </c>
      <c r="C97" s="323" t="str">
        <f>IF('INPUT DATA'!Q43="","",'INPUT DATA'!Q43)</f>
        <v/>
      </c>
      <c r="D97" s="282"/>
      <c r="E97" s="324"/>
      <c r="F97" s="185"/>
      <c r="G97" s="186"/>
      <c r="H97" s="186"/>
      <c r="I97" s="186"/>
      <c r="J97" s="186"/>
      <c r="K97" s="186"/>
      <c r="L97" s="186"/>
      <c r="M97" s="186"/>
      <c r="N97" s="186"/>
      <c r="O97" s="186"/>
      <c r="P97" s="187"/>
      <c r="Q97" s="3"/>
      <c r="R97" s="3"/>
      <c r="S97" s="3"/>
      <c r="T97" s="3"/>
      <c r="U97" s="3"/>
      <c r="V97" s="3"/>
      <c r="W97" s="3"/>
      <c r="X97" s="3"/>
    </row>
    <row r="98" spans="1:24" ht="15.75" customHeight="1" x14ac:dyDescent="0.25">
      <c r="A98" s="3"/>
      <c r="B98" s="192">
        <v>34</v>
      </c>
      <c r="C98" s="323" t="str">
        <f>IF('INPUT DATA'!Q44="","",'INPUT DATA'!Q44)</f>
        <v/>
      </c>
      <c r="D98" s="282"/>
      <c r="E98" s="324"/>
      <c r="F98" s="185"/>
      <c r="G98" s="186"/>
      <c r="H98" s="186"/>
      <c r="I98" s="186"/>
      <c r="J98" s="186"/>
      <c r="K98" s="186"/>
      <c r="L98" s="186"/>
      <c r="M98" s="186"/>
      <c r="N98" s="186"/>
      <c r="O98" s="186"/>
      <c r="P98" s="187"/>
      <c r="Q98" s="3"/>
      <c r="R98" s="3"/>
      <c r="S98" s="3"/>
      <c r="T98" s="3"/>
      <c r="U98" s="3"/>
      <c r="V98" s="3"/>
      <c r="W98" s="3"/>
      <c r="X98" s="3"/>
    </row>
    <row r="99" spans="1:24" ht="15.75" customHeight="1" x14ac:dyDescent="0.25">
      <c r="A99" s="3"/>
      <c r="B99" s="192">
        <v>35</v>
      </c>
      <c r="C99" s="323" t="str">
        <f>IF('INPUT DATA'!Q45="","",'INPUT DATA'!Q45)</f>
        <v/>
      </c>
      <c r="D99" s="282"/>
      <c r="E99" s="324"/>
      <c r="F99" s="185"/>
      <c r="G99" s="186"/>
      <c r="H99" s="186"/>
      <c r="I99" s="186"/>
      <c r="J99" s="186"/>
      <c r="K99" s="186"/>
      <c r="L99" s="186"/>
      <c r="M99" s="186"/>
      <c r="N99" s="186"/>
      <c r="O99" s="186"/>
      <c r="P99" s="187"/>
      <c r="Q99" s="3"/>
      <c r="R99" s="3"/>
      <c r="S99" s="3"/>
      <c r="T99" s="3"/>
      <c r="U99" s="3"/>
      <c r="V99" s="3"/>
      <c r="W99" s="3"/>
      <c r="X99" s="3"/>
    </row>
    <row r="100" spans="1:24" ht="15.75" customHeight="1" x14ac:dyDescent="0.25">
      <c r="A100" s="3"/>
      <c r="B100" s="192">
        <v>36</v>
      </c>
      <c r="C100" s="323" t="str">
        <f>IF('INPUT DATA'!Q46="","",'INPUT DATA'!Q46)</f>
        <v/>
      </c>
      <c r="D100" s="282"/>
      <c r="E100" s="324"/>
      <c r="F100" s="185"/>
      <c r="G100" s="186"/>
      <c r="H100" s="186"/>
      <c r="I100" s="186"/>
      <c r="J100" s="186"/>
      <c r="K100" s="186"/>
      <c r="L100" s="186"/>
      <c r="M100" s="186"/>
      <c r="N100" s="186"/>
      <c r="O100" s="186"/>
      <c r="P100" s="187"/>
      <c r="Q100" s="3"/>
      <c r="R100" s="3"/>
      <c r="S100" s="3"/>
      <c r="T100" s="3"/>
      <c r="U100" s="3"/>
      <c r="V100" s="3"/>
      <c r="W100" s="3"/>
      <c r="X100" s="3"/>
    </row>
    <row r="101" spans="1:24" ht="15.75" customHeight="1" x14ac:dyDescent="0.25">
      <c r="A101" s="3"/>
      <c r="B101" s="192">
        <v>37</v>
      </c>
      <c r="C101" s="323" t="str">
        <f>IF('INPUT DATA'!Q47="","",'INPUT DATA'!Q47)</f>
        <v/>
      </c>
      <c r="D101" s="282"/>
      <c r="E101" s="324"/>
      <c r="F101" s="185"/>
      <c r="G101" s="186"/>
      <c r="H101" s="186"/>
      <c r="I101" s="186"/>
      <c r="J101" s="186"/>
      <c r="K101" s="186"/>
      <c r="L101" s="186"/>
      <c r="M101" s="186"/>
      <c r="N101" s="186"/>
      <c r="O101" s="186"/>
      <c r="P101" s="187"/>
      <c r="Q101" s="3"/>
      <c r="R101" s="3"/>
      <c r="S101" s="3"/>
      <c r="T101" s="3"/>
      <c r="U101" s="3"/>
      <c r="V101" s="3"/>
      <c r="W101" s="3"/>
      <c r="X101" s="3"/>
    </row>
    <row r="102" spans="1:24" ht="15.75" customHeight="1" x14ac:dyDescent="0.25">
      <c r="A102" s="3"/>
      <c r="B102" s="192">
        <v>38</v>
      </c>
      <c r="C102" s="323" t="str">
        <f>IF('INPUT DATA'!Q48="","",'INPUT DATA'!Q48)</f>
        <v/>
      </c>
      <c r="D102" s="282"/>
      <c r="E102" s="324"/>
      <c r="F102" s="185"/>
      <c r="G102" s="186"/>
      <c r="H102" s="186"/>
      <c r="I102" s="186"/>
      <c r="J102" s="186"/>
      <c r="K102" s="186"/>
      <c r="L102" s="186"/>
      <c r="M102" s="186"/>
      <c r="N102" s="186"/>
      <c r="O102" s="186"/>
      <c r="P102" s="187"/>
      <c r="Q102" s="3"/>
      <c r="R102" s="3"/>
      <c r="S102" s="3"/>
      <c r="T102" s="3"/>
      <c r="U102" s="3"/>
      <c r="V102" s="3"/>
      <c r="W102" s="3"/>
      <c r="X102" s="3"/>
    </row>
    <row r="103" spans="1:24" ht="15.75" customHeight="1" x14ac:dyDescent="0.25">
      <c r="A103" s="3"/>
      <c r="B103" s="192">
        <v>39</v>
      </c>
      <c r="C103" s="323" t="str">
        <f>IF('INPUT DATA'!Q49="","",'INPUT DATA'!Q49)</f>
        <v/>
      </c>
      <c r="D103" s="282"/>
      <c r="E103" s="324"/>
      <c r="F103" s="185"/>
      <c r="G103" s="186"/>
      <c r="H103" s="186"/>
      <c r="I103" s="186"/>
      <c r="J103" s="186"/>
      <c r="K103" s="186"/>
      <c r="L103" s="186"/>
      <c r="M103" s="186"/>
      <c r="N103" s="186"/>
      <c r="O103" s="186"/>
      <c r="P103" s="187"/>
      <c r="Q103" s="3"/>
      <c r="R103" s="3"/>
      <c r="S103" s="3"/>
      <c r="T103" s="3"/>
      <c r="U103" s="3"/>
      <c r="V103" s="3"/>
      <c r="W103" s="3"/>
      <c r="X103" s="3"/>
    </row>
    <row r="104" spans="1:24" ht="15.75" customHeight="1" x14ac:dyDescent="0.25">
      <c r="A104" s="3"/>
      <c r="B104" s="192">
        <v>40</v>
      </c>
      <c r="C104" s="323" t="str">
        <f>IF('INPUT DATA'!Q50="","",'INPUT DATA'!Q50)</f>
        <v/>
      </c>
      <c r="D104" s="282"/>
      <c r="E104" s="324"/>
      <c r="F104" s="185"/>
      <c r="G104" s="186"/>
      <c r="H104" s="186"/>
      <c r="I104" s="186"/>
      <c r="J104" s="186"/>
      <c r="K104" s="186"/>
      <c r="L104" s="186"/>
      <c r="M104" s="186"/>
      <c r="N104" s="186"/>
      <c r="O104" s="186"/>
      <c r="P104" s="187"/>
      <c r="Q104" s="3"/>
      <c r="R104" s="3"/>
      <c r="S104" s="3"/>
      <c r="T104" s="3"/>
      <c r="U104" s="3"/>
      <c r="V104" s="3"/>
      <c r="W104" s="3"/>
      <c r="X104" s="3"/>
    </row>
    <row r="105" spans="1:24" ht="15.75" customHeight="1" x14ac:dyDescent="0.25">
      <c r="A105" s="3"/>
      <c r="B105" s="192">
        <v>41</v>
      </c>
      <c r="C105" s="323" t="str">
        <f>IF('INPUT DATA'!Q51="","",'INPUT DATA'!Q51)</f>
        <v/>
      </c>
      <c r="D105" s="282"/>
      <c r="E105" s="324"/>
      <c r="F105" s="185"/>
      <c r="G105" s="186"/>
      <c r="H105" s="186"/>
      <c r="I105" s="186"/>
      <c r="J105" s="186"/>
      <c r="K105" s="186"/>
      <c r="L105" s="186"/>
      <c r="M105" s="186"/>
      <c r="N105" s="186"/>
      <c r="O105" s="186"/>
      <c r="P105" s="187"/>
      <c r="Q105" s="3"/>
      <c r="R105" s="3"/>
      <c r="S105" s="3"/>
      <c r="T105" s="3"/>
      <c r="U105" s="3"/>
      <c r="V105" s="3"/>
      <c r="W105" s="3"/>
      <c r="X105" s="3"/>
    </row>
    <row r="106" spans="1:24" ht="15.75" customHeight="1" x14ac:dyDescent="0.25">
      <c r="A106" s="3"/>
      <c r="B106" s="192">
        <v>42</v>
      </c>
      <c r="C106" s="323" t="str">
        <f>IF('INPUT DATA'!Q52="","",'INPUT DATA'!Q52)</f>
        <v/>
      </c>
      <c r="D106" s="282"/>
      <c r="E106" s="324"/>
      <c r="F106" s="185"/>
      <c r="G106" s="186"/>
      <c r="H106" s="186"/>
      <c r="I106" s="186"/>
      <c r="J106" s="186"/>
      <c r="K106" s="186"/>
      <c r="L106" s="186"/>
      <c r="M106" s="186"/>
      <c r="N106" s="186"/>
      <c r="O106" s="186"/>
      <c r="P106" s="187"/>
      <c r="Q106" s="3"/>
      <c r="R106" s="3"/>
      <c r="S106" s="3"/>
      <c r="T106" s="3"/>
      <c r="U106" s="3"/>
      <c r="V106" s="3"/>
      <c r="W106" s="3"/>
      <c r="X106" s="3"/>
    </row>
    <row r="107" spans="1:24" ht="15.75" customHeight="1" x14ac:dyDescent="0.25">
      <c r="A107" s="3"/>
      <c r="B107" s="192">
        <v>43</v>
      </c>
      <c r="C107" s="323" t="str">
        <f>IF('INPUT DATA'!Q53="","",'INPUT DATA'!Q53)</f>
        <v/>
      </c>
      <c r="D107" s="282"/>
      <c r="E107" s="324"/>
      <c r="F107" s="185"/>
      <c r="G107" s="186"/>
      <c r="H107" s="186"/>
      <c r="I107" s="186"/>
      <c r="J107" s="186"/>
      <c r="K107" s="186"/>
      <c r="L107" s="186"/>
      <c r="M107" s="186"/>
      <c r="N107" s="186"/>
      <c r="O107" s="186"/>
      <c r="P107" s="187"/>
      <c r="Q107" s="3"/>
      <c r="R107" s="3"/>
      <c r="S107" s="3"/>
      <c r="T107" s="3"/>
      <c r="U107" s="3"/>
      <c r="V107" s="3"/>
      <c r="W107" s="3"/>
      <c r="X107" s="3"/>
    </row>
    <row r="108" spans="1:24" ht="15.75" customHeight="1" x14ac:dyDescent="0.25">
      <c r="A108" s="3"/>
      <c r="B108" s="192">
        <v>44</v>
      </c>
      <c r="C108" s="323" t="str">
        <f>IF('INPUT DATA'!Q54="","",'INPUT DATA'!Q54)</f>
        <v/>
      </c>
      <c r="D108" s="282"/>
      <c r="E108" s="324"/>
      <c r="F108" s="185"/>
      <c r="G108" s="186"/>
      <c r="H108" s="186"/>
      <c r="I108" s="186"/>
      <c r="J108" s="186"/>
      <c r="K108" s="186"/>
      <c r="L108" s="186"/>
      <c r="M108" s="186"/>
      <c r="N108" s="186"/>
      <c r="O108" s="186"/>
      <c r="P108" s="187"/>
      <c r="Q108" s="3"/>
      <c r="R108" s="3"/>
      <c r="S108" s="3"/>
      <c r="T108" s="3"/>
      <c r="U108" s="3"/>
      <c r="V108" s="3"/>
      <c r="W108" s="3"/>
      <c r="X108" s="3"/>
    </row>
    <row r="109" spans="1:24" ht="15.75" customHeight="1" x14ac:dyDescent="0.25">
      <c r="A109" s="3"/>
      <c r="B109" s="192">
        <v>45</v>
      </c>
      <c r="C109" s="323" t="str">
        <f>IF('INPUT DATA'!Q55="","",'INPUT DATA'!Q55)</f>
        <v/>
      </c>
      <c r="D109" s="282"/>
      <c r="E109" s="324"/>
      <c r="F109" s="185"/>
      <c r="G109" s="186"/>
      <c r="H109" s="186"/>
      <c r="I109" s="186"/>
      <c r="J109" s="186"/>
      <c r="K109" s="186"/>
      <c r="L109" s="186"/>
      <c r="M109" s="186"/>
      <c r="N109" s="186"/>
      <c r="O109" s="186"/>
      <c r="P109" s="187"/>
      <c r="Q109" s="3"/>
      <c r="R109" s="3"/>
      <c r="S109" s="3"/>
      <c r="T109" s="3"/>
      <c r="U109" s="3"/>
      <c r="V109" s="3"/>
      <c r="W109" s="3"/>
      <c r="X109" s="3"/>
    </row>
    <row r="110" spans="1:24" ht="15.75" customHeight="1" x14ac:dyDescent="0.25">
      <c r="A110" s="3"/>
      <c r="B110" s="192">
        <v>46</v>
      </c>
      <c r="C110" s="323" t="str">
        <f>IF('INPUT DATA'!Q56="","",'INPUT DATA'!Q56)</f>
        <v/>
      </c>
      <c r="D110" s="282"/>
      <c r="E110" s="324"/>
      <c r="F110" s="185"/>
      <c r="G110" s="186"/>
      <c r="H110" s="186"/>
      <c r="I110" s="186"/>
      <c r="J110" s="186"/>
      <c r="K110" s="186"/>
      <c r="L110" s="186"/>
      <c r="M110" s="186"/>
      <c r="N110" s="186"/>
      <c r="O110" s="186"/>
      <c r="P110" s="187"/>
      <c r="Q110" s="3"/>
      <c r="R110" s="3"/>
      <c r="S110" s="3"/>
      <c r="T110" s="3"/>
      <c r="U110" s="3"/>
      <c r="V110" s="3"/>
      <c r="W110" s="3"/>
      <c r="X110" s="3"/>
    </row>
    <row r="111" spans="1:24" ht="15.75" customHeight="1" x14ac:dyDescent="0.25">
      <c r="A111" s="3"/>
      <c r="B111" s="192">
        <v>47</v>
      </c>
      <c r="C111" s="323" t="str">
        <f>IF('INPUT DATA'!Q57="","",'INPUT DATA'!Q57)</f>
        <v/>
      </c>
      <c r="D111" s="282"/>
      <c r="E111" s="324"/>
      <c r="F111" s="185"/>
      <c r="G111" s="186"/>
      <c r="H111" s="186"/>
      <c r="I111" s="186"/>
      <c r="J111" s="186"/>
      <c r="K111" s="186"/>
      <c r="L111" s="186"/>
      <c r="M111" s="186"/>
      <c r="N111" s="186"/>
      <c r="O111" s="186"/>
      <c r="P111" s="187"/>
      <c r="Q111" s="3"/>
      <c r="R111" s="3"/>
      <c r="S111" s="3"/>
      <c r="T111" s="3"/>
      <c r="U111" s="3"/>
      <c r="V111" s="3"/>
      <c r="W111" s="3"/>
      <c r="X111" s="3"/>
    </row>
    <row r="112" spans="1:24" ht="15.75" customHeight="1" x14ac:dyDescent="0.25">
      <c r="A112" s="3"/>
      <c r="B112" s="192">
        <v>48</v>
      </c>
      <c r="C112" s="323" t="str">
        <f>IF('INPUT DATA'!Q58="","",'INPUT DATA'!Q58)</f>
        <v/>
      </c>
      <c r="D112" s="282"/>
      <c r="E112" s="324"/>
      <c r="F112" s="185"/>
      <c r="G112" s="186"/>
      <c r="H112" s="186"/>
      <c r="I112" s="186"/>
      <c r="J112" s="186"/>
      <c r="K112" s="186"/>
      <c r="L112" s="186"/>
      <c r="M112" s="186"/>
      <c r="N112" s="186"/>
      <c r="O112" s="186"/>
      <c r="P112" s="187"/>
      <c r="Q112" s="3"/>
      <c r="R112" s="3"/>
      <c r="S112" s="3"/>
      <c r="T112" s="3"/>
      <c r="U112" s="3"/>
      <c r="V112" s="3"/>
      <c r="W112" s="3"/>
      <c r="X112" s="3"/>
    </row>
    <row r="113" spans="1:24" ht="15.75" customHeight="1" x14ac:dyDescent="0.25">
      <c r="A113" s="3"/>
      <c r="B113" s="192">
        <v>49</v>
      </c>
      <c r="C113" s="323" t="str">
        <f>IF('INPUT DATA'!Q59="","",'INPUT DATA'!Q59)</f>
        <v/>
      </c>
      <c r="D113" s="282"/>
      <c r="E113" s="324"/>
      <c r="F113" s="185"/>
      <c r="G113" s="186"/>
      <c r="H113" s="186"/>
      <c r="I113" s="186"/>
      <c r="J113" s="186"/>
      <c r="K113" s="186"/>
      <c r="L113" s="186"/>
      <c r="M113" s="186"/>
      <c r="N113" s="186"/>
      <c r="O113" s="186"/>
      <c r="P113" s="187"/>
      <c r="Q113" s="3"/>
      <c r="R113" s="3"/>
      <c r="S113" s="3"/>
      <c r="T113" s="3"/>
      <c r="U113" s="3"/>
      <c r="V113" s="3"/>
      <c r="W113" s="3"/>
      <c r="X113" s="3"/>
    </row>
    <row r="114" spans="1:24" ht="15.75" customHeight="1" x14ac:dyDescent="0.25">
      <c r="A114" s="3"/>
      <c r="B114" s="198">
        <v>50</v>
      </c>
      <c r="C114" s="326" t="str">
        <f>IF('INPUT DATA'!Q60="","",'INPUT DATA'!Q60)</f>
        <v/>
      </c>
      <c r="D114" s="244"/>
      <c r="E114" s="245"/>
      <c r="F114" s="199"/>
      <c r="G114" s="200"/>
      <c r="H114" s="200"/>
      <c r="I114" s="200"/>
      <c r="J114" s="200"/>
      <c r="K114" s="200"/>
      <c r="L114" s="200"/>
      <c r="M114" s="200"/>
      <c r="N114" s="200"/>
      <c r="O114" s="200"/>
      <c r="P114" s="195"/>
      <c r="Q114" s="3"/>
      <c r="R114" s="3"/>
      <c r="S114" s="3"/>
      <c r="T114" s="3"/>
      <c r="U114" s="3"/>
      <c r="V114" s="3"/>
      <c r="W114" s="3"/>
      <c r="X114" s="3"/>
    </row>
    <row r="115" spans="1:24" ht="15.75" customHeight="1" x14ac:dyDescent="0.25">
      <c r="A115" s="3"/>
      <c r="B115" s="3"/>
      <c r="C115" s="2"/>
      <c r="D115" s="3"/>
      <c r="E115" s="3"/>
      <c r="F115" s="318"/>
      <c r="G115" s="207"/>
      <c r="H115" s="318"/>
      <c r="I115" s="207"/>
      <c r="J115" s="3"/>
      <c r="K115" s="3"/>
      <c r="L115" s="318"/>
      <c r="M115" s="207"/>
      <c r="N115" s="3"/>
      <c r="O115" s="3"/>
      <c r="P115" s="3"/>
      <c r="Q115" s="3"/>
      <c r="R115" s="3"/>
      <c r="S115" s="3"/>
      <c r="T115" s="3"/>
      <c r="U115" s="3"/>
      <c r="V115" s="3"/>
      <c r="W115" s="3"/>
      <c r="X115" s="3"/>
    </row>
    <row r="116" spans="1:24" ht="15.75" customHeight="1" x14ac:dyDescent="0.25">
      <c r="A116" s="3"/>
      <c r="B116" s="327" t="s">
        <v>312</v>
      </c>
      <c r="C116" s="213"/>
      <c r="D116" s="213"/>
      <c r="E116" s="168" t="s">
        <v>313</v>
      </c>
      <c r="F116" s="168" t="s">
        <v>163</v>
      </c>
      <c r="G116" s="168" t="s">
        <v>165</v>
      </c>
      <c r="H116" s="168" t="s">
        <v>167</v>
      </c>
      <c r="I116" s="168" t="s">
        <v>168</v>
      </c>
      <c r="J116" s="168" t="s">
        <v>169</v>
      </c>
      <c r="K116" s="168" t="s">
        <v>171</v>
      </c>
      <c r="L116" s="168" t="s">
        <v>172</v>
      </c>
      <c r="M116" s="168" t="s">
        <v>175</v>
      </c>
      <c r="N116" s="168" t="s">
        <v>176</v>
      </c>
      <c r="O116" s="168" t="s">
        <v>177</v>
      </c>
      <c r="P116" s="168" t="s">
        <v>314</v>
      </c>
      <c r="Q116" s="3"/>
      <c r="R116" s="3"/>
      <c r="S116" s="3"/>
      <c r="T116" s="3"/>
      <c r="U116" s="3"/>
      <c r="V116" s="3"/>
      <c r="W116" s="3"/>
      <c r="X116" s="3"/>
    </row>
    <row r="117" spans="1:24" ht="15.75" customHeight="1" x14ac:dyDescent="0.25">
      <c r="A117" s="3"/>
      <c r="B117" s="235"/>
      <c r="C117" s="236"/>
      <c r="D117" s="236"/>
      <c r="E117" s="201">
        <f>SUM(F117:P117)</f>
        <v>201</v>
      </c>
      <c r="F117" s="168">
        <v>20</v>
      </c>
      <c r="G117" s="168">
        <v>20</v>
      </c>
      <c r="H117" s="168">
        <v>20</v>
      </c>
      <c r="I117" s="168">
        <v>20</v>
      </c>
      <c r="J117" s="168">
        <v>20</v>
      </c>
      <c r="K117" s="168">
        <v>20</v>
      </c>
      <c r="L117" s="168">
        <v>20</v>
      </c>
      <c r="M117" s="168">
        <v>18</v>
      </c>
      <c r="N117" s="168">
        <v>18</v>
      </c>
      <c r="O117" s="168">
        <v>20</v>
      </c>
      <c r="P117" s="202">
        <v>5</v>
      </c>
      <c r="Q117" s="3"/>
      <c r="R117" s="3"/>
      <c r="S117" s="3"/>
      <c r="T117" s="3"/>
      <c r="U117" s="3"/>
      <c r="V117" s="3"/>
      <c r="W117" s="3"/>
      <c r="X117" s="3"/>
    </row>
    <row r="118" spans="1:24" ht="15.75" customHeight="1" x14ac:dyDescent="0.25">
      <c r="A118" s="3"/>
      <c r="B118" s="3"/>
      <c r="C118" s="2"/>
      <c r="D118" s="3"/>
      <c r="E118" s="3"/>
      <c r="F118" s="318"/>
      <c r="G118" s="207"/>
      <c r="H118" s="318"/>
      <c r="I118" s="207"/>
      <c r="J118" s="3"/>
      <c r="K118" s="3"/>
      <c r="L118" s="318"/>
      <c r="M118" s="207"/>
      <c r="N118" s="3"/>
      <c r="O118" s="3"/>
      <c r="P118" s="3"/>
      <c r="Q118" s="3"/>
      <c r="R118" s="3"/>
      <c r="S118" s="3"/>
      <c r="T118" s="3"/>
      <c r="U118" s="3"/>
      <c r="V118" s="3"/>
      <c r="W118" s="3"/>
      <c r="X118" s="3"/>
    </row>
    <row r="119" spans="1:24" ht="15.75" customHeight="1" x14ac:dyDescent="0.25">
      <c r="A119" s="3"/>
      <c r="B119" s="3"/>
      <c r="C119" s="2"/>
      <c r="D119" s="3"/>
      <c r="E119" s="3"/>
      <c r="F119" s="318"/>
      <c r="G119" s="207"/>
      <c r="H119" s="318"/>
      <c r="I119" s="207"/>
      <c r="J119" s="3"/>
      <c r="K119" s="3"/>
      <c r="L119" s="318"/>
      <c r="M119" s="207"/>
      <c r="N119" s="3"/>
      <c r="O119" s="3"/>
      <c r="P119" s="3"/>
      <c r="Q119" s="3"/>
      <c r="R119" s="3"/>
      <c r="S119" s="3"/>
      <c r="T119" s="3"/>
      <c r="U119" s="3"/>
      <c r="V119" s="3"/>
      <c r="W119" s="3"/>
      <c r="X119" s="3"/>
    </row>
    <row r="120" spans="1:24" ht="15.75" customHeight="1" x14ac:dyDescent="0.25">
      <c r="A120" s="3"/>
      <c r="B120" s="3"/>
      <c r="C120" s="2"/>
      <c r="D120" s="3"/>
      <c r="E120" s="3"/>
      <c r="F120" s="318"/>
      <c r="G120" s="207"/>
      <c r="H120" s="318"/>
      <c r="I120" s="207"/>
      <c r="J120" s="3"/>
      <c r="K120" s="3"/>
      <c r="L120" s="318"/>
      <c r="M120" s="207"/>
      <c r="N120" s="3"/>
      <c r="O120" s="3"/>
      <c r="P120" s="3"/>
      <c r="Q120" s="3"/>
      <c r="R120" s="3"/>
      <c r="S120" s="3"/>
      <c r="T120" s="3"/>
      <c r="U120" s="3"/>
      <c r="V120" s="3"/>
      <c r="W120" s="3"/>
      <c r="X120" s="3"/>
    </row>
    <row r="121" spans="1:24" ht="15.75" customHeight="1" x14ac:dyDescent="0.25">
      <c r="A121" s="3"/>
      <c r="B121" s="3"/>
      <c r="C121" s="2"/>
      <c r="D121" s="3"/>
      <c r="E121" s="3"/>
      <c r="F121" s="318"/>
      <c r="G121" s="207"/>
      <c r="H121" s="318"/>
      <c r="I121" s="207"/>
      <c r="J121" s="3"/>
      <c r="K121" s="3"/>
      <c r="L121" s="318"/>
      <c r="M121" s="207"/>
      <c r="N121" s="3"/>
      <c r="O121" s="3"/>
      <c r="P121" s="3"/>
      <c r="Q121" s="3"/>
      <c r="R121" s="3"/>
      <c r="S121" s="3"/>
      <c r="T121" s="3"/>
      <c r="U121" s="3"/>
      <c r="V121" s="3"/>
      <c r="W121" s="3"/>
      <c r="X121" s="3"/>
    </row>
    <row r="122" spans="1:24" ht="15.75" customHeight="1" x14ac:dyDescent="0.25">
      <c r="A122" s="3"/>
      <c r="B122" s="3"/>
      <c r="C122" s="2"/>
      <c r="D122" s="3"/>
      <c r="E122" s="3"/>
      <c r="F122" s="318"/>
      <c r="G122" s="207"/>
      <c r="H122" s="318"/>
      <c r="I122" s="207"/>
      <c r="J122" s="3"/>
      <c r="K122" s="3"/>
      <c r="L122" s="318"/>
      <c r="M122" s="207"/>
      <c r="N122" s="3"/>
      <c r="O122" s="3"/>
      <c r="P122" s="3"/>
      <c r="Q122" s="3"/>
      <c r="R122" s="3"/>
      <c r="S122" s="3"/>
      <c r="T122" s="3"/>
      <c r="U122" s="3"/>
      <c r="V122" s="3"/>
      <c r="W122" s="3"/>
      <c r="X122" s="3"/>
    </row>
    <row r="123" spans="1:24" ht="15.75" customHeight="1" x14ac:dyDescent="0.25">
      <c r="A123" s="3"/>
      <c r="B123" s="3"/>
      <c r="C123" s="2"/>
      <c r="D123" s="3"/>
      <c r="E123" s="3"/>
      <c r="F123" s="318"/>
      <c r="G123" s="207"/>
      <c r="H123" s="318"/>
      <c r="I123" s="207"/>
      <c r="J123" s="3"/>
      <c r="K123" s="3"/>
      <c r="L123" s="318"/>
      <c r="M123" s="207"/>
      <c r="N123" s="3"/>
      <c r="O123" s="3"/>
      <c r="P123" s="3"/>
      <c r="Q123" s="3"/>
      <c r="R123" s="3"/>
      <c r="S123" s="3"/>
      <c r="T123" s="3"/>
      <c r="U123" s="3"/>
      <c r="V123" s="3"/>
      <c r="W123" s="3"/>
      <c r="X123" s="3"/>
    </row>
    <row r="124" spans="1:24" ht="15.75" customHeight="1" x14ac:dyDescent="0.25">
      <c r="A124" s="3"/>
      <c r="B124" s="3"/>
      <c r="C124" s="2"/>
      <c r="D124" s="3"/>
      <c r="E124" s="3"/>
      <c r="F124" s="318"/>
      <c r="G124" s="207"/>
      <c r="H124" s="318"/>
      <c r="I124" s="207"/>
      <c r="J124" s="3"/>
      <c r="K124" s="3"/>
      <c r="L124" s="318"/>
      <c r="M124" s="207"/>
      <c r="N124" s="3"/>
      <c r="O124" s="3"/>
      <c r="P124" s="3"/>
      <c r="Q124" s="3"/>
      <c r="R124" s="3"/>
      <c r="S124" s="3"/>
      <c r="T124" s="3"/>
      <c r="U124" s="3"/>
      <c r="V124" s="3"/>
      <c r="W124" s="3"/>
      <c r="X124" s="3"/>
    </row>
    <row r="125" spans="1:24" ht="15.75" customHeight="1" x14ac:dyDescent="0.25">
      <c r="A125" s="3"/>
      <c r="B125" s="3"/>
      <c r="C125" s="2"/>
      <c r="D125" s="3"/>
      <c r="E125" s="3"/>
      <c r="F125" s="318"/>
      <c r="G125" s="207"/>
      <c r="H125" s="318"/>
      <c r="I125" s="207"/>
      <c r="J125" s="3"/>
      <c r="K125" s="3"/>
      <c r="L125" s="318"/>
      <c r="M125" s="207"/>
      <c r="N125" s="3"/>
      <c r="O125" s="3"/>
      <c r="P125" s="3"/>
      <c r="Q125" s="3"/>
      <c r="R125" s="3"/>
      <c r="S125" s="3"/>
      <c r="T125" s="3"/>
      <c r="U125" s="3"/>
      <c r="V125" s="3"/>
      <c r="W125" s="3"/>
      <c r="X125" s="3"/>
    </row>
    <row r="126" spans="1:24" ht="15.75" customHeight="1" x14ac:dyDescent="0.25">
      <c r="A126" s="3"/>
      <c r="B126" s="3"/>
      <c r="C126" s="2"/>
      <c r="D126" s="3"/>
      <c r="E126" s="3"/>
      <c r="F126" s="318"/>
      <c r="G126" s="207"/>
      <c r="H126" s="318"/>
      <c r="I126" s="207"/>
      <c r="J126" s="3"/>
      <c r="K126" s="3"/>
      <c r="L126" s="318"/>
      <c r="M126" s="207"/>
      <c r="N126" s="3"/>
      <c r="O126" s="3"/>
      <c r="P126" s="3"/>
      <c r="Q126" s="3"/>
      <c r="R126" s="3"/>
      <c r="S126" s="3"/>
      <c r="T126" s="3"/>
      <c r="U126" s="3"/>
      <c r="V126" s="3"/>
      <c r="W126" s="3"/>
      <c r="X126" s="3"/>
    </row>
    <row r="127" spans="1:24" ht="15.75" customHeight="1" x14ac:dyDescent="0.25">
      <c r="A127" s="3"/>
      <c r="B127" s="3"/>
      <c r="C127" s="2"/>
      <c r="D127" s="3"/>
      <c r="E127" s="3"/>
      <c r="F127" s="318"/>
      <c r="G127" s="207"/>
      <c r="H127" s="318"/>
      <c r="I127" s="207"/>
      <c r="J127" s="3"/>
      <c r="K127" s="3"/>
      <c r="L127" s="318"/>
      <c r="M127" s="207"/>
      <c r="N127" s="3"/>
      <c r="O127" s="3"/>
      <c r="P127" s="3"/>
      <c r="Q127" s="3"/>
      <c r="R127" s="3"/>
      <c r="S127" s="3"/>
      <c r="T127" s="3"/>
      <c r="U127" s="3"/>
      <c r="V127" s="3"/>
      <c r="W127" s="3"/>
      <c r="X127" s="3"/>
    </row>
    <row r="128" spans="1:24" ht="15.75" customHeight="1" x14ac:dyDescent="0.25">
      <c r="A128" s="3"/>
      <c r="B128" s="3"/>
      <c r="C128" s="2"/>
      <c r="D128" s="3"/>
      <c r="E128" s="3"/>
      <c r="F128" s="318"/>
      <c r="G128" s="207"/>
      <c r="H128" s="318"/>
      <c r="I128" s="207"/>
      <c r="J128" s="3"/>
      <c r="K128" s="3"/>
      <c r="L128" s="318"/>
      <c r="M128" s="207"/>
      <c r="N128" s="3"/>
      <c r="O128" s="3"/>
      <c r="P128" s="3"/>
      <c r="Q128" s="3"/>
      <c r="R128" s="3"/>
      <c r="S128" s="3"/>
      <c r="T128" s="3"/>
      <c r="U128" s="3"/>
      <c r="V128" s="3"/>
      <c r="W128" s="3"/>
      <c r="X128" s="3"/>
    </row>
    <row r="129" spans="1:24" ht="15.75" customHeight="1" x14ac:dyDescent="0.25">
      <c r="A129" s="3"/>
      <c r="B129" s="3"/>
      <c r="C129" s="2"/>
      <c r="D129" s="3"/>
      <c r="E129" s="3"/>
      <c r="F129" s="318"/>
      <c r="G129" s="207"/>
      <c r="H129" s="318"/>
      <c r="I129" s="207"/>
      <c r="J129" s="3"/>
      <c r="K129" s="3"/>
      <c r="L129" s="318"/>
      <c r="M129" s="207"/>
      <c r="N129" s="3"/>
      <c r="O129" s="3"/>
      <c r="P129" s="3"/>
      <c r="Q129" s="3"/>
      <c r="R129" s="3"/>
      <c r="S129" s="3"/>
      <c r="T129" s="3"/>
      <c r="U129" s="3"/>
      <c r="V129" s="3"/>
      <c r="W129" s="3"/>
      <c r="X129" s="3"/>
    </row>
    <row r="130" spans="1:24" ht="15.75" customHeight="1" x14ac:dyDescent="0.25">
      <c r="A130" s="3"/>
      <c r="B130" s="3"/>
      <c r="C130" s="2"/>
      <c r="D130" s="3"/>
      <c r="E130" s="3"/>
      <c r="F130" s="318"/>
      <c r="G130" s="207"/>
      <c r="H130" s="318"/>
      <c r="I130" s="207"/>
      <c r="J130" s="3"/>
      <c r="K130" s="3"/>
      <c r="L130" s="318"/>
      <c r="M130" s="207"/>
      <c r="N130" s="3"/>
      <c r="O130" s="3"/>
      <c r="P130" s="3"/>
      <c r="Q130" s="3"/>
      <c r="R130" s="3"/>
      <c r="S130" s="3"/>
      <c r="T130" s="3"/>
      <c r="U130" s="3"/>
      <c r="V130" s="3"/>
      <c r="W130" s="3"/>
      <c r="X130" s="3"/>
    </row>
    <row r="131" spans="1:24" ht="15.75" customHeight="1" x14ac:dyDescent="0.25">
      <c r="A131" s="3"/>
      <c r="B131" s="3"/>
      <c r="C131" s="2"/>
      <c r="D131" s="3"/>
      <c r="E131" s="3"/>
      <c r="F131" s="318"/>
      <c r="G131" s="207"/>
      <c r="H131" s="318"/>
      <c r="I131" s="207"/>
      <c r="J131" s="3"/>
      <c r="K131" s="3"/>
      <c r="L131" s="318"/>
      <c r="M131" s="207"/>
      <c r="N131" s="3"/>
      <c r="O131" s="3"/>
      <c r="P131" s="3"/>
      <c r="Q131" s="3"/>
      <c r="R131" s="3"/>
      <c r="S131" s="3"/>
      <c r="T131" s="3"/>
      <c r="U131" s="3"/>
      <c r="V131" s="3"/>
      <c r="W131" s="3"/>
      <c r="X131" s="3"/>
    </row>
    <row r="132" spans="1:24" ht="15.75" customHeight="1" x14ac:dyDescent="0.25">
      <c r="A132" s="3"/>
      <c r="B132" s="3"/>
      <c r="C132" s="2"/>
      <c r="D132" s="3"/>
      <c r="E132" s="3"/>
      <c r="F132" s="318"/>
      <c r="G132" s="207"/>
      <c r="H132" s="318"/>
      <c r="I132" s="207"/>
      <c r="J132" s="3"/>
      <c r="K132" s="3"/>
      <c r="L132" s="318"/>
      <c r="M132" s="207"/>
      <c r="N132" s="3"/>
      <c r="O132" s="3"/>
      <c r="P132" s="3"/>
      <c r="Q132" s="3"/>
      <c r="R132" s="3"/>
      <c r="S132" s="3"/>
      <c r="T132" s="3"/>
      <c r="U132" s="3"/>
      <c r="V132" s="3"/>
      <c r="W132" s="3"/>
      <c r="X132" s="3"/>
    </row>
    <row r="133" spans="1:24" ht="15.75" customHeight="1" x14ac:dyDescent="0.25">
      <c r="A133" s="3"/>
      <c r="B133" s="3"/>
      <c r="C133" s="2"/>
      <c r="D133" s="3"/>
      <c r="E133" s="3"/>
      <c r="F133" s="318"/>
      <c r="G133" s="207"/>
      <c r="H133" s="318"/>
      <c r="I133" s="207"/>
      <c r="J133" s="3"/>
      <c r="K133" s="3"/>
      <c r="L133" s="318"/>
      <c r="M133" s="207"/>
      <c r="N133" s="3"/>
      <c r="O133" s="3"/>
      <c r="P133" s="3"/>
      <c r="Q133" s="3"/>
      <c r="R133" s="3"/>
      <c r="S133" s="3"/>
      <c r="T133" s="3"/>
      <c r="U133" s="3"/>
      <c r="V133" s="3"/>
      <c r="W133" s="3"/>
      <c r="X133" s="3"/>
    </row>
    <row r="134" spans="1:24" ht="15.75" customHeight="1" x14ac:dyDescent="0.25">
      <c r="A134" s="3"/>
      <c r="B134" s="3"/>
      <c r="C134" s="2"/>
      <c r="D134" s="3"/>
      <c r="E134" s="3"/>
      <c r="F134" s="318"/>
      <c r="G134" s="207"/>
      <c r="H134" s="318"/>
      <c r="I134" s="207"/>
      <c r="J134" s="3"/>
      <c r="K134" s="3"/>
      <c r="L134" s="318"/>
      <c r="M134" s="207"/>
      <c r="N134" s="3"/>
      <c r="O134" s="3"/>
      <c r="P134" s="3"/>
      <c r="Q134" s="3"/>
      <c r="R134" s="3"/>
      <c r="S134" s="3"/>
      <c r="T134" s="3"/>
      <c r="U134" s="3"/>
      <c r="V134" s="3"/>
      <c r="W134" s="3"/>
      <c r="X134" s="3"/>
    </row>
    <row r="135" spans="1:24" ht="15.75" customHeight="1" x14ac:dyDescent="0.25">
      <c r="A135" s="3"/>
      <c r="B135" s="3"/>
      <c r="C135" s="2"/>
      <c r="D135" s="3"/>
      <c r="E135" s="3"/>
      <c r="F135" s="318"/>
      <c r="G135" s="207"/>
      <c r="H135" s="3"/>
      <c r="I135" s="3"/>
      <c r="J135" s="3"/>
      <c r="K135" s="3"/>
      <c r="L135" s="318"/>
      <c r="M135" s="207"/>
      <c r="N135" s="3"/>
      <c r="O135" s="3"/>
      <c r="P135" s="3"/>
      <c r="Q135" s="3"/>
      <c r="R135" s="3"/>
      <c r="S135" s="3"/>
      <c r="T135" s="3"/>
      <c r="U135" s="3"/>
      <c r="V135" s="3"/>
      <c r="W135" s="3"/>
      <c r="X135" s="3"/>
    </row>
    <row r="136" spans="1:24" ht="15.75" customHeight="1" x14ac:dyDescent="0.25">
      <c r="A136" s="3"/>
      <c r="B136" s="3"/>
      <c r="C136" s="2"/>
      <c r="D136" s="3"/>
      <c r="E136" s="3"/>
      <c r="F136" s="318"/>
      <c r="G136" s="207"/>
      <c r="H136" s="3"/>
      <c r="I136" s="3"/>
      <c r="J136" s="3"/>
      <c r="K136" s="3"/>
      <c r="L136" s="318"/>
      <c r="M136" s="207"/>
      <c r="N136" s="3"/>
      <c r="O136" s="3"/>
      <c r="P136" s="3"/>
      <c r="Q136" s="3"/>
      <c r="R136" s="3"/>
      <c r="S136" s="3"/>
      <c r="T136" s="3"/>
      <c r="U136" s="3"/>
      <c r="V136" s="3"/>
      <c r="W136" s="3"/>
      <c r="X136" s="3"/>
    </row>
    <row r="137" spans="1:24" ht="15.75" customHeight="1" x14ac:dyDescent="0.25">
      <c r="A137" s="3"/>
      <c r="B137" s="3"/>
      <c r="C137" s="2"/>
      <c r="D137" s="3"/>
      <c r="E137" s="3"/>
      <c r="F137" s="318"/>
      <c r="G137" s="207"/>
      <c r="H137" s="3"/>
      <c r="I137" s="3"/>
      <c r="J137" s="3"/>
      <c r="K137" s="3"/>
      <c r="L137" s="318"/>
      <c r="M137" s="207"/>
      <c r="N137" s="3"/>
      <c r="O137" s="3"/>
      <c r="P137" s="3"/>
      <c r="Q137" s="3"/>
      <c r="R137" s="3"/>
      <c r="S137" s="3"/>
      <c r="T137" s="3"/>
      <c r="U137" s="3"/>
      <c r="V137" s="3"/>
      <c r="W137" s="3"/>
      <c r="X137" s="3"/>
    </row>
    <row r="138" spans="1:24" ht="15.75" customHeight="1" x14ac:dyDescent="0.25">
      <c r="A138" s="3"/>
      <c r="B138" s="3"/>
      <c r="C138" s="2"/>
      <c r="D138" s="3"/>
      <c r="E138" s="3"/>
      <c r="F138" s="318"/>
      <c r="G138" s="207"/>
      <c r="H138" s="3"/>
      <c r="I138" s="3"/>
      <c r="J138" s="3"/>
      <c r="K138" s="3"/>
      <c r="L138" s="318"/>
      <c r="M138" s="207"/>
      <c r="N138" s="3"/>
      <c r="O138" s="3"/>
      <c r="P138" s="3"/>
      <c r="Q138" s="3"/>
      <c r="R138" s="3"/>
      <c r="S138" s="3"/>
      <c r="T138" s="3"/>
      <c r="U138" s="3"/>
      <c r="V138" s="3"/>
      <c r="W138" s="3"/>
      <c r="X138" s="3"/>
    </row>
    <row r="139" spans="1:24" ht="15.75" customHeight="1" x14ac:dyDescent="0.25">
      <c r="A139" s="3"/>
      <c r="B139" s="3"/>
      <c r="C139" s="2"/>
      <c r="D139" s="3"/>
      <c r="E139" s="3"/>
      <c r="F139" s="318"/>
      <c r="G139" s="207"/>
      <c r="H139" s="3"/>
      <c r="I139" s="3"/>
      <c r="J139" s="3"/>
      <c r="K139" s="3"/>
      <c r="L139" s="318"/>
      <c r="M139" s="207"/>
      <c r="N139" s="3"/>
      <c r="O139" s="3"/>
      <c r="P139" s="3"/>
      <c r="Q139" s="3"/>
      <c r="R139" s="3"/>
      <c r="S139" s="3"/>
      <c r="T139" s="3"/>
      <c r="U139" s="3"/>
      <c r="V139" s="3"/>
      <c r="W139" s="3"/>
      <c r="X139" s="3"/>
    </row>
    <row r="140" spans="1:24" ht="15.75" customHeight="1" x14ac:dyDescent="0.25">
      <c r="A140" s="3"/>
      <c r="B140" s="3"/>
      <c r="C140" s="2"/>
      <c r="D140" s="3"/>
      <c r="E140" s="3"/>
      <c r="F140" s="318"/>
      <c r="G140" s="207"/>
      <c r="H140" s="3"/>
      <c r="I140" s="3"/>
      <c r="J140" s="3"/>
      <c r="K140" s="3"/>
      <c r="L140" s="318"/>
      <c r="M140" s="207"/>
      <c r="N140" s="3"/>
      <c r="O140" s="3"/>
      <c r="P140" s="3"/>
      <c r="Q140" s="3"/>
      <c r="R140" s="3"/>
      <c r="S140" s="3"/>
      <c r="T140" s="3"/>
      <c r="U140" s="3"/>
      <c r="V140" s="3"/>
      <c r="W140" s="3"/>
      <c r="X140" s="3"/>
    </row>
    <row r="141" spans="1:24" ht="15.75" customHeight="1" x14ac:dyDescent="0.25">
      <c r="A141" s="3"/>
      <c r="B141" s="3"/>
      <c r="C141" s="2"/>
      <c r="D141" s="3"/>
      <c r="E141" s="3"/>
      <c r="F141" s="318"/>
      <c r="G141" s="207"/>
      <c r="H141" s="3"/>
      <c r="I141" s="3"/>
      <c r="J141" s="3"/>
      <c r="K141" s="3"/>
      <c r="L141" s="318"/>
      <c r="M141" s="207"/>
      <c r="N141" s="3"/>
      <c r="O141" s="3"/>
      <c r="P141" s="3"/>
      <c r="Q141" s="3"/>
      <c r="R141" s="3"/>
      <c r="S141" s="3"/>
      <c r="T141" s="3"/>
      <c r="U141" s="3"/>
      <c r="V141" s="3"/>
      <c r="W141" s="3"/>
      <c r="X141" s="3"/>
    </row>
    <row r="142" spans="1:24" ht="15.75" customHeight="1" x14ac:dyDescent="0.25">
      <c r="A142" s="3"/>
      <c r="B142" s="3"/>
      <c r="C142" s="2"/>
      <c r="D142" s="3"/>
      <c r="E142" s="3"/>
      <c r="F142" s="318"/>
      <c r="G142" s="207"/>
      <c r="H142" s="3"/>
      <c r="I142" s="3"/>
      <c r="J142" s="3"/>
      <c r="K142" s="3"/>
      <c r="L142" s="318"/>
      <c r="M142" s="207"/>
      <c r="N142" s="3"/>
      <c r="O142" s="3"/>
      <c r="P142" s="3"/>
      <c r="Q142" s="3"/>
      <c r="R142" s="3"/>
      <c r="S142" s="3"/>
      <c r="T142" s="3"/>
      <c r="U142" s="3"/>
      <c r="V142" s="3"/>
      <c r="W142" s="3"/>
      <c r="X142" s="3"/>
    </row>
    <row r="143" spans="1:24" ht="15.75" customHeight="1" x14ac:dyDescent="0.25">
      <c r="A143" s="3"/>
      <c r="B143" s="3"/>
      <c r="C143" s="2"/>
      <c r="D143" s="3"/>
      <c r="E143" s="3"/>
      <c r="F143" s="318"/>
      <c r="G143" s="207"/>
      <c r="H143" s="3"/>
      <c r="I143" s="3"/>
      <c r="J143" s="3"/>
      <c r="K143" s="3"/>
      <c r="L143" s="318"/>
      <c r="M143" s="207"/>
      <c r="N143" s="3"/>
      <c r="O143" s="3"/>
      <c r="P143" s="3"/>
      <c r="Q143" s="3"/>
      <c r="R143" s="3"/>
      <c r="S143" s="3"/>
      <c r="T143" s="3"/>
      <c r="U143" s="3"/>
      <c r="V143" s="3"/>
      <c r="W143" s="3"/>
      <c r="X143" s="3"/>
    </row>
    <row r="144" spans="1:24" ht="15.75" customHeight="1" x14ac:dyDescent="0.25">
      <c r="A144" s="3"/>
      <c r="B144" s="3"/>
      <c r="C144" s="2"/>
      <c r="D144" s="3"/>
      <c r="E144" s="3"/>
      <c r="F144" s="318"/>
      <c r="G144" s="207"/>
      <c r="H144" s="3"/>
      <c r="I144" s="3"/>
      <c r="J144" s="3"/>
      <c r="K144" s="3"/>
      <c r="L144" s="3"/>
      <c r="M144" s="3"/>
      <c r="N144" s="3"/>
      <c r="O144" s="3"/>
      <c r="P144" s="3"/>
      <c r="Q144" s="3"/>
      <c r="R144" s="3"/>
      <c r="S144" s="3"/>
      <c r="T144" s="3"/>
      <c r="U144" s="3"/>
      <c r="V144" s="3"/>
      <c r="W144" s="3"/>
      <c r="X144" s="3"/>
    </row>
    <row r="145" spans="1:24" ht="15.75" customHeight="1" x14ac:dyDescent="0.25">
      <c r="A145" s="3"/>
      <c r="B145" s="3"/>
      <c r="C145" s="2"/>
      <c r="D145" s="3"/>
      <c r="E145" s="3"/>
      <c r="F145" s="318"/>
      <c r="G145" s="207"/>
      <c r="H145" s="3"/>
      <c r="I145" s="3"/>
      <c r="J145" s="3"/>
      <c r="K145" s="3"/>
      <c r="L145" s="3"/>
      <c r="M145" s="3"/>
      <c r="N145" s="3"/>
      <c r="O145" s="3"/>
      <c r="P145" s="3"/>
      <c r="Q145" s="3"/>
      <c r="R145" s="3"/>
      <c r="S145" s="3"/>
      <c r="T145" s="3"/>
      <c r="U145" s="3"/>
      <c r="V145" s="3"/>
      <c r="W145" s="3"/>
      <c r="X145" s="3"/>
    </row>
    <row r="146" spans="1:24" ht="15.75" customHeight="1" x14ac:dyDescent="0.25">
      <c r="A146" s="3"/>
      <c r="B146" s="3"/>
      <c r="C146" s="2"/>
      <c r="D146" s="3"/>
      <c r="E146" s="3"/>
      <c r="F146" s="318"/>
      <c r="G146" s="207"/>
      <c r="H146" s="3"/>
      <c r="I146" s="3"/>
      <c r="J146" s="3"/>
      <c r="K146" s="3"/>
      <c r="L146" s="3"/>
      <c r="M146" s="3"/>
      <c r="N146" s="3"/>
      <c r="O146" s="3"/>
      <c r="P146" s="3"/>
      <c r="Q146" s="3"/>
      <c r="R146" s="3"/>
      <c r="S146" s="3"/>
      <c r="T146" s="3"/>
      <c r="U146" s="3"/>
      <c r="V146" s="3"/>
      <c r="W146" s="3"/>
      <c r="X146" s="3"/>
    </row>
    <row r="147" spans="1:24" ht="15.75" customHeight="1" x14ac:dyDescent="0.25">
      <c r="A147" s="3"/>
      <c r="B147" s="3"/>
      <c r="C147" s="2"/>
      <c r="D147" s="3"/>
      <c r="E147" s="3"/>
      <c r="F147" s="3"/>
      <c r="G147" s="3"/>
      <c r="H147" s="3"/>
      <c r="I147" s="3"/>
      <c r="J147" s="3"/>
      <c r="K147" s="3"/>
      <c r="L147" s="3"/>
      <c r="M147" s="3"/>
      <c r="N147" s="3"/>
      <c r="O147" s="3"/>
      <c r="P147" s="3"/>
      <c r="Q147" s="3"/>
      <c r="R147" s="3"/>
      <c r="S147" s="3"/>
      <c r="T147" s="3"/>
      <c r="U147" s="3"/>
      <c r="V147" s="3"/>
      <c r="W147" s="3"/>
      <c r="X147" s="3"/>
    </row>
    <row r="148" spans="1:24" ht="15.75" customHeight="1" x14ac:dyDescent="0.25">
      <c r="A148" s="3"/>
      <c r="B148" s="3"/>
      <c r="C148" s="2"/>
      <c r="D148" s="3"/>
      <c r="E148" s="3"/>
      <c r="F148" s="3"/>
      <c r="G148" s="3"/>
      <c r="H148" s="3"/>
      <c r="I148" s="3"/>
      <c r="J148" s="3"/>
      <c r="K148" s="3"/>
      <c r="L148" s="3"/>
      <c r="M148" s="3"/>
      <c r="N148" s="3"/>
      <c r="O148" s="3"/>
      <c r="P148" s="3"/>
      <c r="Q148" s="3"/>
      <c r="R148" s="3"/>
      <c r="S148" s="3"/>
      <c r="T148" s="3"/>
      <c r="U148" s="3"/>
      <c r="V148" s="3"/>
      <c r="W148" s="3"/>
      <c r="X148" s="3"/>
    </row>
    <row r="149" spans="1:24" ht="15.75" customHeight="1" x14ac:dyDescent="0.25">
      <c r="A149" s="3"/>
      <c r="B149" s="3"/>
      <c r="C149" s="2"/>
      <c r="D149" s="3"/>
      <c r="E149" s="3"/>
      <c r="F149" s="3"/>
      <c r="G149" s="3"/>
      <c r="H149" s="3"/>
      <c r="I149" s="3"/>
      <c r="J149" s="3"/>
      <c r="K149" s="3"/>
      <c r="L149" s="3"/>
      <c r="M149" s="3"/>
      <c r="N149" s="3"/>
      <c r="O149" s="3"/>
      <c r="P149" s="3"/>
      <c r="Q149" s="3"/>
      <c r="R149" s="3"/>
      <c r="S149" s="3"/>
      <c r="T149" s="3"/>
      <c r="U149" s="3"/>
      <c r="V149" s="3"/>
      <c r="W149" s="3"/>
      <c r="X149" s="3"/>
    </row>
    <row r="150" spans="1:24" ht="15.75" customHeight="1" x14ac:dyDescent="0.25">
      <c r="A150" s="3"/>
      <c r="B150" s="3"/>
      <c r="C150" s="2"/>
      <c r="D150" s="3"/>
      <c r="E150" s="3"/>
      <c r="F150" s="3"/>
      <c r="G150" s="3"/>
      <c r="H150" s="3"/>
      <c r="I150" s="3"/>
      <c r="J150" s="3"/>
      <c r="K150" s="3"/>
      <c r="L150" s="3"/>
      <c r="M150" s="3"/>
      <c r="N150" s="3"/>
      <c r="O150" s="3"/>
      <c r="P150" s="3"/>
      <c r="Q150" s="3"/>
      <c r="R150" s="3"/>
      <c r="S150" s="3"/>
      <c r="T150" s="3"/>
      <c r="U150" s="3"/>
      <c r="V150" s="3"/>
      <c r="W150" s="3"/>
      <c r="X150" s="3"/>
    </row>
    <row r="151" spans="1:24" ht="15.75" customHeight="1" x14ac:dyDescent="0.25">
      <c r="A151" s="3"/>
      <c r="B151" s="3"/>
      <c r="C151" s="2"/>
      <c r="D151" s="3"/>
      <c r="E151" s="3"/>
      <c r="F151" s="3"/>
      <c r="G151" s="3"/>
      <c r="H151" s="3"/>
      <c r="I151" s="3"/>
      <c r="J151" s="3"/>
      <c r="K151" s="3"/>
      <c r="L151" s="3"/>
      <c r="M151" s="3"/>
      <c r="N151" s="3"/>
      <c r="O151" s="3"/>
      <c r="P151" s="3"/>
      <c r="Q151" s="3"/>
      <c r="R151" s="3"/>
      <c r="S151" s="3"/>
      <c r="T151" s="3"/>
      <c r="U151" s="3"/>
      <c r="V151" s="3"/>
      <c r="W151" s="3"/>
      <c r="X151" s="3"/>
    </row>
    <row r="152" spans="1:24" ht="15.75" customHeight="1" x14ac:dyDescent="0.25">
      <c r="A152" s="3"/>
      <c r="B152" s="3"/>
      <c r="C152" s="2"/>
      <c r="D152" s="3"/>
      <c r="E152" s="3"/>
      <c r="F152" s="3"/>
      <c r="G152" s="3"/>
      <c r="H152" s="3"/>
      <c r="I152" s="3"/>
      <c r="J152" s="3"/>
      <c r="K152" s="3"/>
      <c r="L152" s="3"/>
      <c r="M152" s="3"/>
      <c r="N152" s="3"/>
      <c r="O152" s="3"/>
      <c r="P152" s="3"/>
      <c r="Q152" s="3"/>
      <c r="R152" s="3"/>
      <c r="S152" s="3"/>
      <c r="T152" s="3"/>
      <c r="U152" s="3"/>
      <c r="V152" s="3"/>
      <c r="W152" s="3"/>
      <c r="X152" s="3"/>
    </row>
    <row r="153" spans="1:24" ht="15.75" customHeight="1" x14ac:dyDescent="0.25">
      <c r="A153" s="3"/>
      <c r="B153" s="3"/>
      <c r="C153" s="2"/>
      <c r="D153" s="3"/>
      <c r="E153" s="3"/>
      <c r="F153" s="3"/>
      <c r="G153" s="3"/>
      <c r="H153" s="3"/>
      <c r="I153" s="3"/>
      <c r="J153" s="3"/>
      <c r="K153" s="3"/>
      <c r="L153" s="3"/>
      <c r="M153" s="3"/>
      <c r="N153" s="3"/>
      <c r="O153" s="3"/>
      <c r="P153" s="3"/>
      <c r="Q153" s="3"/>
      <c r="R153" s="3"/>
      <c r="S153" s="3"/>
      <c r="T153" s="3"/>
      <c r="U153" s="3"/>
      <c r="V153" s="3"/>
      <c r="W153" s="3"/>
      <c r="X153" s="3"/>
    </row>
    <row r="154" spans="1:24" ht="15.75" customHeight="1" x14ac:dyDescent="0.25">
      <c r="A154" s="3"/>
      <c r="B154" s="3"/>
      <c r="C154" s="2"/>
      <c r="D154" s="3"/>
      <c r="E154" s="3"/>
      <c r="F154" s="3"/>
      <c r="G154" s="3"/>
      <c r="H154" s="3"/>
      <c r="I154" s="3"/>
      <c r="J154" s="3"/>
      <c r="K154" s="3"/>
      <c r="L154" s="3"/>
      <c r="M154" s="3"/>
      <c r="N154" s="3"/>
      <c r="O154" s="3"/>
      <c r="P154" s="3"/>
      <c r="Q154" s="3"/>
      <c r="R154" s="3"/>
      <c r="S154" s="3"/>
      <c r="T154" s="3"/>
      <c r="U154" s="3"/>
      <c r="V154" s="3"/>
      <c r="W154" s="3"/>
      <c r="X154" s="3"/>
    </row>
    <row r="155" spans="1:24" ht="15.75" customHeight="1" x14ac:dyDescent="0.25">
      <c r="A155" s="3"/>
      <c r="B155" s="3"/>
      <c r="C155" s="2"/>
      <c r="D155" s="3"/>
      <c r="E155" s="3"/>
      <c r="F155" s="3"/>
      <c r="G155" s="3"/>
      <c r="H155" s="3"/>
      <c r="I155" s="3"/>
      <c r="J155" s="3"/>
      <c r="K155" s="3"/>
      <c r="L155" s="3"/>
      <c r="M155" s="3"/>
      <c r="N155" s="3"/>
      <c r="O155" s="3"/>
      <c r="P155" s="3"/>
      <c r="Q155" s="3"/>
      <c r="R155" s="3"/>
      <c r="S155" s="3"/>
      <c r="T155" s="3"/>
      <c r="U155" s="3"/>
      <c r="V155" s="3"/>
      <c r="W155" s="3"/>
      <c r="X155" s="3"/>
    </row>
    <row r="156" spans="1:24" ht="15.75" customHeight="1" x14ac:dyDescent="0.25">
      <c r="A156" s="3"/>
      <c r="B156" s="3"/>
      <c r="C156" s="2"/>
      <c r="D156" s="3"/>
      <c r="E156" s="3"/>
      <c r="F156" s="3"/>
      <c r="G156" s="3"/>
      <c r="H156" s="3"/>
      <c r="I156" s="3"/>
      <c r="J156" s="3"/>
      <c r="K156" s="3"/>
      <c r="L156" s="3"/>
      <c r="M156" s="3"/>
      <c r="N156" s="3"/>
      <c r="O156" s="3"/>
      <c r="P156" s="3"/>
      <c r="Q156" s="3"/>
      <c r="R156" s="3"/>
      <c r="S156" s="3"/>
      <c r="T156" s="3"/>
      <c r="U156" s="3"/>
      <c r="V156" s="3"/>
      <c r="W156" s="3"/>
      <c r="X156" s="3"/>
    </row>
    <row r="157" spans="1:24" ht="15.75" customHeight="1" x14ac:dyDescent="0.25">
      <c r="A157" s="3"/>
      <c r="B157" s="3"/>
      <c r="C157" s="2"/>
      <c r="D157" s="3"/>
      <c r="E157" s="3"/>
      <c r="F157" s="3"/>
      <c r="G157" s="3"/>
      <c r="H157" s="3"/>
      <c r="I157" s="3"/>
      <c r="J157" s="3"/>
      <c r="K157" s="3"/>
      <c r="L157" s="3"/>
      <c r="M157" s="3"/>
      <c r="N157" s="3"/>
      <c r="O157" s="3"/>
      <c r="P157" s="3"/>
      <c r="Q157" s="3"/>
      <c r="R157" s="3"/>
      <c r="S157" s="3"/>
      <c r="T157" s="3"/>
      <c r="U157" s="3"/>
      <c r="V157" s="3"/>
      <c r="W157" s="3"/>
      <c r="X157" s="3"/>
    </row>
    <row r="158" spans="1:24" ht="15.75" customHeight="1" x14ac:dyDescent="0.25">
      <c r="A158" s="3"/>
      <c r="B158" s="3"/>
      <c r="C158" s="2"/>
      <c r="D158" s="3"/>
      <c r="E158" s="3"/>
      <c r="F158" s="3"/>
      <c r="G158" s="3"/>
      <c r="H158" s="3"/>
      <c r="I158" s="3"/>
      <c r="J158" s="3"/>
      <c r="K158" s="3"/>
      <c r="L158" s="3"/>
      <c r="M158" s="3"/>
      <c r="N158" s="3"/>
      <c r="O158" s="3"/>
      <c r="P158" s="3"/>
      <c r="Q158" s="3"/>
      <c r="R158" s="3"/>
      <c r="S158" s="3"/>
      <c r="T158" s="3"/>
      <c r="U158" s="3"/>
      <c r="V158" s="3"/>
      <c r="W158" s="3"/>
      <c r="X158" s="3"/>
    </row>
    <row r="159" spans="1:24" ht="15.75" customHeight="1" x14ac:dyDescent="0.25">
      <c r="A159" s="3"/>
      <c r="B159" s="3"/>
      <c r="C159" s="2"/>
      <c r="D159" s="3"/>
      <c r="E159" s="3"/>
      <c r="F159" s="3"/>
      <c r="G159" s="3"/>
      <c r="H159" s="3"/>
      <c r="I159" s="3"/>
      <c r="J159" s="3"/>
      <c r="K159" s="3"/>
      <c r="L159" s="3"/>
      <c r="M159" s="3"/>
      <c r="N159" s="3"/>
      <c r="O159" s="3"/>
      <c r="P159" s="3"/>
      <c r="Q159" s="3"/>
      <c r="R159" s="3"/>
      <c r="S159" s="3"/>
      <c r="T159" s="3"/>
      <c r="U159" s="3"/>
      <c r="V159" s="3"/>
      <c r="W159" s="3"/>
      <c r="X159" s="3"/>
    </row>
    <row r="160" spans="1:24" ht="15.75" customHeight="1" x14ac:dyDescent="0.25">
      <c r="A160" s="3"/>
      <c r="B160" s="3"/>
      <c r="C160" s="2"/>
      <c r="D160" s="3"/>
      <c r="E160" s="3"/>
      <c r="F160" s="3"/>
      <c r="G160" s="3"/>
      <c r="H160" s="3"/>
      <c r="I160" s="3"/>
      <c r="J160" s="3"/>
      <c r="K160" s="3"/>
      <c r="L160" s="3"/>
      <c r="M160" s="3"/>
      <c r="N160" s="3"/>
      <c r="O160" s="3"/>
      <c r="P160" s="3"/>
      <c r="Q160" s="3"/>
      <c r="R160" s="3"/>
      <c r="S160" s="3"/>
      <c r="T160" s="3"/>
      <c r="U160" s="3"/>
      <c r="V160" s="3"/>
      <c r="W160" s="3"/>
      <c r="X160" s="3"/>
    </row>
    <row r="161" spans="1:24" ht="15.75" customHeight="1" x14ac:dyDescent="0.25">
      <c r="A161" s="3"/>
      <c r="B161" s="3"/>
      <c r="C161" s="2"/>
      <c r="D161" s="3"/>
      <c r="E161" s="3"/>
      <c r="F161" s="3"/>
      <c r="G161" s="3"/>
      <c r="H161" s="3"/>
      <c r="I161" s="3"/>
      <c r="J161" s="3"/>
      <c r="K161" s="3"/>
      <c r="L161" s="3"/>
      <c r="M161" s="3"/>
      <c r="N161" s="3"/>
      <c r="O161" s="3"/>
      <c r="P161" s="3"/>
      <c r="Q161" s="3"/>
      <c r="R161" s="3"/>
      <c r="S161" s="3"/>
      <c r="T161" s="3"/>
      <c r="U161" s="3"/>
      <c r="V161" s="3"/>
      <c r="W161" s="3"/>
      <c r="X161" s="3"/>
    </row>
    <row r="162" spans="1:24" ht="15.75" customHeight="1" x14ac:dyDescent="0.25">
      <c r="A162" s="3"/>
      <c r="B162" s="3"/>
      <c r="C162" s="2"/>
      <c r="D162" s="3"/>
      <c r="E162" s="3"/>
      <c r="F162" s="3"/>
      <c r="G162" s="3"/>
      <c r="H162" s="3"/>
      <c r="I162" s="3"/>
      <c r="J162" s="3"/>
      <c r="K162" s="3"/>
      <c r="L162" s="3"/>
      <c r="M162" s="3"/>
      <c r="N162" s="3"/>
      <c r="O162" s="3"/>
      <c r="P162" s="3"/>
      <c r="Q162" s="3"/>
      <c r="R162" s="3"/>
      <c r="S162" s="3"/>
      <c r="T162" s="3"/>
      <c r="U162" s="3"/>
      <c r="V162" s="3"/>
      <c r="W162" s="3"/>
      <c r="X162" s="3"/>
    </row>
    <row r="163" spans="1:24" ht="15.75" customHeight="1" x14ac:dyDescent="0.25">
      <c r="A163" s="3"/>
      <c r="B163" s="3"/>
      <c r="C163" s="2"/>
      <c r="D163" s="3"/>
      <c r="E163" s="3"/>
      <c r="F163" s="3"/>
      <c r="G163" s="3"/>
      <c r="H163" s="3"/>
      <c r="I163" s="3"/>
      <c r="J163" s="3"/>
      <c r="K163" s="3"/>
      <c r="L163" s="3"/>
      <c r="M163" s="3"/>
      <c r="N163" s="3"/>
      <c r="O163" s="3"/>
      <c r="P163" s="3"/>
      <c r="Q163" s="3"/>
      <c r="R163" s="3"/>
      <c r="S163" s="3"/>
      <c r="T163" s="3"/>
      <c r="U163" s="3"/>
      <c r="V163" s="3"/>
      <c r="W163" s="3"/>
      <c r="X163" s="3"/>
    </row>
    <row r="164" spans="1:24" ht="15.75" customHeight="1" x14ac:dyDescent="0.25">
      <c r="A164" s="3"/>
      <c r="B164" s="3"/>
      <c r="C164" s="2"/>
      <c r="D164" s="3"/>
      <c r="E164" s="3"/>
      <c r="F164" s="3"/>
      <c r="G164" s="3"/>
      <c r="H164" s="3"/>
      <c r="I164" s="3"/>
      <c r="J164" s="3"/>
      <c r="K164" s="3"/>
      <c r="L164" s="3"/>
      <c r="M164" s="3"/>
      <c r="N164" s="3"/>
      <c r="O164" s="3"/>
      <c r="P164" s="3"/>
      <c r="Q164" s="3"/>
      <c r="R164" s="3"/>
      <c r="S164" s="3"/>
      <c r="T164" s="3"/>
      <c r="U164" s="3"/>
      <c r="V164" s="3"/>
      <c r="W164" s="3"/>
      <c r="X164" s="3"/>
    </row>
    <row r="165" spans="1:24" ht="15.75" customHeight="1" x14ac:dyDescent="0.25">
      <c r="A165" s="3"/>
      <c r="B165" s="3"/>
      <c r="C165" s="2"/>
      <c r="D165" s="3"/>
      <c r="E165" s="3"/>
      <c r="F165" s="3"/>
      <c r="G165" s="3"/>
      <c r="H165" s="3"/>
      <c r="I165" s="3"/>
      <c r="J165" s="3"/>
      <c r="K165" s="3"/>
      <c r="L165" s="3"/>
      <c r="M165" s="3"/>
      <c r="N165" s="3"/>
      <c r="O165" s="3"/>
      <c r="P165" s="3"/>
      <c r="Q165" s="3"/>
      <c r="R165" s="3"/>
      <c r="S165" s="3"/>
      <c r="T165" s="3"/>
      <c r="U165" s="3"/>
      <c r="V165" s="3"/>
      <c r="W165" s="3"/>
      <c r="X165" s="3"/>
    </row>
    <row r="166" spans="1:24" ht="15.75" customHeight="1" x14ac:dyDescent="0.25">
      <c r="A166" s="3"/>
      <c r="B166" s="3"/>
      <c r="C166" s="2"/>
      <c r="D166" s="3"/>
      <c r="E166" s="3"/>
      <c r="F166" s="3"/>
      <c r="G166" s="3"/>
      <c r="H166" s="3"/>
      <c r="I166" s="3"/>
      <c r="J166" s="3"/>
      <c r="K166" s="3"/>
      <c r="L166" s="3"/>
      <c r="M166" s="3"/>
      <c r="N166" s="3"/>
      <c r="O166" s="3"/>
      <c r="P166" s="3"/>
      <c r="Q166" s="3"/>
      <c r="R166" s="3"/>
      <c r="S166" s="3"/>
      <c r="T166" s="3"/>
      <c r="U166" s="3"/>
      <c r="V166" s="3"/>
      <c r="W166" s="3"/>
      <c r="X166" s="3"/>
    </row>
    <row r="167" spans="1:24" ht="15.75" customHeight="1" x14ac:dyDescent="0.25">
      <c r="A167" s="3"/>
      <c r="B167" s="3"/>
      <c r="C167" s="2"/>
      <c r="D167" s="3"/>
      <c r="E167" s="3"/>
      <c r="F167" s="3"/>
      <c r="G167" s="3"/>
      <c r="H167" s="3"/>
      <c r="I167" s="3"/>
      <c r="J167" s="3"/>
      <c r="K167" s="3"/>
      <c r="L167" s="3"/>
      <c r="M167" s="3"/>
      <c r="N167" s="3"/>
      <c r="O167" s="3"/>
      <c r="P167" s="3"/>
      <c r="Q167" s="3"/>
      <c r="R167" s="3"/>
      <c r="S167" s="3"/>
      <c r="T167" s="3"/>
      <c r="U167" s="3"/>
      <c r="V167" s="3"/>
      <c r="W167" s="3"/>
      <c r="X167" s="3"/>
    </row>
    <row r="168" spans="1:24" ht="15.75" customHeight="1" x14ac:dyDescent="0.25">
      <c r="A168" s="3"/>
      <c r="B168" s="3"/>
      <c r="C168" s="2"/>
      <c r="D168" s="3"/>
      <c r="E168" s="3"/>
      <c r="F168" s="3"/>
      <c r="G168" s="3"/>
      <c r="H168" s="3"/>
      <c r="I168" s="3"/>
      <c r="J168" s="3"/>
      <c r="K168" s="3"/>
      <c r="L168" s="3"/>
      <c r="M168" s="3"/>
      <c r="N168" s="3"/>
      <c r="O168" s="3"/>
      <c r="P168" s="3"/>
      <c r="Q168" s="3"/>
      <c r="R168" s="3"/>
      <c r="S168" s="3"/>
      <c r="T168" s="3"/>
      <c r="U168" s="3"/>
      <c r="V168" s="3"/>
      <c r="W168" s="3"/>
      <c r="X168" s="3"/>
    </row>
    <row r="169" spans="1:24" ht="15.75" customHeight="1" x14ac:dyDescent="0.25">
      <c r="A169" s="3"/>
      <c r="B169" s="3"/>
      <c r="C169" s="2"/>
      <c r="D169" s="3"/>
      <c r="E169" s="3"/>
      <c r="F169" s="3"/>
      <c r="G169" s="3"/>
      <c r="H169" s="3"/>
      <c r="I169" s="3"/>
      <c r="J169" s="3"/>
      <c r="K169" s="3"/>
      <c r="L169" s="3"/>
      <c r="M169" s="3"/>
      <c r="N169" s="3"/>
      <c r="O169" s="3"/>
      <c r="P169" s="3"/>
      <c r="Q169" s="3"/>
      <c r="R169" s="3"/>
      <c r="S169" s="3"/>
      <c r="T169" s="3"/>
      <c r="U169" s="3"/>
      <c r="V169" s="3"/>
      <c r="W169" s="3"/>
      <c r="X169" s="3"/>
    </row>
    <row r="170" spans="1:24" ht="15.75" customHeight="1" x14ac:dyDescent="0.25">
      <c r="A170" s="3"/>
      <c r="B170" s="3"/>
      <c r="C170" s="2"/>
      <c r="D170" s="3"/>
      <c r="E170" s="3"/>
      <c r="F170" s="3"/>
      <c r="G170" s="3"/>
      <c r="H170" s="3"/>
      <c r="I170" s="3"/>
      <c r="J170" s="3"/>
      <c r="K170" s="3"/>
      <c r="L170" s="3"/>
      <c r="M170" s="3"/>
      <c r="N170" s="3"/>
      <c r="O170" s="3"/>
      <c r="P170" s="3"/>
      <c r="Q170" s="3"/>
      <c r="R170" s="3"/>
      <c r="S170" s="3"/>
      <c r="T170" s="3"/>
      <c r="U170" s="3"/>
      <c r="V170" s="3"/>
      <c r="W170" s="3"/>
      <c r="X170" s="3"/>
    </row>
    <row r="171" spans="1:24" ht="15.75" customHeight="1" x14ac:dyDescent="0.25">
      <c r="A171" s="3"/>
      <c r="B171" s="3"/>
      <c r="C171" s="2"/>
      <c r="D171" s="3"/>
      <c r="E171" s="3"/>
      <c r="F171" s="3"/>
      <c r="G171" s="3"/>
      <c r="H171" s="3"/>
      <c r="I171" s="3"/>
      <c r="J171" s="3"/>
      <c r="K171" s="3"/>
      <c r="L171" s="3"/>
      <c r="M171" s="3"/>
      <c r="N171" s="3"/>
      <c r="O171" s="3"/>
      <c r="P171" s="3"/>
      <c r="Q171" s="3"/>
      <c r="R171" s="3"/>
      <c r="S171" s="3"/>
      <c r="T171" s="3"/>
      <c r="U171" s="3"/>
      <c r="V171" s="3"/>
      <c r="W171" s="3"/>
      <c r="X171" s="3"/>
    </row>
    <row r="172" spans="1:24" ht="15.75" customHeight="1" x14ac:dyDescent="0.25">
      <c r="A172" s="3"/>
      <c r="B172" s="3"/>
      <c r="C172" s="2"/>
      <c r="D172" s="3"/>
      <c r="E172" s="3"/>
      <c r="F172" s="3"/>
      <c r="G172" s="3"/>
      <c r="H172" s="3"/>
      <c r="I172" s="3"/>
      <c r="J172" s="3"/>
      <c r="K172" s="3"/>
      <c r="L172" s="3"/>
      <c r="M172" s="3"/>
      <c r="N172" s="3"/>
      <c r="O172" s="3"/>
      <c r="P172" s="3"/>
      <c r="Q172" s="3"/>
      <c r="R172" s="3"/>
      <c r="S172" s="3"/>
      <c r="T172" s="3"/>
      <c r="U172" s="3"/>
      <c r="V172" s="3"/>
      <c r="W172" s="3"/>
      <c r="X172" s="3"/>
    </row>
    <row r="173" spans="1:24" ht="15.75" customHeight="1" x14ac:dyDescent="0.25">
      <c r="A173" s="3"/>
      <c r="B173" s="3"/>
      <c r="C173" s="2"/>
      <c r="D173" s="3"/>
      <c r="E173" s="3"/>
      <c r="F173" s="3"/>
      <c r="G173" s="3"/>
      <c r="H173" s="3"/>
      <c r="I173" s="3"/>
      <c r="J173" s="3"/>
      <c r="K173" s="3"/>
      <c r="L173" s="3"/>
      <c r="M173" s="3"/>
      <c r="N173" s="3"/>
      <c r="O173" s="3"/>
      <c r="P173" s="3"/>
      <c r="Q173" s="3"/>
      <c r="R173" s="3"/>
      <c r="S173" s="3"/>
      <c r="T173" s="3"/>
      <c r="U173" s="3"/>
      <c r="V173" s="3"/>
      <c r="W173" s="3"/>
      <c r="X173" s="3"/>
    </row>
    <row r="174" spans="1:24" ht="15.75" customHeight="1" x14ac:dyDescent="0.25">
      <c r="A174" s="3"/>
      <c r="B174" s="3"/>
      <c r="C174" s="2"/>
      <c r="D174" s="3"/>
      <c r="E174" s="3"/>
      <c r="F174" s="3"/>
      <c r="G174" s="3"/>
      <c r="H174" s="3"/>
      <c r="I174" s="3"/>
      <c r="J174" s="3"/>
      <c r="K174" s="3"/>
      <c r="L174" s="3"/>
      <c r="M174" s="3"/>
      <c r="N174" s="3"/>
      <c r="O174" s="3"/>
      <c r="P174" s="3"/>
      <c r="Q174" s="3"/>
      <c r="R174" s="3"/>
      <c r="S174" s="3"/>
      <c r="T174" s="3"/>
      <c r="U174" s="3"/>
      <c r="V174" s="3"/>
      <c r="W174" s="3"/>
      <c r="X174" s="3"/>
    </row>
    <row r="175" spans="1:24" ht="15.75" customHeight="1" x14ac:dyDescent="0.25">
      <c r="A175" s="3"/>
      <c r="B175" s="3"/>
      <c r="C175" s="2"/>
      <c r="D175" s="3"/>
      <c r="E175" s="3"/>
      <c r="F175" s="3"/>
      <c r="G175" s="3"/>
      <c r="H175" s="3"/>
      <c r="I175" s="3"/>
      <c r="J175" s="3"/>
      <c r="K175" s="3"/>
      <c r="L175" s="3"/>
      <c r="M175" s="3"/>
      <c r="N175" s="3"/>
      <c r="O175" s="3"/>
      <c r="P175" s="3"/>
      <c r="Q175" s="3"/>
      <c r="R175" s="3"/>
      <c r="S175" s="3"/>
      <c r="T175" s="3"/>
      <c r="U175" s="3"/>
      <c r="V175" s="3"/>
      <c r="W175" s="3"/>
      <c r="X175" s="3"/>
    </row>
    <row r="176" spans="1:24" ht="15.75" customHeight="1" x14ac:dyDescent="0.25">
      <c r="A176" s="3"/>
      <c r="B176" s="3"/>
      <c r="C176" s="2"/>
      <c r="D176" s="3"/>
      <c r="E176" s="3"/>
      <c r="F176" s="3"/>
      <c r="G176" s="3"/>
      <c r="H176" s="3"/>
      <c r="I176" s="3"/>
      <c r="J176" s="3"/>
      <c r="K176" s="3"/>
      <c r="L176" s="3"/>
      <c r="M176" s="3"/>
      <c r="N176" s="3"/>
      <c r="O176" s="3"/>
      <c r="P176" s="3"/>
      <c r="Q176" s="3"/>
      <c r="R176" s="3"/>
      <c r="S176" s="3"/>
      <c r="T176" s="3"/>
      <c r="U176" s="3"/>
      <c r="V176" s="3"/>
      <c r="W176" s="3"/>
      <c r="X176" s="3"/>
    </row>
    <row r="177" spans="1:24" ht="15.75" customHeight="1" x14ac:dyDescent="0.25">
      <c r="A177" s="3"/>
      <c r="B177" s="3"/>
      <c r="C177" s="2"/>
      <c r="D177" s="3"/>
      <c r="E177" s="3"/>
      <c r="F177" s="3"/>
      <c r="G177" s="3"/>
      <c r="H177" s="3"/>
      <c r="I177" s="3"/>
      <c r="J177" s="3"/>
      <c r="K177" s="3"/>
      <c r="L177" s="3"/>
      <c r="M177" s="3"/>
      <c r="N177" s="3"/>
      <c r="O177" s="3"/>
      <c r="P177" s="3"/>
      <c r="Q177" s="3"/>
      <c r="R177" s="3"/>
      <c r="S177" s="3"/>
      <c r="T177" s="3"/>
      <c r="U177" s="3"/>
      <c r="V177" s="3"/>
      <c r="W177" s="3"/>
      <c r="X177" s="3"/>
    </row>
    <row r="178" spans="1:24" ht="15.75" customHeight="1" x14ac:dyDescent="0.25">
      <c r="A178" s="3"/>
      <c r="B178" s="3"/>
      <c r="C178" s="2"/>
      <c r="D178" s="3"/>
      <c r="E178" s="3"/>
      <c r="F178" s="3"/>
      <c r="G178" s="3"/>
      <c r="H178" s="3"/>
      <c r="I178" s="3"/>
      <c r="J178" s="3"/>
      <c r="K178" s="3"/>
      <c r="L178" s="3"/>
      <c r="M178" s="3"/>
      <c r="N178" s="3"/>
      <c r="O178" s="3"/>
      <c r="P178" s="3"/>
      <c r="Q178" s="3"/>
      <c r="R178" s="3"/>
      <c r="S178" s="3"/>
      <c r="T178" s="3"/>
      <c r="U178" s="3"/>
      <c r="V178" s="3"/>
      <c r="W178" s="3"/>
      <c r="X178" s="3"/>
    </row>
    <row r="179" spans="1:24" ht="15.75" customHeight="1" x14ac:dyDescent="0.25">
      <c r="A179" s="3"/>
      <c r="B179" s="3"/>
      <c r="C179" s="2"/>
      <c r="D179" s="3"/>
      <c r="E179" s="3"/>
      <c r="F179" s="3"/>
      <c r="G179" s="3"/>
      <c r="H179" s="3"/>
      <c r="I179" s="3"/>
      <c r="J179" s="3"/>
      <c r="K179" s="3"/>
      <c r="L179" s="3"/>
      <c r="M179" s="3"/>
      <c r="N179" s="3"/>
      <c r="O179" s="3"/>
      <c r="P179" s="3"/>
      <c r="Q179" s="3"/>
      <c r="R179" s="3"/>
      <c r="S179" s="3"/>
      <c r="T179" s="3"/>
      <c r="U179" s="3"/>
      <c r="V179" s="3"/>
      <c r="W179" s="3"/>
      <c r="X179" s="3"/>
    </row>
    <row r="180" spans="1:24" ht="15.75" customHeight="1" x14ac:dyDescent="0.25">
      <c r="A180" s="3"/>
      <c r="B180" s="3"/>
      <c r="C180" s="2"/>
      <c r="D180" s="3"/>
      <c r="E180" s="3"/>
      <c r="F180" s="3"/>
      <c r="G180" s="3"/>
      <c r="H180" s="3"/>
      <c r="I180" s="3"/>
      <c r="J180" s="3"/>
      <c r="K180" s="3"/>
      <c r="L180" s="3"/>
      <c r="M180" s="3"/>
      <c r="N180" s="3"/>
      <c r="O180" s="3"/>
      <c r="P180" s="3"/>
      <c r="Q180" s="3"/>
      <c r="R180" s="3"/>
      <c r="S180" s="3"/>
      <c r="T180" s="3"/>
      <c r="U180" s="3"/>
      <c r="V180" s="3"/>
      <c r="W180" s="3"/>
      <c r="X180" s="3"/>
    </row>
    <row r="181" spans="1:24" ht="15.75" customHeight="1" x14ac:dyDescent="0.25">
      <c r="A181" s="3"/>
      <c r="B181" s="3"/>
      <c r="C181" s="2"/>
      <c r="D181" s="3"/>
      <c r="E181" s="3"/>
      <c r="F181" s="3"/>
      <c r="G181" s="3"/>
      <c r="H181" s="3"/>
      <c r="I181" s="3"/>
      <c r="J181" s="3"/>
      <c r="K181" s="3"/>
      <c r="L181" s="3"/>
      <c r="M181" s="3"/>
      <c r="N181" s="3"/>
      <c r="O181" s="3"/>
      <c r="P181" s="3"/>
      <c r="Q181" s="3"/>
      <c r="R181" s="3"/>
      <c r="S181" s="3"/>
      <c r="T181" s="3"/>
      <c r="U181" s="3"/>
      <c r="V181" s="3"/>
      <c r="W181" s="3"/>
      <c r="X181" s="3"/>
    </row>
    <row r="182" spans="1:24" ht="15.75" customHeight="1" x14ac:dyDescent="0.25">
      <c r="A182" s="3"/>
      <c r="B182" s="3"/>
      <c r="C182" s="2"/>
      <c r="D182" s="3"/>
      <c r="E182" s="3"/>
      <c r="F182" s="3"/>
      <c r="G182" s="3"/>
      <c r="H182" s="3"/>
      <c r="I182" s="3"/>
      <c r="J182" s="3"/>
      <c r="K182" s="3"/>
      <c r="L182" s="3"/>
      <c r="M182" s="3"/>
      <c r="N182" s="3"/>
      <c r="O182" s="3"/>
      <c r="P182" s="3"/>
      <c r="Q182" s="3"/>
      <c r="R182" s="3"/>
      <c r="S182" s="3"/>
      <c r="T182" s="3"/>
      <c r="U182" s="3"/>
      <c r="V182" s="3"/>
      <c r="W182" s="3"/>
      <c r="X182" s="3"/>
    </row>
    <row r="183" spans="1:24" ht="15.75" customHeight="1" x14ac:dyDescent="0.25">
      <c r="A183" s="3"/>
      <c r="B183" s="3"/>
      <c r="C183" s="2"/>
      <c r="D183" s="3"/>
      <c r="E183" s="3"/>
      <c r="F183" s="3"/>
      <c r="G183" s="3"/>
      <c r="H183" s="3"/>
      <c r="I183" s="3"/>
      <c r="J183" s="3"/>
      <c r="K183" s="3"/>
      <c r="L183" s="3"/>
      <c r="M183" s="3"/>
      <c r="N183" s="3"/>
      <c r="O183" s="3"/>
      <c r="P183" s="3"/>
      <c r="Q183" s="3"/>
      <c r="R183" s="3"/>
      <c r="S183" s="3"/>
      <c r="T183" s="3"/>
      <c r="U183" s="3"/>
      <c r="V183" s="3"/>
      <c r="W183" s="3"/>
      <c r="X183" s="3"/>
    </row>
    <row r="184" spans="1:24" ht="15.75" customHeight="1" x14ac:dyDescent="0.25">
      <c r="A184" s="3"/>
      <c r="B184" s="3"/>
      <c r="C184" s="2"/>
      <c r="D184" s="3"/>
      <c r="E184" s="3"/>
      <c r="F184" s="3"/>
      <c r="G184" s="3"/>
      <c r="H184" s="3"/>
      <c r="I184" s="3"/>
      <c r="J184" s="3"/>
      <c r="K184" s="3"/>
      <c r="L184" s="3"/>
      <c r="M184" s="3"/>
      <c r="N184" s="3"/>
      <c r="O184" s="3"/>
      <c r="P184" s="3"/>
      <c r="Q184" s="3"/>
      <c r="R184" s="3"/>
      <c r="S184" s="3"/>
      <c r="T184" s="3"/>
      <c r="U184" s="3"/>
      <c r="V184" s="3"/>
      <c r="W184" s="3"/>
      <c r="X184" s="3"/>
    </row>
    <row r="185" spans="1:24" ht="15.75" customHeight="1" x14ac:dyDescent="0.25">
      <c r="A185" s="3"/>
      <c r="B185" s="3"/>
      <c r="C185" s="2"/>
      <c r="D185" s="3"/>
      <c r="E185" s="3"/>
      <c r="F185" s="3"/>
      <c r="G185" s="3"/>
      <c r="H185" s="3"/>
      <c r="I185" s="3"/>
      <c r="J185" s="3"/>
      <c r="K185" s="3"/>
      <c r="L185" s="3"/>
      <c r="M185" s="3"/>
      <c r="N185" s="3"/>
      <c r="O185" s="3"/>
      <c r="P185" s="3"/>
      <c r="Q185" s="3"/>
      <c r="R185" s="3"/>
      <c r="S185" s="3"/>
      <c r="T185" s="3"/>
      <c r="U185" s="3"/>
      <c r="V185" s="3"/>
      <c r="W185" s="3"/>
      <c r="X185" s="3"/>
    </row>
    <row r="186" spans="1:24" ht="15.75" customHeight="1" x14ac:dyDescent="0.25">
      <c r="A186" s="3"/>
      <c r="B186" s="3"/>
      <c r="C186" s="2"/>
      <c r="D186" s="3"/>
      <c r="E186" s="3"/>
      <c r="F186" s="3"/>
      <c r="G186" s="3"/>
      <c r="H186" s="3"/>
      <c r="I186" s="3"/>
      <c r="J186" s="3"/>
      <c r="K186" s="3"/>
      <c r="L186" s="3"/>
      <c r="M186" s="3"/>
      <c r="N186" s="3"/>
      <c r="O186" s="3"/>
      <c r="P186" s="3"/>
      <c r="Q186" s="3"/>
      <c r="R186" s="3"/>
      <c r="S186" s="3"/>
      <c r="T186" s="3"/>
      <c r="U186" s="3"/>
      <c r="V186" s="3"/>
      <c r="W186" s="3"/>
      <c r="X186" s="3"/>
    </row>
    <row r="187" spans="1:24" ht="15.75" customHeight="1" x14ac:dyDescent="0.25">
      <c r="A187" s="3"/>
      <c r="B187" s="3"/>
      <c r="C187" s="2"/>
      <c r="D187" s="3"/>
      <c r="E187" s="3"/>
      <c r="F187" s="3"/>
      <c r="G187" s="3"/>
      <c r="H187" s="3"/>
      <c r="I187" s="3"/>
      <c r="J187" s="3"/>
      <c r="K187" s="3"/>
      <c r="L187" s="3"/>
      <c r="M187" s="3"/>
      <c r="N187" s="3"/>
      <c r="O187" s="3"/>
      <c r="P187" s="3"/>
      <c r="Q187" s="3"/>
      <c r="R187" s="3"/>
      <c r="S187" s="3"/>
      <c r="T187" s="3"/>
      <c r="U187" s="3"/>
      <c r="V187" s="3"/>
      <c r="W187" s="3"/>
      <c r="X187" s="3"/>
    </row>
    <row r="188" spans="1:24" ht="15.75" customHeight="1" x14ac:dyDescent="0.25">
      <c r="A188" s="3"/>
      <c r="B188" s="3"/>
      <c r="C188" s="2"/>
      <c r="D188" s="3"/>
      <c r="E188" s="3"/>
      <c r="F188" s="3"/>
      <c r="G188" s="3"/>
      <c r="H188" s="3"/>
      <c r="I188" s="3"/>
      <c r="J188" s="3"/>
      <c r="K188" s="3"/>
      <c r="L188" s="3"/>
      <c r="M188" s="3"/>
      <c r="N188" s="3"/>
      <c r="O188" s="3"/>
      <c r="P188" s="3"/>
      <c r="Q188" s="3"/>
      <c r="R188" s="3"/>
      <c r="S188" s="3"/>
      <c r="T188" s="3"/>
      <c r="U188" s="3"/>
      <c r="V188" s="3"/>
      <c r="W188" s="3"/>
      <c r="X188" s="3"/>
    </row>
    <row r="189" spans="1:24" ht="15.75" customHeight="1" x14ac:dyDescent="0.25">
      <c r="A189" s="3"/>
      <c r="B189" s="3"/>
      <c r="C189" s="2"/>
      <c r="D189" s="3"/>
      <c r="E189" s="3"/>
      <c r="F189" s="3"/>
      <c r="G189" s="3"/>
      <c r="H189" s="3"/>
      <c r="I189" s="3"/>
      <c r="J189" s="3"/>
      <c r="K189" s="3"/>
      <c r="L189" s="3"/>
      <c r="M189" s="3"/>
      <c r="N189" s="3"/>
      <c r="O189" s="3"/>
      <c r="P189" s="3"/>
      <c r="Q189" s="3"/>
      <c r="R189" s="3"/>
      <c r="S189" s="3"/>
      <c r="T189" s="3"/>
      <c r="U189" s="3"/>
      <c r="V189" s="3"/>
      <c r="W189" s="3"/>
      <c r="X189" s="3"/>
    </row>
    <row r="190" spans="1:24" ht="15.75" customHeight="1" x14ac:dyDescent="0.25">
      <c r="A190" s="3"/>
      <c r="B190" s="3"/>
      <c r="C190" s="2"/>
      <c r="D190" s="3"/>
      <c r="E190" s="3"/>
      <c r="F190" s="3"/>
      <c r="G190" s="3"/>
      <c r="H190" s="3"/>
      <c r="I190" s="3"/>
      <c r="J190" s="3"/>
      <c r="K190" s="3"/>
      <c r="L190" s="3"/>
      <c r="M190" s="3"/>
      <c r="N190" s="3"/>
      <c r="O190" s="3"/>
      <c r="P190" s="3"/>
      <c r="Q190" s="3"/>
      <c r="R190" s="3"/>
      <c r="S190" s="3"/>
      <c r="T190" s="3"/>
      <c r="U190" s="3"/>
      <c r="V190" s="3"/>
      <c r="W190" s="3"/>
      <c r="X190" s="3"/>
    </row>
    <row r="191" spans="1:24" ht="15.75" customHeight="1" x14ac:dyDescent="0.25">
      <c r="A191" s="3"/>
      <c r="B191" s="3"/>
      <c r="C191" s="2"/>
      <c r="D191" s="3"/>
      <c r="E191" s="3"/>
      <c r="F191" s="3"/>
      <c r="G191" s="3"/>
      <c r="H191" s="3"/>
      <c r="I191" s="3"/>
      <c r="J191" s="3"/>
      <c r="K191" s="3"/>
      <c r="L191" s="3"/>
      <c r="M191" s="3"/>
      <c r="N191" s="3"/>
      <c r="O191" s="3"/>
      <c r="P191" s="3"/>
      <c r="Q191" s="3"/>
      <c r="R191" s="3"/>
      <c r="S191" s="3"/>
      <c r="T191" s="3"/>
      <c r="U191" s="3"/>
      <c r="V191" s="3"/>
      <c r="W191" s="3"/>
      <c r="X191" s="3"/>
    </row>
    <row r="192" spans="1:24" ht="15.75" customHeight="1" x14ac:dyDescent="0.25">
      <c r="A192" s="3"/>
      <c r="B192" s="3"/>
      <c r="C192" s="2"/>
      <c r="D192" s="3"/>
      <c r="E192" s="3"/>
      <c r="F192" s="3"/>
      <c r="G192" s="3"/>
      <c r="H192" s="3"/>
      <c r="I192" s="3"/>
      <c r="J192" s="3"/>
      <c r="K192" s="3"/>
      <c r="L192" s="3"/>
      <c r="M192" s="3"/>
      <c r="N192" s="3"/>
      <c r="O192" s="3"/>
      <c r="P192" s="3"/>
      <c r="Q192" s="3"/>
      <c r="R192" s="3"/>
      <c r="S192" s="3"/>
      <c r="T192" s="3"/>
      <c r="U192" s="3"/>
      <c r="V192" s="3"/>
      <c r="W192" s="3"/>
      <c r="X192" s="3"/>
    </row>
    <row r="193" spans="1:24" ht="15.75" customHeight="1" x14ac:dyDescent="0.25">
      <c r="A193" s="3"/>
      <c r="B193" s="3"/>
      <c r="C193" s="2"/>
      <c r="D193" s="3"/>
      <c r="E193" s="3"/>
      <c r="F193" s="3"/>
      <c r="G193" s="3"/>
      <c r="H193" s="3"/>
      <c r="I193" s="3"/>
      <c r="J193" s="3"/>
      <c r="K193" s="3"/>
      <c r="L193" s="3"/>
      <c r="M193" s="3"/>
      <c r="N193" s="3"/>
      <c r="O193" s="3"/>
      <c r="P193" s="3"/>
      <c r="Q193" s="3"/>
      <c r="R193" s="3"/>
      <c r="S193" s="3"/>
      <c r="T193" s="3"/>
      <c r="U193" s="3"/>
      <c r="V193" s="3"/>
      <c r="W193" s="3"/>
      <c r="X193" s="3"/>
    </row>
    <row r="194" spans="1:24" ht="15.75" customHeight="1" x14ac:dyDescent="0.25">
      <c r="A194" s="3"/>
      <c r="B194" s="3"/>
      <c r="C194" s="2"/>
      <c r="D194" s="3"/>
      <c r="E194" s="3"/>
      <c r="F194" s="3"/>
      <c r="G194" s="3"/>
      <c r="H194" s="3"/>
      <c r="I194" s="3"/>
      <c r="J194" s="3"/>
      <c r="K194" s="3"/>
      <c r="L194" s="3"/>
      <c r="M194" s="3"/>
      <c r="N194" s="3"/>
      <c r="O194" s="3"/>
      <c r="P194" s="3"/>
      <c r="Q194" s="3"/>
      <c r="R194" s="3"/>
      <c r="S194" s="3"/>
      <c r="T194" s="3"/>
      <c r="U194" s="3"/>
      <c r="V194" s="3"/>
      <c r="W194" s="3"/>
      <c r="X194" s="3"/>
    </row>
    <row r="195" spans="1:24" ht="15.75" customHeight="1" x14ac:dyDescent="0.25">
      <c r="A195" s="3"/>
      <c r="B195" s="3"/>
      <c r="C195" s="2"/>
      <c r="D195" s="3"/>
      <c r="E195" s="3"/>
      <c r="F195" s="3"/>
      <c r="G195" s="3"/>
      <c r="H195" s="3"/>
      <c r="I195" s="3"/>
      <c r="J195" s="3"/>
      <c r="K195" s="3"/>
      <c r="L195" s="3"/>
      <c r="M195" s="3"/>
      <c r="N195" s="3"/>
      <c r="O195" s="3"/>
      <c r="P195" s="3"/>
      <c r="Q195" s="3"/>
      <c r="R195" s="3"/>
      <c r="S195" s="3"/>
      <c r="T195" s="3"/>
      <c r="U195" s="3"/>
      <c r="V195" s="3"/>
      <c r="W195" s="3"/>
      <c r="X195" s="3"/>
    </row>
    <row r="196" spans="1:24" ht="15.75" customHeight="1" x14ac:dyDescent="0.25">
      <c r="A196" s="3"/>
      <c r="B196" s="3"/>
      <c r="C196" s="2"/>
      <c r="D196" s="3"/>
      <c r="E196" s="3"/>
      <c r="F196" s="3"/>
      <c r="G196" s="3"/>
      <c r="H196" s="3"/>
      <c r="I196" s="3"/>
      <c r="J196" s="3"/>
      <c r="K196" s="3"/>
      <c r="L196" s="3"/>
      <c r="M196" s="3"/>
      <c r="N196" s="3"/>
      <c r="O196" s="3"/>
      <c r="P196" s="3"/>
      <c r="Q196" s="3"/>
      <c r="R196" s="3"/>
      <c r="S196" s="3"/>
      <c r="T196" s="3"/>
      <c r="U196" s="3"/>
      <c r="V196" s="3"/>
      <c r="W196" s="3"/>
      <c r="X196" s="3"/>
    </row>
    <row r="197" spans="1:24" ht="15.75" customHeight="1" x14ac:dyDescent="0.25">
      <c r="A197" s="3"/>
      <c r="B197" s="3"/>
      <c r="C197" s="2"/>
      <c r="D197" s="3"/>
      <c r="E197" s="3"/>
      <c r="F197" s="3"/>
      <c r="G197" s="3"/>
      <c r="H197" s="3"/>
      <c r="I197" s="3"/>
      <c r="J197" s="3"/>
      <c r="K197" s="3"/>
      <c r="L197" s="3"/>
      <c r="M197" s="3"/>
      <c r="N197" s="3"/>
      <c r="O197" s="3"/>
      <c r="P197" s="3"/>
      <c r="Q197" s="3"/>
      <c r="R197" s="3"/>
      <c r="S197" s="3"/>
      <c r="T197" s="3"/>
      <c r="U197" s="3"/>
      <c r="V197" s="3"/>
      <c r="W197" s="3"/>
      <c r="X197" s="3"/>
    </row>
    <row r="198" spans="1:24" ht="15.75" customHeight="1" x14ac:dyDescent="0.25">
      <c r="A198" s="3"/>
      <c r="B198" s="3"/>
      <c r="C198" s="2"/>
      <c r="D198" s="3"/>
      <c r="E198" s="3"/>
      <c r="F198" s="3"/>
      <c r="G198" s="3"/>
      <c r="H198" s="3"/>
      <c r="I198" s="3"/>
      <c r="J198" s="3"/>
      <c r="K198" s="3"/>
      <c r="L198" s="3"/>
      <c r="M198" s="3"/>
      <c r="N198" s="3"/>
      <c r="O198" s="3"/>
      <c r="P198" s="3"/>
      <c r="Q198" s="3"/>
      <c r="R198" s="3"/>
      <c r="S198" s="3"/>
      <c r="T198" s="3"/>
      <c r="U198" s="3"/>
      <c r="V198" s="3"/>
      <c r="W198" s="3"/>
      <c r="X198" s="3"/>
    </row>
    <row r="199" spans="1:24" ht="15.75" customHeight="1" x14ac:dyDescent="0.25">
      <c r="A199" s="3"/>
      <c r="B199" s="3"/>
      <c r="C199" s="2"/>
      <c r="D199" s="3"/>
      <c r="E199" s="3"/>
      <c r="F199" s="3"/>
      <c r="G199" s="3"/>
      <c r="H199" s="3"/>
      <c r="I199" s="3"/>
      <c r="J199" s="3"/>
      <c r="K199" s="3"/>
      <c r="L199" s="3"/>
      <c r="M199" s="3"/>
      <c r="N199" s="3"/>
      <c r="O199" s="3"/>
      <c r="P199" s="3"/>
      <c r="Q199" s="3"/>
      <c r="R199" s="3"/>
      <c r="S199" s="3"/>
      <c r="T199" s="3"/>
      <c r="U199" s="3"/>
      <c r="V199" s="3"/>
      <c r="W199" s="3"/>
      <c r="X199" s="3"/>
    </row>
    <row r="200" spans="1:24" ht="15.75" customHeight="1" x14ac:dyDescent="0.25">
      <c r="A200" s="3"/>
      <c r="B200" s="3"/>
      <c r="C200" s="2"/>
      <c r="D200" s="3"/>
      <c r="E200" s="3"/>
      <c r="F200" s="3"/>
      <c r="G200" s="3"/>
      <c r="H200" s="3"/>
      <c r="I200" s="3"/>
      <c r="J200" s="3"/>
      <c r="K200" s="3"/>
      <c r="L200" s="3"/>
      <c r="M200" s="3"/>
      <c r="N200" s="3"/>
      <c r="O200" s="3"/>
      <c r="P200" s="3"/>
      <c r="Q200" s="3"/>
      <c r="R200" s="3"/>
      <c r="S200" s="3"/>
      <c r="T200" s="3"/>
      <c r="U200" s="3"/>
      <c r="V200" s="3"/>
      <c r="W200" s="3"/>
      <c r="X200" s="3"/>
    </row>
    <row r="201" spans="1:24" ht="15.75" customHeight="1" x14ac:dyDescent="0.25">
      <c r="A201" s="3"/>
      <c r="B201" s="3"/>
      <c r="C201" s="2"/>
      <c r="D201" s="3"/>
      <c r="E201" s="3"/>
      <c r="F201" s="3"/>
      <c r="G201" s="3"/>
      <c r="H201" s="3"/>
      <c r="I201" s="3"/>
      <c r="J201" s="3"/>
      <c r="K201" s="3"/>
      <c r="L201" s="3"/>
      <c r="M201" s="3"/>
      <c r="N201" s="3"/>
      <c r="O201" s="3"/>
      <c r="P201" s="3"/>
      <c r="Q201" s="3"/>
      <c r="R201" s="3"/>
      <c r="S201" s="3"/>
      <c r="T201" s="3"/>
      <c r="U201" s="3"/>
      <c r="V201" s="3"/>
      <c r="W201" s="3"/>
      <c r="X201" s="3"/>
    </row>
    <row r="202" spans="1:24" ht="15.75" customHeight="1" x14ac:dyDescent="0.25">
      <c r="A202" s="3"/>
      <c r="B202" s="3"/>
      <c r="C202" s="2"/>
      <c r="D202" s="3"/>
      <c r="E202" s="3"/>
      <c r="F202" s="3"/>
      <c r="G202" s="3"/>
      <c r="H202" s="3"/>
      <c r="I202" s="3"/>
      <c r="J202" s="3"/>
      <c r="K202" s="3"/>
      <c r="L202" s="3"/>
      <c r="M202" s="3"/>
      <c r="N202" s="3"/>
      <c r="O202" s="3"/>
      <c r="P202" s="3"/>
      <c r="Q202" s="3"/>
      <c r="R202" s="3"/>
      <c r="S202" s="3"/>
      <c r="T202" s="3"/>
      <c r="U202" s="3"/>
      <c r="V202" s="3"/>
      <c r="W202" s="3"/>
      <c r="X202" s="3"/>
    </row>
    <row r="203" spans="1:24" ht="15.75" customHeight="1" x14ac:dyDescent="0.25">
      <c r="A203" s="3"/>
      <c r="B203" s="3"/>
      <c r="C203" s="2"/>
      <c r="D203" s="3"/>
      <c r="E203" s="3"/>
      <c r="F203" s="3"/>
      <c r="G203" s="3"/>
      <c r="H203" s="3"/>
      <c r="I203" s="3"/>
      <c r="J203" s="3"/>
      <c r="K203" s="3"/>
      <c r="L203" s="3"/>
      <c r="M203" s="3"/>
      <c r="N203" s="3"/>
      <c r="O203" s="3"/>
      <c r="P203" s="3"/>
      <c r="Q203" s="3"/>
      <c r="R203" s="3"/>
      <c r="S203" s="3"/>
      <c r="T203" s="3"/>
      <c r="U203" s="3"/>
      <c r="V203" s="3"/>
      <c r="W203" s="3"/>
      <c r="X203" s="3"/>
    </row>
    <row r="204" spans="1:24" ht="15.75" customHeight="1" x14ac:dyDescent="0.25">
      <c r="A204" s="3"/>
      <c r="B204" s="3"/>
      <c r="C204" s="2"/>
      <c r="D204" s="3"/>
      <c r="E204" s="3"/>
      <c r="F204" s="3"/>
      <c r="G204" s="3"/>
      <c r="H204" s="3"/>
      <c r="I204" s="3"/>
      <c r="J204" s="3"/>
      <c r="K204" s="3"/>
      <c r="L204" s="3"/>
      <c r="M204" s="3"/>
      <c r="N204" s="3"/>
      <c r="O204" s="3"/>
      <c r="P204" s="3"/>
      <c r="Q204" s="3"/>
      <c r="R204" s="3"/>
      <c r="S204" s="3"/>
      <c r="T204" s="3"/>
      <c r="U204" s="3"/>
      <c r="V204" s="3"/>
      <c r="W204" s="3"/>
      <c r="X204" s="3"/>
    </row>
    <row r="205" spans="1:24" ht="15.75" customHeight="1" x14ac:dyDescent="0.25">
      <c r="A205" s="3"/>
      <c r="B205" s="3"/>
      <c r="C205" s="2"/>
      <c r="D205" s="3"/>
      <c r="E205" s="3"/>
      <c r="F205" s="3"/>
      <c r="G205" s="3"/>
      <c r="H205" s="3"/>
      <c r="I205" s="3"/>
      <c r="J205" s="3"/>
      <c r="K205" s="3"/>
      <c r="L205" s="3"/>
      <c r="M205" s="3"/>
      <c r="N205" s="3"/>
      <c r="O205" s="3"/>
      <c r="P205" s="3"/>
      <c r="Q205" s="3"/>
      <c r="R205" s="3"/>
      <c r="S205" s="3"/>
      <c r="T205" s="3"/>
      <c r="U205" s="3"/>
      <c r="V205" s="3"/>
      <c r="W205" s="3"/>
      <c r="X205" s="3"/>
    </row>
    <row r="206" spans="1:24" ht="15.75" customHeight="1" x14ac:dyDescent="0.25">
      <c r="A206" s="3"/>
      <c r="B206" s="3"/>
      <c r="C206" s="2"/>
      <c r="D206" s="3"/>
      <c r="E206" s="3"/>
      <c r="F206" s="3"/>
      <c r="G206" s="3"/>
      <c r="H206" s="3"/>
      <c r="I206" s="3"/>
      <c r="J206" s="3"/>
      <c r="K206" s="3"/>
      <c r="L206" s="3"/>
      <c r="M206" s="3"/>
      <c r="N206" s="3"/>
      <c r="O206" s="3"/>
      <c r="P206" s="3"/>
      <c r="Q206" s="3"/>
      <c r="R206" s="3"/>
      <c r="S206" s="3"/>
      <c r="T206" s="3"/>
      <c r="U206" s="3"/>
      <c r="V206" s="3"/>
      <c r="W206" s="3"/>
      <c r="X206" s="3"/>
    </row>
    <row r="207" spans="1:24" ht="15.75" customHeight="1" x14ac:dyDescent="0.25">
      <c r="A207" s="3"/>
      <c r="B207" s="3"/>
      <c r="C207" s="2"/>
      <c r="D207" s="3"/>
      <c r="E207" s="3"/>
      <c r="F207" s="3"/>
      <c r="G207" s="3"/>
      <c r="H207" s="3"/>
      <c r="I207" s="3"/>
      <c r="J207" s="3"/>
      <c r="K207" s="3"/>
      <c r="L207" s="3"/>
      <c r="M207" s="3"/>
      <c r="N207" s="3"/>
      <c r="O207" s="3"/>
      <c r="P207" s="3"/>
      <c r="Q207" s="3"/>
      <c r="R207" s="3"/>
      <c r="S207" s="3"/>
      <c r="T207" s="3"/>
      <c r="U207" s="3"/>
      <c r="V207" s="3"/>
      <c r="W207" s="3"/>
      <c r="X207" s="3"/>
    </row>
    <row r="208" spans="1:24" ht="15.75" customHeight="1" x14ac:dyDescent="0.25">
      <c r="A208" s="3"/>
      <c r="B208" s="3"/>
      <c r="C208" s="2"/>
      <c r="D208" s="3"/>
      <c r="E208" s="3"/>
      <c r="F208" s="3"/>
      <c r="G208" s="3"/>
      <c r="H208" s="3"/>
      <c r="I208" s="3"/>
      <c r="J208" s="3"/>
      <c r="K208" s="3"/>
      <c r="L208" s="3"/>
      <c r="M208" s="3"/>
      <c r="N208" s="3"/>
      <c r="O208" s="3"/>
      <c r="P208" s="3"/>
      <c r="Q208" s="3"/>
      <c r="R208" s="3"/>
      <c r="S208" s="3"/>
      <c r="T208" s="3"/>
      <c r="U208" s="3"/>
      <c r="V208" s="3"/>
      <c r="W208" s="3"/>
      <c r="X208" s="3"/>
    </row>
    <row r="209" spans="1:24" ht="15.75" customHeight="1" x14ac:dyDescent="0.25">
      <c r="A209" s="3"/>
      <c r="B209" s="3"/>
      <c r="C209" s="2"/>
      <c r="D209" s="3"/>
      <c r="E209" s="3"/>
      <c r="F209" s="3"/>
      <c r="G209" s="3"/>
      <c r="H209" s="3"/>
      <c r="I209" s="3"/>
      <c r="J209" s="3"/>
      <c r="K209" s="3"/>
      <c r="L209" s="3"/>
      <c r="M209" s="3"/>
      <c r="N209" s="3"/>
      <c r="O209" s="3"/>
      <c r="P209" s="3"/>
      <c r="Q209" s="3"/>
      <c r="R209" s="3"/>
      <c r="S209" s="3"/>
      <c r="T209" s="3"/>
      <c r="U209" s="3"/>
      <c r="V209" s="3"/>
      <c r="W209" s="3"/>
      <c r="X209" s="3"/>
    </row>
    <row r="210" spans="1:24" ht="15.75" customHeight="1" x14ac:dyDescent="0.25">
      <c r="A210" s="3"/>
      <c r="B210" s="3"/>
      <c r="C210" s="2"/>
      <c r="D210" s="3"/>
      <c r="E210" s="3"/>
      <c r="F210" s="3"/>
      <c r="G210" s="3"/>
      <c r="H210" s="3"/>
      <c r="I210" s="3"/>
      <c r="J210" s="3"/>
      <c r="K210" s="3"/>
      <c r="L210" s="3"/>
      <c r="M210" s="3"/>
      <c r="N210" s="3"/>
      <c r="O210" s="3"/>
      <c r="P210" s="3"/>
      <c r="Q210" s="3"/>
      <c r="R210" s="3"/>
      <c r="S210" s="3"/>
      <c r="T210" s="3"/>
      <c r="U210" s="3"/>
      <c r="V210" s="3"/>
      <c r="W210" s="3"/>
      <c r="X210" s="3"/>
    </row>
    <row r="211" spans="1:24" ht="15.75" customHeight="1" x14ac:dyDescent="0.25">
      <c r="A211" s="3"/>
      <c r="B211" s="3"/>
      <c r="C211" s="2"/>
      <c r="D211" s="3"/>
      <c r="E211" s="3"/>
      <c r="F211" s="3"/>
      <c r="G211" s="3"/>
      <c r="H211" s="3"/>
      <c r="I211" s="3"/>
      <c r="J211" s="3"/>
      <c r="K211" s="3"/>
      <c r="L211" s="3"/>
      <c r="M211" s="3"/>
      <c r="N211" s="3"/>
      <c r="O211" s="3"/>
      <c r="P211" s="3"/>
      <c r="Q211" s="3"/>
      <c r="R211" s="3"/>
      <c r="S211" s="3"/>
      <c r="T211" s="3"/>
      <c r="U211" s="3"/>
      <c r="V211" s="3"/>
      <c r="W211" s="3"/>
      <c r="X211" s="3"/>
    </row>
    <row r="212" spans="1:24" ht="15.75" customHeight="1" x14ac:dyDescent="0.25">
      <c r="A212" s="3"/>
      <c r="B212" s="3"/>
      <c r="C212" s="2"/>
      <c r="D212" s="3"/>
      <c r="E212" s="3"/>
      <c r="F212" s="3"/>
      <c r="G212" s="3"/>
      <c r="H212" s="3"/>
      <c r="I212" s="3"/>
      <c r="J212" s="3"/>
      <c r="K212" s="3"/>
      <c r="L212" s="3"/>
      <c r="M212" s="3"/>
      <c r="N212" s="3"/>
      <c r="O212" s="3"/>
      <c r="P212" s="3"/>
      <c r="Q212" s="3"/>
      <c r="R212" s="3"/>
      <c r="S212" s="3"/>
      <c r="T212" s="3"/>
      <c r="U212" s="3"/>
      <c r="V212" s="3"/>
      <c r="W212" s="3"/>
      <c r="X212" s="3"/>
    </row>
    <row r="213" spans="1:24" ht="15.75" customHeight="1" x14ac:dyDescent="0.25">
      <c r="A213" s="3"/>
      <c r="B213" s="3"/>
      <c r="C213" s="2"/>
      <c r="D213" s="3"/>
      <c r="E213" s="3"/>
      <c r="F213" s="3"/>
      <c r="G213" s="3"/>
      <c r="H213" s="3"/>
      <c r="I213" s="3"/>
      <c r="J213" s="3"/>
      <c r="K213" s="3"/>
      <c r="L213" s="3"/>
      <c r="M213" s="3"/>
      <c r="N213" s="3"/>
      <c r="O213" s="3"/>
      <c r="P213" s="3"/>
      <c r="Q213" s="3"/>
      <c r="R213" s="3"/>
      <c r="S213" s="3"/>
      <c r="T213" s="3"/>
      <c r="U213" s="3"/>
      <c r="V213" s="3"/>
      <c r="W213" s="3"/>
      <c r="X213" s="3"/>
    </row>
    <row r="214" spans="1:24" ht="15.75" customHeight="1" x14ac:dyDescent="0.25">
      <c r="A214" s="3"/>
      <c r="B214" s="3"/>
      <c r="C214" s="2"/>
      <c r="D214" s="3"/>
      <c r="E214" s="3"/>
      <c r="F214" s="3"/>
      <c r="G214" s="3"/>
      <c r="H214" s="3"/>
      <c r="I214" s="3"/>
      <c r="J214" s="3"/>
      <c r="K214" s="3"/>
      <c r="L214" s="3"/>
      <c r="M214" s="3"/>
      <c r="N214" s="3"/>
      <c r="O214" s="3"/>
      <c r="P214" s="3"/>
      <c r="Q214" s="3"/>
      <c r="R214" s="3"/>
      <c r="S214" s="3"/>
      <c r="T214" s="3"/>
      <c r="U214" s="3"/>
      <c r="V214" s="3"/>
      <c r="W214" s="3"/>
      <c r="X214" s="3"/>
    </row>
    <row r="215" spans="1:24" ht="15.75" customHeight="1" x14ac:dyDescent="0.25">
      <c r="A215" s="3"/>
      <c r="B215" s="3"/>
      <c r="C215" s="2"/>
      <c r="D215" s="3"/>
      <c r="E215" s="3"/>
      <c r="F215" s="3"/>
      <c r="G215" s="3"/>
      <c r="H215" s="3"/>
      <c r="I215" s="3"/>
      <c r="J215" s="3"/>
      <c r="K215" s="3"/>
      <c r="L215" s="3"/>
      <c r="M215" s="3"/>
      <c r="N215" s="3"/>
      <c r="O215" s="3"/>
      <c r="P215" s="3"/>
      <c r="Q215" s="3"/>
      <c r="R215" s="3"/>
      <c r="S215" s="3"/>
      <c r="T215" s="3"/>
      <c r="U215" s="3"/>
      <c r="V215" s="3"/>
      <c r="W215" s="3"/>
      <c r="X215" s="3"/>
    </row>
    <row r="216" spans="1:24" ht="15.75" customHeight="1" x14ac:dyDescent="0.25">
      <c r="A216" s="3"/>
      <c r="B216" s="3"/>
      <c r="C216" s="2"/>
      <c r="D216" s="3"/>
      <c r="E216" s="3"/>
      <c r="F216" s="3"/>
      <c r="G216" s="3"/>
      <c r="H216" s="3"/>
      <c r="I216" s="3"/>
      <c r="J216" s="3"/>
      <c r="K216" s="3"/>
      <c r="L216" s="3"/>
      <c r="M216" s="3"/>
      <c r="N216" s="3"/>
      <c r="O216" s="3"/>
      <c r="P216" s="3"/>
      <c r="Q216" s="3"/>
      <c r="R216" s="3"/>
      <c r="S216" s="3"/>
      <c r="T216" s="3"/>
      <c r="U216" s="3"/>
      <c r="V216" s="3"/>
      <c r="W216" s="3"/>
      <c r="X216" s="3"/>
    </row>
    <row r="217" spans="1:24" ht="15.75" customHeight="1" x14ac:dyDescent="0.25">
      <c r="A217" s="3"/>
      <c r="B217" s="3"/>
      <c r="C217" s="2"/>
      <c r="D217" s="3"/>
      <c r="E217" s="3"/>
      <c r="F217" s="3"/>
      <c r="G217" s="3"/>
      <c r="H217" s="3"/>
      <c r="I217" s="3"/>
      <c r="J217" s="3"/>
      <c r="K217" s="3"/>
      <c r="L217" s="3"/>
      <c r="M217" s="3"/>
      <c r="N217" s="3"/>
      <c r="O217" s="3"/>
      <c r="P217" s="3"/>
      <c r="Q217" s="3"/>
      <c r="R217" s="3"/>
      <c r="S217" s="3"/>
      <c r="T217" s="3"/>
      <c r="U217" s="3"/>
      <c r="V217" s="3"/>
      <c r="W217" s="3"/>
      <c r="X217" s="3"/>
    </row>
    <row r="218" spans="1:24" ht="15.75" customHeight="1" x14ac:dyDescent="0.25">
      <c r="A218" s="3"/>
      <c r="B218" s="3"/>
      <c r="C218" s="2"/>
      <c r="D218" s="3"/>
      <c r="E218" s="3"/>
      <c r="F218" s="3"/>
      <c r="G218" s="3"/>
      <c r="H218" s="3"/>
      <c r="I218" s="3"/>
      <c r="J218" s="3"/>
      <c r="K218" s="3"/>
      <c r="L218" s="3"/>
      <c r="M218" s="3"/>
      <c r="N218" s="3"/>
      <c r="O218" s="3"/>
      <c r="P218" s="3"/>
      <c r="Q218" s="3"/>
      <c r="R218" s="3"/>
      <c r="S218" s="3"/>
      <c r="T218" s="3"/>
      <c r="U218" s="3"/>
      <c r="V218" s="3"/>
      <c r="W218" s="3"/>
      <c r="X218" s="3"/>
    </row>
    <row r="219" spans="1:24" ht="15.75" customHeight="1" x14ac:dyDescent="0.25">
      <c r="A219" s="3"/>
      <c r="B219" s="3"/>
      <c r="C219" s="2"/>
      <c r="D219" s="3"/>
      <c r="E219" s="3"/>
      <c r="F219" s="3"/>
      <c r="G219" s="3"/>
      <c r="H219" s="3"/>
      <c r="I219" s="3"/>
      <c r="J219" s="3"/>
      <c r="K219" s="3"/>
      <c r="L219" s="3"/>
      <c r="M219" s="3"/>
      <c r="N219" s="3"/>
      <c r="O219" s="3"/>
      <c r="P219" s="3"/>
      <c r="Q219" s="3"/>
      <c r="R219" s="3"/>
      <c r="S219" s="3"/>
      <c r="T219" s="3"/>
      <c r="U219" s="3"/>
      <c r="V219" s="3"/>
      <c r="W219" s="3"/>
      <c r="X219" s="3"/>
    </row>
    <row r="220" spans="1:24" ht="15.75" customHeight="1" x14ac:dyDescent="0.25">
      <c r="A220" s="3"/>
      <c r="B220" s="3"/>
      <c r="C220" s="2"/>
      <c r="D220" s="3"/>
      <c r="E220" s="3"/>
      <c r="F220" s="3"/>
      <c r="G220" s="3"/>
      <c r="H220" s="3"/>
      <c r="I220" s="3"/>
      <c r="J220" s="3"/>
      <c r="K220" s="3"/>
      <c r="L220" s="3"/>
      <c r="M220" s="3"/>
      <c r="N220" s="3"/>
      <c r="O220" s="3"/>
      <c r="P220" s="3"/>
      <c r="Q220" s="3"/>
      <c r="R220" s="3"/>
      <c r="S220" s="3"/>
      <c r="T220" s="3"/>
      <c r="U220" s="3"/>
      <c r="V220" s="3"/>
      <c r="W220" s="3"/>
      <c r="X220" s="3"/>
    </row>
    <row r="221" spans="1:24" ht="15.75" customHeight="1" x14ac:dyDescent="0.25">
      <c r="A221" s="3"/>
      <c r="B221" s="3"/>
      <c r="C221" s="2"/>
      <c r="D221" s="3"/>
      <c r="E221" s="3"/>
      <c r="F221" s="3"/>
      <c r="G221" s="3"/>
      <c r="H221" s="3"/>
      <c r="I221" s="3"/>
      <c r="J221" s="3"/>
      <c r="K221" s="3"/>
      <c r="L221" s="3"/>
      <c r="M221" s="3"/>
      <c r="N221" s="3"/>
      <c r="O221" s="3"/>
      <c r="P221" s="3"/>
      <c r="Q221" s="3"/>
      <c r="R221" s="3"/>
      <c r="S221" s="3"/>
      <c r="T221" s="3"/>
      <c r="U221" s="3"/>
      <c r="V221" s="3"/>
      <c r="W221" s="3"/>
      <c r="X221" s="3"/>
    </row>
    <row r="222" spans="1:24" ht="15.75" customHeight="1" x14ac:dyDescent="0.25">
      <c r="A222" s="3"/>
      <c r="B222" s="3"/>
      <c r="C222" s="2"/>
      <c r="D222" s="3"/>
      <c r="E222" s="3"/>
      <c r="F222" s="3"/>
      <c r="G222" s="3"/>
      <c r="H222" s="3"/>
      <c r="I222" s="3"/>
      <c r="J222" s="3"/>
      <c r="K222" s="3"/>
      <c r="L222" s="3"/>
      <c r="M222" s="3"/>
      <c r="N222" s="3"/>
      <c r="O222" s="3"/>
      <c r="P222" s="3"/>
      <c r="Q222" s="3"/>
      <c r="R222" s="3"/>
      <c r="S222" s="3"/>
      <c r="T222" s="3"/>
      <c r="U222" s="3"/>
      <c r="V222" s="3"/>
      <c r="W222" s="3"/>
      <c r="X222" s="3"/>
    </row>
    <row r="223" spans="1:24" ht="15.75" customHeight="1" x14ac:dyDescent="0.25">
      <c r="A223" s="3"/>
      <c r="B223" s="3"/>
      <c r="C223" s="2"/>
      <c r="D223" s="3"/>
      <c r="E223" s="3"/>
      <c r="F223" s="3"/>
      <c r="G223" s="3"/>
      <c r="H223" s="3"/>
      <c r="I223" s="3"/>
      <c r="J223" s="3"/>
      <c r="K223" s="3"/>
      <c r="L223" s="3"/>
      <c r="M223" s="3"/>
      <c r="N223" s="3"/>
      <c r="O223" s="3"/>
      <c r="P223" s="3"/>
      <c r="Q223" s="3"/>
      <c r="R223" s="3"/>
      <c r="S223" s="3"/>
      <c r="T223" s="3"/>
      <c r="U223" s="3"/>
      <c r="V223" s="3"/>
      <c r="W223" s="3"/>
      <c r="X223" s="3"/>
    </row>
    <row r="224" spans="1:24" ht="15.75" customHeight="1" x14ac:dyDescent="0.25">
      <c r="A224" s="3"/>
      <c r="B224" s="3"/>
      <c r="C224" s="2"/>
      <c r="D224" s="3"/>
      <c r="E224" s="3"/>
      <c r="F224" s="3"/>
      <c r="G224" s="3"/>
      <c r="H224" s="3"/>
      <c r="I224" s="3"/>
      <c r="J224" s="3"/>
      <c r="K224" s="3"/>
      <c r="L224" s="3"/>
      <c r="M224" s="3"/>
      <c r="N224" s="3"/>
      <c r="O224" s="3"/>
      <c r="P224" s="3"/>
      <c r="Q224" s="3"/>
      <c r="R224" s="3"/>
      <c r="S224" s="3"/>
      <c r="T224" s="3"/>
      <c r="U224" s="3"/>
      <c r="V224" s="3"/>
      <c r="W224" s="3"/>
      <c r="X224" s="3"/>
    </row>
    <row r="225" spans="1:24" ht="15.75" customHeight="1" x14ac:dyDescent="0.25">
      <c r="A225" s="3"/>
      <c r="B225" s="3"/>
      <c r="C225" s="2"/>
      <c r="D225" s="3"/>
      <c r="E225" s="3"/>
      <c r="F225" s="3"/>
      <c r="G225" s="3"/>
      <c r="H225" s="3"/>
      <c r="I225" s="3"/>
      <c r="J225" s="3"/>
      <c r="K225" s="3"/>
      <c r="L225" s="3"/>
      <c r="M225" s="3"/>
      <c r="N225" s="3"/>
      <c r="O225" s="3"/>
      <c r="P225" s="3"/>
      <c r="Q225" s="3"/>
      <c r="R225" s="3"/>
      <c r="S225" s="3"/>
      <c r="T225" s="3"/>
      <c r="U225" s="3"/>
      <c r="V225" s="3"/>
      <c r="W225" s="3"/>
      <c r="X225" s="3"/>
    </row>
    <row r="226" spans="1:24" ht="15.75" customHeight="1" x14ac:dyDescent="0.25">
      <c r="A226" s="3"/>
      <c r="B226" s="3"/>
      <c r="C226" s="2"/>
      <c r="D226" s="3"/>
      <c r="E226" s="3"/>
      <c r="F226" s="3"/>
      <c r="G226" s="3"/>
      <c r="H226" s="3"/>
      <c r="I226" s="3"/>
      <c r="J226" s="3"/>
      <c r="K226" s="3"/>
      <c r="L226" s="3"/>
      <c r="M226" s="3"/>
      <c r="N226" s="3"/>
      <c r="O226" s="3"/>
      <c r="P226" s="3"/>
      <c r="Q226" s="3"/>
      <c r="R226" s="3"/>
      <c r="S226" s="3"/>
      <c r="T226" s="3"/>
      <c r="U226" s="3"/>
      <c r="V226" s="3"/>
      <c r="W226" s="3"/>
      <c r="X226" s="3"/>
    </row>
    <row r="227" spans="1:24" ht="15.75" customHeight="1" x14ac:dyDescent="0.25">
      <c r="A227" s="3"/>
      <c r="B227" s="3"/>
      <c r="C227" s="2"/>
      <c r="D227" s="3"/>
      <c r="E227" s="3"/>
      <c r="F227" s="3"/>
      <c r="G227" s="3"/>
      <c r="H227" s="3"/>
      <c r="I227" s="3"/>
      <c r="J227" s="3"/>
      <c r="K227" s="3"/>
      <c r="L227" s="3"/>
      <c r="M227" s="3"/>
      <c r="N227" s="3"/>
      <c r="O227" s="3"/>
      <c r="P227" s="3"/>
      <c r="Q227" s="3"/>
      <c r="R227" s="3"/>
      <c r="S227" s="3"/>
      <c r="T227" s="3"/>
      <c r="U227" s="3"/>
      <c r="V227" s="3"/>
      <c r="W227" s="3"/>
      <c r="X227" s="3"/>
    </row>
    <row r="228" spans="1:24" ht="15.75" customHeight="1" x14ac:dyDescent="0.25">
      <c r="A228" s="3"/>
      <c r="B228" s="3"/>
      <c r="C228" s="2"/>
      <c r="D228" s="3"/>
      <c r="E228" s="3"/>
      <c r="F228" s="3"/>
      <c r="G228" s="3"/>
      <c r="H228" s="3"/>
      <c r="I228" s="3"/>
      <c r="J228" s="3"/>
      <c r="K228" s="3"/>
      <c r="L228" s="3"/>
      <c r="M228" s="3"/>
      <c r="N228" s="3"/>
      <c r="O228" s="3"/>
      <c r="P228" s="3"/>
      <c r="Q228" s="3"/>
      <c r="R228" s="3"/>
      <c r="S228" s="3"/>
      <c r="T228" s="3"/>
      <c r="U228" s="3"/>
      <c r="V228" s="3"/>
      <c r="W228" s="3"/>
      <c r="X228" s="3"/>
    </row>
    <row r="229" spans="1:24" ht="15.75" customHeight="1" x14ac:dyDescent="0.25">
      <c r="A229" s="3"/>
      <c r="B229" s="3"/>
      <c r="C229" s="2"/>
      <c r="D229" s="3"/>
      <c r="E229" s="3"/>
      <c r="F229" s="3"/>
      <c r="G229" s="3"/>
      <c r="H229" s="3"/>
      <c r="I229" s="3"/>
      <c r="J229" s="3"/>
      <c r="K229" s="3"/>
      <c r="L229" s="3"/>
      <c r="M229" s="3"/>
      <c r="N229" s="3"/>
      <c r="O229" s="3"/>
      <c r="P229" s="3"/>
      <c r="Q229" s="3"/>
      <c r="R229" s="3"/>
      <c r="S229" s="3"/>
      <c r="T229" s="3"/>
      <c r="U229" s="3"/>
      <c r="V229" s="3"/>
      <c r="W229" s="3"/>
      <c r="X229" s="3"/>
    </row>
    <row r="230" spans="1:24" ht="15.75" customHeight="1" x14ac:dyDescent="0.25">
      <c r="A230" s="3"/>
      <c r="B230" s="3"/>
      <c r="C230" s="2"/>
      <c r="D230" s="3"/>
      <c r="E230" s="3"/>
      <c r="F230" s="3"/>
      <c r="G230" s="3"/>
      <c r="H230" s="3"/>
      <c r="I230" s="3"/>
      <c r="J230" s="3"/>
      <c r="K230" s="3"/>
      <c r="L230" s="3"/>
      <c r="M230" s="3"/>
      <c r="N230" s="3"/>
      <c r="O230" s="3"/>
      <c r="P230" s="3"/>
      <c r="Q230" s="3"/>
      <c r="R230" s="3"/>
      <c r="S230" s="3"/>
      <c r="T230" s="3"/>
      <c r="U230" s="3"/>
      <c r="V230" s="3"/>
      <c r="W230" s="3"/>
      <c r="X230" s="3"/>
    </row>
    <row r="231" spans="1:24" ht="15.75" customHeight="1" x14ac:dyDescent="0.25">
      <c r="A231" s="3"/>
      <c r="B231" s="3"/>
      <c r="C231" s="2"/>
      <c r="D231" s="3"/>
      <c r="E231" s="3"/>
      <c r="F231" s="3"/>
      <c r="G231" s="3"/>
      <c r="H231" s="3"/>
      <c r="I231" s="3"/>
      <c r="J231" s="3"/>
      <c r="K231" s="3"/>
      <c r="L231" s="3"/>
      <c r="M231" s="3"/>
      <c r="N231" s="3"/>
      <c r="O231" s="3"/>
      <c r="P231" s="3"/>
      <c r="Q231" s="3"/>
      <c r="R231" s="3"/>
      <c r="S231" s="3"/>
      <c r="T231" s="3"/>
      <c r="U231" s="3"/>
      <c r="V231" s="3"/>
      <c r="W231" s="3"/>
      <c r="X231" s="3"/>
    </row>
    <row r="232" spans="1:24" ht="15.75" customHeight="1" x14ac:dyDescent="0.25">
      <c r="A232" s="3"/>
      <c r="B232" s="3"/>
      <c r="C232" s="2"/>
      <c r="D232" s="3"/>
      <c r="E232" s="3"/>
      <c r="F232" s="3"/>
      <c r="G232" s="3"/>
      <c r="H232" s="3"/>
      <c r="I232" s="3"/>
      <c r="J232" s="3"/>
      <c r="K232" s="3"/>
      <c r="L232" s="3"/>
      <c r="M232" s="3"/>
      <c r="N232" s="3"/>
      <c r="O232" s="3"/>
      <c r="P232" s="3"/>
      <c r="Q232" s="3"/>
      <c r="R232" s="3"/>
      <c r="S232" s="3"/>
      <c r="T232" s="3"/>
      <c r="U232" s="3"/>
      <c r="V232" s="3"/>
      <c r="W232" s="3"/>
      <c r="X232" s="3"/>
    </row>
    <row r="233" spans="1:24" ht="15.75" customHeight="1" x14ac:dyDescent="0.25">
      <c r="A233" s="3"/>
      <c r="B233" s="3"/>
      <c r="C233" s="2"/>
      <c r="D233" s="3"/>
      <c r="E233" s="3"/>
      <c r="F233" s="3"/>
      <c r="G233" s="3"/>
      <c r="H233" s="3"/>
      <c r="I233" s="3"/>
      <c r="J233" s="3"/>
      <c r="K233" s="3"/>
      <c r="L233" s="3"/>
      <c r="M233" s="3"/>
      <c r="N233" s="3"/>
      <c r="O233" s="3"/>
      <c r="P233" s="3"/>
      <c r="Q233" s="3"/>
      <c r="R233" s="3"/>
      <c r="S233" s="3"/>
      <c r="T233" s="3"/>
      <c r="U233" s="3"/>
      <c r="V233" s="3"/>
      <c r="W233" s="3"/>
      <c r="X233" s="3"/>
    </row>
    <row r="234" spans="1:24" ht="15.75" customHeight="1" x14ac:dyDescent="0.25">
      <c r="A234" s="3"/>
      <c r="B234" s="3"/>
      <c r="C234" s="2"/>
      <c r="D234" s="3"/>
      <c r="E234" s="3"/>
      <c r="F234" s="3"/>
      <c r="G234" s="3"/>
      <c r="H234" s="3"/>
      <c r="I234" s="3"/>
      <c r="J234" s="3"/>
      <c r="K234" s="3"/>
      <c r="L234" s="3"/>
      <c r="M234" s="3"/>
      <c r="N234" s="3"/>
      <c r="O234" s="3"/>
      <c r="P234" s="3"/>
      <c r="Q234" s="3"/>
      <c r="R234" s="3"/>
      <c r="S234" s="3"/>
      <c r="T234" s="3"/>
      <c r="U234" s="3"/>
      <c r="V234" s="3"/>
      <c r="W234" s="3"/>
      <c r="X234" s="3"/>
    </row>
    <row r="235" spans="1:24" ht="15.75" customHeight="1" x14ac:dyDescent="0.25">
      <c r="A235" s="3"/>
      <c r="B235" s="3"/>
      <c r="C235" s="2"/>
      <c r="D235" s="3"/>
      <c r="E235" s="3"/>
      <c r="F235" s="3"/>
      <c r="G235" s="3"/>
      <c r="H235" s="3"/>
      <c r="I235" s="3"/>
      <c r="J235" s="3"/>
      <c r="K235" s="3"/>
      <c r="L235" s="3"/>
      <c r="M235" s="3"/>
      <c r="N235" s="3"/>
      <c r="O235" s="3"/>
      <c r="P235" s="3"/>
      <c r="Q235" s="3"/>
      <c r="R235" s="3"/>
      <c r="S235" s="3"/>
      <c r="T235" s="3"/>
      <c r="U235" s="3"/>
      <c r="V235" s="3"/>
      <c r="W235" s="3"/>
      <c r="X235" s="3"/>
    </row>
    <row r="236" spans="1:24" ht="15.75" customHeight="1" x14ac:dyDescent="0.25">
      <c r="A236" s="3"/>
      <c r="B236" s="3"/>
      <c r="C236" s="2"/>
      <c r="D236" s="3"/>
      <c r="E236" s="3"/>
      <c r="F236" s="3"/>
      <c r="G236" s="3"/>
      <c r="H236" s="3"/>
      <c r="I236" s="3"/>
      <c r="J236" s="3"/>
      <c r="K236" s="3"/>
      <c r="L236" s="3"/>
      <c r="M236" s="3"/>
      <c r="N236" s="3"/>
      <c r="O236" s="3"/>
      <c r="P236" s="3"/>
      <c r="Q236" s="3"/>
      <c r="R236" s="3"/>
      <c r="S236" s="3"/>
      <c r="T236" s="3"/>
      <c r="U236" s="3"/>
      <c r="V236" s="3"/>
      <c r="W236" s="3"/>
      <c r="X236" s="3"/>
    </row>
    <row r="237" spans="1:24" ht="15.75" customHeight="1" x14ac:dyDescent="0.25">
      <c r="A237" s="3"/>
      <c r="B237" s="3"/>
      <c r="C237" s="2"/>
      <c r="D237" s="3"/>
      <c r="E237" s="3"/>
      <c r="F237" s="3"/>
      <c r="G237" s="3"/>
      <c r="H237" s="3"/>
      <c r="I237" s="3"/>
      <c r="J237" s="3"/>
      <c r="K237" s="3"/>
      <c r="L237" s="3"/>
      <c r="M237" s="3"/>
      <c r="N237" s="3"/>
      <c r="O237" s="3"/>
      <c r="P237" s="3"/>
      <c r="Q237" s="3"/>
      <c r="R237" s="3"/>
      <c r="S237" s="3"/>
      <c r="T237" s="3"/>
      <c r="U237" s="3"/>
      <c r="V237" s="3"/>
      <c r="W237" s="3"/>
      <c r="X237" s="3"/>
    </row>
    <row r="238" spans="1:24" ht="15.75" customHeight="1" x14ac:dyDescent="0.25">
      <c r="A238" s="3"/>
      <c r="B238" s="3"/>
      <c r="C238" s="2"/>
      <c r="D238" s="3"/>
      <c r="E238" s="3"/>
      <c r="F238" s="3"/>
      <c r="G238" s="3"/>
      <c r="H238" s="3"/>
      <c r="I238" s="3"/>
      <c r="J238" s="3"/>
      <c r="K238" s="3"/>
      <c r="L238" s="3"/>
      <c r="M238" s="3"/>
      <c r="N238" s="3"/>
      <c r="O238" s="3"/>
      <c r="P238" s="3"/>
      <c r="Q238" s="3"/>
      <c r="R238" s="3"/>
      <c r="S238" s="3"/>
      <c r="T238" s="3"/>
      <c r="U238" s="3"/>
      <c r="V238" s="3"/>
      <c r="W238" s="3"/>
      <c r="X238" s="3"/>
    </row>
    <row r="239" spans="1:24" ht="15.75" customHeight="1" x14ac:dyDescent="0.25">
      <c r="A239" s="3"/>
      <c r="B239" s="3"/>
      <c r="C239" s="2"/>
      <c r="D239" s="3"/>
      <c r="E239" s="3"/>
      <c r="F239" s="3"/>
      <c r="G239" s="3"/>
      <c r="H239" s="3"/>
      <c r="I239" s="3"/>
      <c r="J239" s="3"/>
      <c r="K239" s="3"/>
      <c r="L239" s="3"/>
      <c r="M239" s="3"/>
      <c r="N239" s="3"/>
      <c r="O239" s="3"/>
      <c r="P239" s="3"/>
      <c r="Q239" s="3"/>
      <c r="R239" s="3"/>
      <c r="S239" s="3"/>
      <c r="T239" s="3"/>
      <c r="U239" s="3"/>
      <c r="V239" s="3"/>
      <c r="W239" s="3"/>
      <c r="X239" s="3"/>
    </row>
    <row r="240" spans="1:24" ht="15.75" customHeight="1" x14ac:dyDescent="0.25">
      <c r="A240" s="3"/>
      <c r="B240" s="3"/>
      <c r="C240" s="2"/>
      <c r="D240" s="3"/>
      <c r="E240" s="3"/>
      <c r="F240" s="3"/>
      <c r="G240" s="3"/>
      <c r="H240" s="3"/>
      <c r="I240" s="3"/>
      <c r="J240" s="3"/>
      <c r="K240" s="3"/>
      <c r="L240" s="3"/>
      <c r="M240" s="3"/>
      <c r="N240" s="3"/>
      <c r="O240" s="3"/>
      <c r="P240" s="3"/>
      <c r="Q240" s="3"/>
      <c r="R240" s="3"/>
      <c r="S240" s="3"/>
      <c r="T240" s="3"/>
      <c r="U240" s="3"/>
      <c r="V240" s="3"/>
      <c r="W240" s="3"/>
      <c r="X240" s="3"/>
    </row>
    <row r="241" spans="1:24" ht="15.75" customHeight="1" x14ac:dyDescent="0.25">
      <c r="A241" s="3"/>
      <c r="B241" s="3"/>
      <c r="C241" s="2"/>
      <c r="D241" s="3"/>
      <c r="E241" s="3"/>
      <c r="F241" s="3"/>
      <c r="G241" s="3"/>
      <c r="H241" s="3"/>
      <c r="I241" s="3"/>
      <c r="J241" s="3"/>
      <c r="K241" s="3"/>
      <c r="L241" s="3"/>
      <c r="M241" s="3"/>
      <c r="N241" s="3"/>
      <c r="O241" s="3"/>
      <c r="P241" s="3"/>
      <c r="Q241" s="3"/>
      <c r="R241" s="3"/>
      <c r="S241" s="3"/>
      <c r="T241" s="3"/>
      <c r="U241" s="3"/>
      <c r="V241" s="3"/>
      <c r="W241" s="3"/>
      <c r="X241" s="3"/>
    </row>
    <row r="242" spans="1:24" ht="15.75" customHeight="1" x14ac:dyDescent="0.25">
      <c r="A242" s="3"/>
      <c r="B242" s="3"/>
      <c r="C242" s="2"/>
      <c r="D242" s="3"/>
      <c r="E242" s="3"/>
      <c r="F242" s="3"/>
      <c r="G242" s="3"/>
      <c r="H242" s="3"/>
      <c r="I242" s="3"/>
      <c r="J242" s="3"/>
      <c r="K242" s="3"/>
      <c r="L242" s="3"/>
      <c r="M242" s="3"/>
      <c r="N242" s="3"/>
      <c r="O242" s="3"/>
      <c r="P242" s="3"/>
      <c r="Q242" s="3"/>
      <c r="R242" s="3"/>
      <c r="S242" s="3"/>
      <c r="T242" s="3"/>
      <c r="U242" s="3"/>
      <c r="V242" s="3"/>
      <c r="W242" s="3"/>
      <c r="X242" s="3"/>
    </row>
    <row r="243" spans="1:24" ht="15.75" customHeight="1" x14ac:dyDescent="0.25">
      <c r="A243" s="3"/>
      <c r="B243" s="3"/>
      <c r="C243" s="2"/>
      <c r="D243" s="3"/>
      <c r="E243" s="3"/>
      <c r="F243" s="3"/>
      <c r="G243" s="3"/>
      <c r="H243" s="3"/>
      <c r="I243" s="3"/>
      <c r="J243" s="3"/>
      <c r="K243" s="3"/>
      <c r="L243" s="3"/>
      <c r="M243" s="3"/>
      <c r="N243" s="3"/>
      <c r="O243" s="3"/>
      <c r="P243" s="3"/>
      <c r="Q243" s="3"/>
      <c r="R243" s="3"/>
      <c r="S243" s="3"/>
      <c r="T243" s="3"/>
      <c r="U243" s="3"/>
      <c r="V243" s="3"/>
      <c r="W243" s="3"/>
      <c r="X243" s="3"/>
    </row>
    <row r="244" spans="1:24" ht="15.75" customHeight="1" x14ac:dyDescent="0.25">
      <c r="A244" s="3"/>
      <c r="B244" s="3"/>
      <c r="C244" s="2"/>
      <c r="D244" s="3"/>
      <c r="E244" s="3"/>
      <c r="F244" s="3"/>
      <c r="G244" s="3"/>
      <c r="H244" s="3"/>
      <c r="I244" s="3"/>
      <c r="J244" s="3"/>
      <c r="K244" s="3"/>
      <c r="L244" s="3"/>
      <c r="M244" s="3"/>
      <c r="N244" s="3"/>
      <c r="O244" s="3"/>
      <c r="P244" s="3"/>
      <c r="Q244" s="3"/>
      <c r="R244" s="3"/>
      <c r="S244" s="3"/>
      <c r="T244" s="3"/>
      <c r="U244" s="3"/>
      <c r="V244" s="3"/>
      <c r="W244" s="3"/>
      <c r="X244" s="3"/>
    </row>
    <row r="245" spans="1:24" ht="15.75" customHeight="1" x14ac:dyDescent="0.25">
      <c r="A245" s="3"/>
      <c r="B245" s="3"/>
      <c r="C245" s="2"/>
      <c r="D245" s="3"/>
      <c r="E245" s="3"/>
      <c r="F245" s="3"/>
      <c r="G245" s="3"/>
      <c r="H245" s="3"/>
      <c r="I245" s="3"/>
      <c r="J245" s="3"/>
      <c r="K245" s="3"/>
      <c r="L245" s="3"/>
      <c r="M245" s="3"/>
      <c r="N245" s="3"/>
      <c r="O245" s="3"/>
      <c r="P245" s="3"/>
      <c r="Q245" s="3"/>
      <c r="R245" s="3"/>
      <c r="S245" s="3"/>
      <c r="T245" s="3"/>
      <c r="U245" s="3"/>
      <c r="V245" s="3"/>
      <c r="W245" s="3"/>
      <c r="X245" s="3"/>
    </row>
    <row r="246" spans="1:24" ht="15.75" customHeight="1" x14ac:dyDescent="0.25">
      <c r="A246" s="3"/>
      <c r="B246" s="3"/>
      <c r="C246" s="2"/>
      <c r="D246" s="3"/>
      <c r="E246" s="3"/>
      <c r="F246" s="3"/>
      <c r="G246" s="3"/>
      <c r="H246" s="3"/>
      <c r="I246" s="3"/>
      <c r="J246" s="3"/>
      <c r="K246" s="3"/>
      <c r="L246" s="3"/>
      <c r="M246" s="3"/>
      <c r="N246" s="3"/>
      <c r="O246" s="3"/>
      <c r="P246" s="3"/>
      <c r="Q246" s="3"/>
      <c r="R246" s="3"/>
      <c r="S246" s="3"/>
      <c r="T246" s="3"/>
      <c r="U246" s="3"/>
      <c r="V246" s="3"/>
      <c r="W246" s="3"/>
      <c r="X246" s="3"/>
    </row>
    <row r="247" spans="1:24" ht="15.75" customHeight="1" x14ac:dyDescent="0.25">
      <c r="A247" s="3"/>
      <c r="B247" s="3"/>
      <c r="C247" s="2"/>
      <c r="D247" s="3"/>
      <c r="E247" s="3"/>
      <c r="F247" s="3"/>
      <c r="G247" s="3"/>
      <c r="H247" s="3"/>
      <c r="I247" s="3"/>
      <c r="J247" s="3"/>
      <c r="K247" s="3"/>
      <c r="L247" s="3"/>
      <c r="M247" s="3"/>
      <c r="N247" s="3"/>
      <c r="O247" s="3"/>
      <c r="P247" s="3"/>
      <c r="Q247" s="3"/>
      <c r="R247" s="3"/>
      <c r="S247" s="3"/>
      <c r="T247" s="3"/>
      <c r="U247" s="3"/>
      <c r="V247" s="3"/>
      <c r="W247" s="3"/>
      <c r="X247" s="3"/>
    </row>
    <row r="248" spans="1:24" ht="15.75" customHeight="1" x14ac:dyDescent="0.25">
      <c r="A248" s="3"/>
      <c r="B248" s="3"/>
      <c r="C248" s="2"/>
      <c r="D248" s="3"/>
      <c r="E248" s="3"/>
      <c r="F248" s="3"/>
      <c r="G248" s="3"/>
      <c r="H248" s="3"/>
      <c r="I248" s="3"/>
      <c r="J248" s="3"/>
      <c r="K248" s="3"/>
      <c r="L248" s="3"/>
      <c r="M248" s="3"/>
      <c r="N248" s="3"/>
      <c r="O248" s="3"/>
      <c r="P248" s="3"/>
      <c r="Q248" s="3"/>
      <c r="R248" s="3"/>
      <c r="S248" s="3"/>
      <c r="T248" s="3"/>
      <c r="U248" s="3"/>
      <c r="V248" s="3"/>
      <c r="W248" s="3"/>
      <c r="X248" s="3"/>
    </row>
    <row r="249" spans="1:24" ht="15.75" customHeight="1" x14ac:dyDescent="0.25">
      <c r="A249" s="3"/>
      <c r="B249" s="3"/>
      <c r="C249" s="2"/>
      <c r="D249" s="3"/>
      <c r="E249" s="3"/>
      <c r="F249" s="3"/>
      <c r="G249" s="3"/>
      <c r="H249" s="3"/>
      <c r="I249" s="3"/>
      <c r="J249" s="3"/>
      <c r="K249" s="3"/>
      <c r="L249" s="3"/>
      <c r="M249" s="3"/>
      <c r="N249" s="3"/>
      <c r="O249" s="3"/>
      <c r="P249" s="3"/>
      <c r="Q249" s="3"/>
      <c r="R249" s="3"/>
      <c r="S249" s="3"/>
      <c r="T249" s="3"/>
      <c r="U249" s="3"/>
      <c r="V249" s="3"/>
      <c r="W249" s="3"/>
      <c r="X249" s="3"/>
    </row>
    <row r="250" spans="1:24" ht="15.75" customHeight="1" x14ac:dyDescent="0.25">
      <c r="A250" s="3"/>
      <c r="B250" s="3"/>
      <c r="C250" s="2"/>
      <c r="D250" s="3"/>
      <c r="E250" s="3"/>
      <c r="F250" s="3"/>
      <c r="G250" s="3"/>
      <c r="H250" s="3"/>
      <c r="I250" s="3"/>
      <c r="J250" s="3"/>
      <c r="K250" s="3"/>
      <c r="L250" s="3"/>
      <c r="M250" s="3"/>
      <c r="N250" s="3"/>
      <c r="O250" s="3"/>
      <c r="P250" s="3"/>
      <c r="Q250" s="3"/>
      <c r="R250" s="3"/>
      <c r="S250" s="3"/>
      <c r="T250" s="3"/>
      <c r="U250" s="3"/>
      <c r="V250" s="3"/>
      <c r="W250" s="3"/>
      <c r="X250" s="3"/>
    </row>
    <row r="251" spans="1:24" ht="15.75" customHeight="1" x14ac:dyDescent="0.25">
      <c r="A251" s="3"/>
      <c r="B251" s="3"/>
      <c r="C251" s="2"/>
      <c r="D251" s="3"/>
      <c r="E251" s="3"/>
      <c r="F251" s="3"/>
      <c r="G251" s="3"/>
      <c r="H251" s="3"/>
      <c r="I251" s="3"/>
      <c r="J251" s="3"/>
      <c r="K251" s="3"/>
      <c r="L251" s="3"/>
      <c r="M251" s="3"/>
      <c r="N251" s="3"/>
      <c r="O251" s="3"/>
      <c r="P251" s="3"/>
      <c r="Q251" s="3"/>
      <c r="R251" s="3"/>
      <c r="S251" s="3"/>
      <c r="T251" s="3"/>
      <c r="U251" s="3"/>
      <c r="V251" s="3"/>
      <c r="W251" s="3"/>
      <c r="X251" s="3"/>
    </row>
    <row r="252" spans="1:24" ht="15.75" customHeight="1" x14ac:dyDescent="0.25">
      <c r="A252" s="3"/>
      <c r="B252" s="3"/>
      <c r="C252" s="2"/>
      <c r="D252" s="3"/>
      <c r="E252" s="3"/>
      <c r="F252" s="3"/>
      <c r="G252" s="3"/>
      <c r="H252" s="3"/>
      <c r="I252" s="3"/>
      <c r="J252" s="3"/>
      <c r="K252" s="3"/>
      <c r="L252" s="3"/>
      <c r="M252" s="3"/>
      <c r="N252" s="3"/>
      <c r="O252" s="3"/>
      <c r="P252" s="3"/>
      <c r="Q252" s="3"/>
      <c r="R252" s="3"/>
      <c r="S252" s="3"/>
      <c r="T252" s="3"/>
      <c r="U252" s="3"/>
      <c r="V252" s="3"/>
      <c r="W252" s="3"/>
      <c r="X252" s="3"/>
    </row>
    <row r="253" spans="1:24" ht="15.75" customHeight="1" x14ac:dyDescent="0.25">
      <c r="A253" s="3"/>
      <c r="B253" s="3"/>
      <c r="C253" s="2"/>
      <c r="D253" s="3"/>
      <c r="E253" s="3"/>
      <c r="F253" s="3"/>
      <c r="G253" s="3"/>
      <c r="H253" s="3"/>
      <c r="I253" s="3"/>
      <c r="J253" s="3"/>
      <c r="K253" s="3"/>
      <c r="L253" s="3"/>
      <c r="M253" s="3"/>
      <c r="N253" s="3"/>
      <c r="O253" s="3"/>
      <c r="P253" s="3"/>
      <c r="Q253" s="3"/>
      <c r="R253" s="3"/>
      <c r="S253" s="3"/>
      <c r="T253" s="3"/>
      <c r="U253" s="3"/>
      <c r="V253" s="3"/>
      <c r="W253" s="3"/>
      <c r="X253" s="3"/>
    </row>
    <row r="254" spans="1:24" ht="15.75" customHeight="1" x14ac:dyDescent="0.25">
      <c r="A254" s="3"/>
      <c r="B254" s="3"/>
      <c r="C254" s="2"/>
      <c r="D254" s="3"/>
      <c r="E254" s="3"/>
      <c r="F254" s="3"/>
      <c r="G254" s="3"/>
      <c r="H254" s="3"/>
      <c r="I254" s="3"/>
      <c r="J254" s="3"/>
      <c r="K254" s="3"/>
      <c r="L254" s="3"/>
      <c r="M254" s="3"/>
      <c r="N254" s="3"/>
      <c r="O254" s="3"/>
      <c r="P254" s="3"/>
      <c r="Q254" s="3"/>
      <c r="R254" s="3"/>
      <c r="S254" s="3"/>
      <c r="T254" s="3"/>
      <c r="U254" s="3"/>
      <c r="V254" s="3"/>
      <c r="W254" s="3"/>
      <c r="X254" s="3"/>
    </row>
    <row r="255" spans="1:24" ht="15.75" customHeight="1" x14ac:dyDescent="0.25">
      <c r="A255" s="3"/>
      <c r="B255" s="3"/>
      <c r="C255" s="2"/>
      <c r="D255" s="3"/>
      <c r="E255" s="3"/>
      <c r="F255" s="3"/>
      <c r="G255" s="3"/>
      <c r="H255" s="3"/>
      <c r="I255" s="3"/>
      <c r="J255" s="3"/>
      <c r="K255" s="3"/>
      <c r="L255" s="3"/>
      <c r="M255" s="3"/>
      <c r="N255" s="3"/>
      <c r="O255" s="3"/>
      <c r="P255" s="3"/>
      <c r="Q255" s="3"/>
      <c r="R255" s="3"/>
      <c r="S255" s="3"/>
      <c r="T255" s="3"/>
      <c r="U255" s="3"/>
      <c r="V255" s="3"/>
      <c r="W255" s="3"/>
      <c r="X255" s="3"/>
    </row>
    <row r="256" spans="1:24" ht="15.75" customHeight="1" x14ac:dyDescent="0.25">
      <c r="A256" s="3"/>
      <c r="B256" s="3"/>
      <c r="C256" s="2"/>
      <c r="D256" s="3"/>
      <c r="E256" s="3"/>
      <c r="F256" s="3"/>
      <c r="G256" s="3"/>
      <c r="H256" s="3"/>
      <c r="I256" s="3"/>
      <c r="J256" s="3"/>
      <c r="K256" s="3"/>
      <c r="L256" s="3"/>
      <c r="M256" s="3"/>
      <c r="N256" s="3"/>
      <c r="O256" s="3"/>
      <c r="P256" s="3"/>
      <c r="Q256" s="3"/>
      <c r="R256" s="3"/>
      <c r="S256" s="3"/>
      <c r="T256" s="3"/>
      <c r="U256" s="3"/>
      <c r="V256" s="3"/>
      <c r="W256" s="3"/>
      <c r="X256" s="3"/>
    </row>
    <row r="257" spans="1:24" ht="15.75" customHeight="1" x14ac:dyDescent="0.25">
      <c r="A257" s="3"/>
      <c r="B257" s="3"/>
      <c r="C257" s="2"/>
      <c r="D257" s="3"/>
      <c r="E257" s="3"/>
      <c r="F257" s="3"/>
      <c r="G257" s="3"/>
      <c r="H257" s="3"/>
      <c r="I257" s="3"/>
      <c r="J257" s="3"/>
      <c r="K257" s="3"/>
      <c r="L257" s="3"/>
      <c r="M257" s="3"/>
      <c r="N257" s="3"/>
      <c r="O257" s="3"/>
      <c r="P257" s="3"/>
      <c r="Q257" s="3"/>
      <c r="R257" s="3"/>
      <c r="S257" s="3"/>
      <c r="T257" s="3"/>
      <c r="U257" s="3"/>
      <c r="V257" s="3"/>
      <c r="W257" s="3"/>
      <c r="X257" s="3"/>
    </row>
    <row r="258" spans="1:24" ht="15.75" customHeight="1" x14ac:dyDescent="0.25">
      <c r="A258" s="3"/>
      <c r="B258" s="3"/>
      <c r="C258" s="2"/>
      <c r="D258" s="3"/>
      <c r="E258" s="3"/>
      <c r="F258" s="3"/>
      <c r="G258" s="3"/>
      <c r="H258" s="3"/>
      <c r="I258" s="3"/>
      <c r="J258" s="3"/>
      <c r="K258" s="3"/>
      <c r="L258" s="3"/>
      <c r="M258" s="3"/>
      <c r="N258" s="3"/>
      <c r="O258" s="3"/>
      <c r="P258" s="3"/>
      <c r="Q258" s="3"/>
      <c r="R258" s="3"/>
      <c r="S258" s="3"/>
      <c r="T258" s="3"/>
      <c r="U258" s="3"/>
      <c r="V258" s="3"/>
      <c r="W258" s="3"/>
      <c r="X258" s="3"/>
    </row>
    <row r="259" spans="1:24" ht="15.75" customHeight="1" x14ac:dyDescent="0.25">
      <c r="A259" s="3"/>
      <c r="B259" s="3"/>
      <c r="C259" s="2"/>
      <c r="D259" s="3"/>
      <c r="E259" s="3"/>
      <c r="F259" s="3"/>
      <c r="G259" s="3"/>
      <c r="H259" s="3"/>
      <c r="I259" s="3"/>
      <c r="J259" s="3"/>
      <c r="K259" s="3"/>
      <c r="L259" s="3"/>
      <c r="M259" s="3"/>
      <c r="N259" s="3"/>
      <c r="O259" s="3"/>
      <c r="P259" s="3"/>
      <c r="Q259" s="3"/>
      <c r="R259" s="3"/>
      <c r="S259" s="3"/>
      <c r="T259" s="3"/>
      <c r="U259" s="3"/>
      <c r="V259" s="3"/>
      <c r="W259" s="3"/>
      <c r="X259" s="3"/>
    </row>
    <row r="260" spans="1:24" ht="15.75" customHeight="1" x14ac:dyDescent="0.25">
      <c r="A260" s="3"/>
      <c r="B260" s="3"/>
      <c r="C260" s="2"/>
      <c r="D260" s="3"/>
      <c r="E260" s="3"/>
      <c r="F260" s="3"/>
      <c r="G260" s="3"/>
      <c r="H260" s="3"/>
      <c r="I260" s="3"/>
      <c r="J260" s="3"/>
      <c r="K260" s="3"/>
      <c r="L260" s="3"/>
      <c r="M260" s="3"/>
      <c r="N260" s="3"/>
      <c r="O260" s="3"/>
      <c r="P260" s="3"/>
      <c r="Q260" s="3"/>
      <c r="R260" s="3"/>
      <c r="S260" s="3"/>
      <c r="T260" s="3"/>
      <c r="U260" s="3"/>
      <c r="V260" s="3"/>
      <c r="W260" s="3"/>
      <c r="X260" s="3"/>
    </row>
    <row r="261" spans="1:24" ht="15.75" customHeight="1" x14ac:dyDescent="0.25">
      <c r="A261" s="3"/>
      <c r="B261" s="3"/>
      <c r="C261" s="2"/>
      <c r="D261" s="3"/>
      <c r="E261" s="3"/>
      <c r="F261" s="3"/>
      <c r="G261" s="3"/>
      <c r="H261" s="3"/>
      <c r="I261" s="3"/>
      <c r="J261" s="3"/>
      <c r="K261" s="3"/>
      <c r="L261" s="3"/>
      <c r="M261" s="3"/>
      <c r="N261" s="3"/>
      <c r="O261" s="3"/>
      <c r="P261" s="3"/>
      <c r="Q261" s="3"/>
      <c r="R261" s="3"/>
      <c r="S261" s="3"/>
      <c r="T261" s="3"/>
      <c r="U261" s="3"/>
      <c r="V261" s="3"/>
      <c r="W261" s="3"/>
      <c r="X261" s="3"/>
    </row>
    <row r="262" spans="1:24" ht="15.75" customHeight="1" x14ac:dyDescent="0.25">
      <c r="A262" s="3"/>
      <c r="B262" s="3"/>
      <c r="C262" s="2"/>
      <c r="D262" s="3"/>
      <c r="E262" s="3"/>
      <c r="F262" s="3"/>
      <c r="G262" s="3"/>
      <c r="H262" s="3"/>
      <c r="I262" s="3"/>
      <c r="J262" s="3"/>
      <c r="K262" s="3"/>
      <c r="L262" s="3"/>
      <c r="M262" s="3"/>
      <c r="N262" s="3"/>
      <c r="O262" s="3"/>
      <c r="P262" s="3"/>
      <c r="Q262" s="3"/>
      <c r="R262" s="3"/>
      <c r="S262" s="3"/>
      <c r="T262" s="3"/>
      <c r="U262" s="3"/>
      <c r="V262" s="3"/>
      <c r="W262" s="3"/>
      <c r="X262" s="3"/>
    </row>
    <row r="263" spans="1:24" ht="15.75" customHeight="1" x14ac:dyDescent="0.25">
      <c r="A263" s="3"/>
      <c r="B263" s="3"/>
      <c r="C263" s="2"/>
      <c r="D263" s="3"/>
      <c r="E263" s="3"/>
      <c r="F263" s="3"/>
      <c r="G263" s="3"/>
      <c r="H263" s="3"/>
      <c r="I263" s="3"/>
      <c r="J263" s="3"/>
      <c r="K263" s="3"/>
      <c r="L263" s="3"/>
      <c r="M263" s="3"/>
      <c r="N263" s="3"/>
      <c r="O263" s="3"/>
      <c r="P263" s="3"/>
      <c r="Q263" s="3"/>
      <c r="R263" s="3"/>
      <c r="S263" s="3"/>
      <c r="T263" s="3"/>
      <c r="U263" s="3"/>
      <c r="V263" s="3"/>
      <c r="W263" s="3"/>
      <c r="X263" s="3"/>
    </row>
    <row r="264" spans="1:24" ht="15.75" customHeight="1" x14ac:dyDescent="0.25">
      <c r="A264" s="3"/>
      <c r="B264" s="3"/>
      <c r="C264" s="2"/>
      <c r="D264" s="3"/>
      <c r="E264" s="3"/>
      <c r="F264" s="3"/>
      <c r="G264" s="3"/>
      <c r="H264" s="3"/>
      <c r="I264" s="3"/>
      <c r="J264" s="3"/>
      <c r="K264" s="3"/>
      <c r="L264" s="3"/>
      <c r="M264" s="3"/>
      <c r="N264" s="3"/>
      <c r="O264" s="3"/>
      <c r="P264" s="3"/>
      <c r="Q264" s="3"/>
      <c r="R264" s="3"/>
      <c r="S264" s="3"/>
      <c r="T264" s="3"/>
      <c r="U264" s="3"/>
      <c r="V264" s="3"/>
      <c r="W264" s="3"/>
      <c r="X264" s="3"/>
    </row>
    <row r="265" spans="1:24" ht="15.75" customHeight="1" x14ac:dyDescent="0.25">
      <c r="A265" s="3"/>
      <c r="B265" s="3"/>
      <c r="C265" s="2"/>
      <c r="D265" s="3"/>
      <c r="E265" s="3"/>
      <c r="F265" s="3"/>
      <c r="G265" s="3"/>
      <c r="H265" s="3"/>
      <c r="I265" s="3"/>
      <c r="J265" s="3"/>
      <c r="K265" s="3"/>
      <c r="L265" s="3"/>
      <c r="M265" s="3"/>
      <c r="N265" s="3"/>
      <c r="O265" s="3"/>
      <c r="P265" s="3"/>
      <c r="Q265" s="3"/>
      <c r="R265" s="3"/>
      <c r="S265" s="3"/>
      <c r="T265" s="3"/>
      <c r="U265" s="3"/>
      <c r="V265" s="3"/>
      <c r="W265" s="3"/>
      <c r="X265" s="3"/>
    </row>
    <row r="266" spans="1:24" ht="15.75" customHeight="1" x14ac:dyDescent="0.25">
      <c r="A266" s="3"/>
      <c r="B266" s="3"/>
      <c r="C266" s="2"/>
      <c r="D266" s="3"/>
      <c r="E266" s="3"/>
      <c r="F266" s="3"/>
      <c r="G266" s="3"/>
      <c r="H266" s="3"/>
      <c r="I266" s="3"/>
      <c r="J266" s="3"/>
      <c r="K266" s="3"/>
      <c r="L266" s="3"/>
      <c r="M266" s="3"/>
      <c r="N266" s="3"/>
      <c r="O266" s="3"/>
      <c r="P266" s="3"/>
      <c r="Q266" s="3"/>
      <c r="R266" s="3"/>
      <c r="S266" s="3"/>
      <c r="T266" s="3"/>
      <c r="U266" s="3"/>
      <c r="V266" s="3"/>
      <c r="W266" s="3"/>
      <c r="X266" s="3"/>
    </row>
    <row r="267" spans="1:24" ht="15.75" customHeight="1" x14ac:dyDescent="0.25">
      <c r="A267" s="3"/>
      <c r="B267" s="3"/>
      <c r="C267" s="2"/>
      <c r="D267" s="3"/>
      <c r="E267" s="3"/>
      <c r="F267" s="3"/>
      <c r="G267" s="3"/>
      <c r="H267" s="3"/>
      <c r="I267" s="3"/>
      <c r="J267" s="3"/>
      <c r="K267" s="3"/>
      <c r="L267" s="3"/>
      <c r="M267" s="3"/>
      <c r="N267" s="3"/>
      <c r="O267" s="3"/>
      <c r="P267" s="3"/>
      <c r="Q267" s="3"/>
      <c r="R267" s="3"/>
      <c r="S267" s="3"/>
      <c r="T267" s="3"/>
      <c r="U267" s="3"/>
      <c r="V267" s="3"/>
      <c r="W267" s="3"/>
      <c r="X267" s="3"/>
    </row>
    <row r="268" spans="1:24" ht="15.75" customHeight="1" x14ac:dyDescent="0.25">
      <c r="A268" s="3"/>
      <c r="B268" s="3"/>
      <c r="C268" s="2"/>
      <c r="D268" s="3"/>
      <c r="E268" s="3"/>
      <c r="F268" s="3"/>
      <c r="G268" s="3"/>
      <c r="H268" s="3"/>
      <c r="I268" s="3"/>
      <c r="J268" s="3"/>
      <c r="K268" s="3"/>
      <c r="L268" s="3"/>
      <c r="M268" s="3"/>
      <c r="N268" s="3"/>
      <c r="O268" s="3"/>
      <c r="P268" s="3"/>
      <c r="Q268" s="3"/>
      <c r="R268" s="3"/>
      <c r="S268" s="3"/>
      <c r="T268" s="3"/>
      <c r="U268" s="3"/>
      <c r="V268" s="3"/>
      <c r="W268" s="3"/>
      <c r="X268" s="3"/>
    </row>
    <row r="269" spans="1:24" ht="15.75" customHeight="1" x14ac:dyDescent="0.25">
      <c r="A269" s="3"/>
      <c r="B269" s="3"/>
      <c r="C269" s="2"/>
      <c r="D269" s="3"/>
      <c r="E269" s="3"/>
      <c r="F269" s="3"/>
      <c r="G269" s="3"/>
      <c r="H269" s="3"/>
      <c r="I269" s="3"/>
      <c r="J269" s="3"/>
      <c r="K269" s="3"/>
      <c r="L269" s="3"/>
      <c r="M269" s="3"/>
      <c r="N269" s="3"/>
      <c r="O269" s="3"/>
      <c r="P269" s="3"/>
      <c r="Q269" s="3"/>
      <c r="R269" s="3"/>
      <c r="S269" s="3"/>
      <c r="T269" s="3"/>
      <c r="U269" s="3"/>
      <c r="V269" s="3"/>
      <c r="W269" s="3"/>
      <c r="X269" s="3"/>
    </row>
    <row r="270" spans="1:24" ht="15.75" customHeight="1" x14ac:dyDescent="0.25">
      <c r="A270" s="3"/>
      <c r="B270" s="3"/>
      <c r="C270" s="2"/>
      <c r="D270" s="3"/>
      <c r="E270" s="3"/>
      <c r="F270" s="3"/>
      <c r="G270" s="3"/>
      <c r="H270" s="3"/>
      <c r="I270" s="3"/>
      <c r="J270" s="3"/>
      <c r="K270" s="3"/>
      <c r="L270" s="3"/>
      <c r="M270" s="3"/>
      <c r="N270" s="3"/>
      <c r="O270" s="3"/>
      <c r="P270" s="3"/>
      <c r="Q270" s="3"/>
      <c r="R270" s="3"/>
      <c r="S270" s="3"/>
      <c r="T270" s="3"/>
      <c r="U270" s="3"/>
      <c r="V270" s="3"/>
      <c r="W270" s="3"/>
      <c r="X270" s="3"/>
    </row>
    <row r="271" spans="1:24" ht="15.75" customHeight="1" x14ac:dyDescent="0.25">
      <c r="A271" s="3"/>
      <c r="B271" s="3"/>
      <c r="C271" s="2"/>
      <c r="D271" s="3"/>
      <c r="E271" s="3"/>
      <c r="F271" s="3"/>
      <c r="G271" s="3"/>
      <c r="H271" s="3"/>
      <c r="I271" s="3"/>
      <c r="J271" s="3"/>
      <c r="K271" s="3"/>
      <c r="L271" s="3"/>
      <c r="M271" s="3"/>
      <c r="N271" s="3"/>
      <c r="O271" s="3"/>
      <c r="P271" s="3"/>
      <c r="Q271" s="3"/>
      <c r="R271" s="3"/>
      <c r="S271" s="3"/>
      <c r="T271" s="3"/>
      <c r="U271" s="3"/>
      <c r="V271" s="3"/>
      <c r="W271" s="3"/>
      <c r="X271" s="3"/>
    </row>
    <row r="272" spans="1:24" ht="15.75" customHeight="1" x14ac:dyDescent="0.25">
      <c r="A272" s="3"/>
      <c r="B272" s="3"/>
      <c r="C272" s="2"/>
      <c r="D272" s="3"/>
      <c r="E272" s="3"/>
      <c r="F272" s="3"/>
      <c r="G272" s="3"/>
      <c r="H272" s="3"/>
      <c r="I272" s="3"/>
      <c r="J272" s="3"/>
      <c r="K272" s="3"/>
      <c r="L272" s="3"/>
      <c r="M272" s="3"/>
      <c r="N272" s="3"/>
      <c r="O272" s="3"/>
      <c r="P272" s="3"/>
      <c r="Q272" s="3"/>
      <c r="R272" s="3"/>
      <c r="S272" s="3"/>
      <c r="T272" s="3"/>
      <c r="U272" s="3"/>
      <c r="V272" s="3"/>
      <c r="W272" s="3"/>
      <c r="X272" s="3"/>
    </row>
    <row r="273" spans="1:24" ht="15.75" customHeight="1" x14ac:dyDescent="0.25">
      <c r="A273" s="3"/>
      <c r="B273" s="3"/>
      <c r="C273" s="2"/>
      <c r="D273" s="3"/>
      <c r="E273" s="3"/>
      <c r="F273" s="3"/>
      <c r="G273" s="3"/>
      <c r="H273" s="3"/>
      <c r="I273" s="3"/>
      <c r="J273" s="3"/>
      <c r="K273" s="3"/>
      <c r="L273" s="3"/>
      <c r="M273" s="3"/>
      <c r="N273" s="3"/>
      <c r="O273" s="3"/>
      <c r="P273" s="3"/>
      <c r="Q273" s="3"/>
      <c r="R273" s="3"/>
      <c r="S273" s="3"/>
      <c r="T273" s="3"/>
      <c r="U273" s="3"/>
      <c r="V273" s="3"/>
      <c r="W273" s="3"/>
      <c r="X273" s="3"/>
    </row>
    <row r="274" spans="1:24" ht="15.75" customHeight="1" x14ac:dyDescent="0.25">
      <c r="A274" s="3"/>
      <c r="B274" s="3"/>
      <c r="C274" s="2"/>
      <c r="D274" s="3"/>
      <c r="E274" s="3"/>
      <c r="F274" s="3"/>
      <c r="G274" s="3"/>
      <c r="H274" s="3"/>
      <c r="I274" s="3"/>
      <c r="J274" s="3"/>
      <c r="K274" s="3"/>
      <c r="L274" s="3"/>
      <c r="M274" s="3"/>
      <c r="N274" s="3"/>
      <c r="O274" s="3"/>
      <c r="P274" s="3"/>
      <c r="Q274" s="3"/>
      <c r="R274" s="3"/>
      <c r="S274" s="3"/>
      <c r="T274" s="3"/>
      <c r="U274" s="3"/>
      <c r="V274" s="3"/>
      <c r="W274" s="3"/>
      <c r="X274" s="3"/>
    </row>
    <row r="275" spans="1:24" ht="15.75" customHeight="1" x14ac:dyDescent="0.25">
      <c r="A275" s="3"/>
      <c r="B275" s="3"/>
      <c r="C275" s="2"/>
      <c r="D275" s="3"/>
      <c r="E275" s="3"/>
      <c r="F275" s="3"/>
      <c r="G275" s="3"/>
      <c r="H275" s="3"/>
      <c r="I275" s="3"/>
      <c r="J275" s="3"/>
      <c r="K275" s="3"/>
      <c r="L275" s="3"/>
      <c r="M275" s="3"/>
      <c r="N275" s="3"/>
      <c r="O275" s="3"/>
      <c r="P275" s="3"/>
      <c r="Q275" s="3"/>
      <c r="R275" s="3"/>
      <c r="S275" s="3"/>
      <c r="T275" s="3"/>
      <c r="U275" s="3"/>
      <c r="V275" s="3"/>
      <c r="W275" s="3"/>
      <c r="X275" s="3"/>
    </row>
    <row r="276" spans="1:24" ht="15.75" customHeight="1" x14ac:dyDescent="0.25">
      <c r="A276" s="3"/>
      <c r="B276" s="3"/>
      <c r="C276" s="2"/>
      <c r="D276" s="3"/>
      <c r="E276" s="3"/>
      <c r="F276" s="3"/>
      <c r="G276" s="3"/>
      <c r="H276" s="3"/>
      <c r="I276" s="3"/>
      <c r="J276" s="3"/>
      <c r="K276" s="3"/>
      <c r="L276" s="3"/>
      <c r="M276" s="3"/>
      <c r="N276" s="3"/>
      <c r="O276" s="3"/>
      <c r="P276" s="3"/>
      <c r="Q276" s="3"/>
      <c r="R276" s="3"/>
      <c r="S276" s="3"/>
      <c r="T276" s="3"/>
      <c r="U276" s="3"/>
      <c r="V276" s="3"/>
      <c r="W276" s="3"/>
      <c r="X276" s="3"/>
    </row>
    <row r="277" spans="1:24" ht="15.75" customHeight="1" x14ac:dyDescent="0.25">
      <c r="A277" s="3"/>
      <c r="B277" s="3"/>
      <c r="C277" s="2"/>
      <c r="D277" s="3"/>
      <c r="E277" s="3"/>
      <c r="F277" s="3"/>
      <c r="G277" s="3"/>
      <c r="H277" s="3"/>
      <c r="I277" s="3"/>
      <c r="J277" s="3"/>
      <c r="K277" s="3"/>
      <c r="L277" s="3"/>
      <c r="M277" s="3"/>
      <c r="N277" s="3"/>
      <c r="O277" s="3"/>
      <c r="P277" s="3"/>
      <c r="Q277" s="3"/>
      <c r="R277" s="3"/>
      <c r="S277" s="3"/>
      <c r="T277" s="3"/>
      <c r="U277" s="3"/>
      <c r="V277" s="3"/>
      <c r="W277" s="3"/>
      <c r="X277" s="3"/>
    </row>
    <row r="278" spans="1:24" ht="15.75" customHeight="1" x14ac:dyDescent="0.25">
      <c r="A278" s="3"/>
      <c r="B278" s="3"/>
      <c r="C278" s="2"/>
      <c r="D278" s="3"/>
      <c r="E278" s="3"/>
      <c r="F278" s="3"/>
      <c r="G278" s="3"/>
      <c r="H278" s="3"/>
      <c r="I278" s="3"/>
      <c r="J278" s="3"/>
      <c r="K278" s="3"/>
      <c r="L278" s="3"/>
      <c r="M278" s="3"/>
      <c r="N278" s="3"/>
      <c r="O278" s="3"/>
      <c r="P278" s="3"/>
      <c r="Q278" s="3"/>
      <c r="R278" s="3"/>
      <c r="S278" s="3"/>
      <c r="T278" s="3"/>
      <c r="U278" s="3"/>
      <c r="V278" s="3"/>
      <c r="W278" s="3"/>
      <c r="X278" s="3"/>
    </row>
    <row r="279" spans="1:24" ht="15.75" customHeight="1" x14ac:dyDescent="0.25">
      <c r="A279" s="3"/>
      <c r="B279" s="3"/>
      <c r="C279" s="2"/>
      <c r="D279" s="3"/>
      <c r="E279" s="3"/>
      <c r="F279" s="3"/>
      <c r="G279" s="3"/>
      <c r="H279" s="3"/>
      <c r="I279" s="3"/>
      <c r="J279" s="3"/>
      <c r="K279" s="3"/>
      <c r="L279" s="3"/>
      <c r="M279" s="3"/>
      <c r="N279" s="3"/>
      <c r="O279" s="3"/>
      <c r="P279" s="3"/>
      <c r="Q279" s="3"/>
      <c r="R279" s="3"/>
      <c r="S279" s="3"/>
      <c r="T279" s="3"/>
      <c r="U279" s="3"/>
      <c r="V279" s="3"/>
      <c r="W279" s="3"/>
      <c r="X279" s="3"/>
    </row>
    <row r="280" spans="1:24" ht="15.75" customHeight="1" x14ac:dyDescent="0.25">
      <c r="A280" s="3"/>
      <c r="B280" s="3"/>
      <c r="C280" s="2"/>
      <c r="D280" s="3"/>
      <c r="E280" s="3"/>
      <c r="F280" s="3"/>
      <c r="G280" s="3"/>
      <c r="H280" s="3"/>
      <c r="I280" s="3"/>
      <c r="J280" s="3"/>
      <c r="K280" s="3"/>
      <c r="L280" s="3"/>
      <c r="M280" s="3"/>
      <c r="N280" s="3"/>
      <c r="O280" s="3"/>
      <c r="P280" s="3"/>
      <c r="Q280" s="3"/>
      <c r="R280" s="3"/>
      <c r="S280" s="3"/>
      <c r="T280" s="3"/>
      <c r="U280" s="3"/>
      <c r="V280" s="3"/>
      <c r="W280" s="3"/>
      <c r="X280" s="3"/>
    </row>
    <row r="281" spans="1:24" ht="15.75" customHeight="1" x14ac:dyDescent="0.25">
      <c r="A281" s="3"/>
      <c r="B281" s="3"/>
      <c r="C281" s="2"/>
      <c r="D281" s="3"/>
      <c r="E281" s="3"/>
      <c r="F281" s="3"/>
      <c r="G281" s="3"/>
      <c r="H281" s="3"/>
      <c r="I281" s="3"/>
      <c r="J281" s="3"/>
      <c r="K281" s="3"/>
      <c r="L281" s="3"/>
      <c r="M281" s="3"/>
      <c r="N281" s="3"/>
      <c r="O281" s="3"/>
      <c r="P281" s="3"/>
      <c r="Q281" s="3"/>
      <c r="R281" s="3"/>
      <c r="S281" s="3"/>
      <c r="T281" s="3"/>
      <c r="U281" s="3"/>
      <c r="V281" s="3"/>
      <c r="W281" s="3"/>
      <c r="X281" s="3"/>
    </row>
    <row r="282" spans="1:24" ht="15.75" customHeight="1" x14ac:dyDescent="0.25">
      <c r="A282" s="3"/>
      <c r="B282" s="3"/>
      <c r="C282" s="2"/>
      <c r="D282" s="3"/>
      <c r="E282" s="3"/>
      <c r="F282" s="3"/>
      <c r="G282" s="3"/>
      <c r="H282" s="3"/>
      <c r="I282" s="3"/>
      <c r="J282" s="3"/>
      <c r="K282" s="3"/>
      <c r="L282" s="3"/>
      <c r="M282" s="3"/>
      <c r="N282" s="3"/>
      <c r="O282" s="3"/>
      <c r="P282" s="3"/>
      <c r="Q282" s="3"/>
      <c r="R282" s="3"/>
      <c r="S282" s="3"/>
      <c r="T282" s="3"/>
      <c r="U282" s="3"/>
      <c r="V282" s="3"/>
      <c r="W282" s="3"/>
      <c r="X282" s="3"/>
    </row>
    <row r="283" spans="1:24" ht="15.75" customHeight="1" x14ac:dyDescent="0.25">
      <c r="A283" s="3"/>
      <c r="B283" s="3"/>
      <c r="C283" s="2"/>
      <c r="D283" s="3"/>
      <c r="E283" s="3"/>
      <c r="F283" s="3"/>
      <c r="G283" s="3"/>
      <c r="H283" s="3"/>
      <c r="I283" s="3"/>
      <c r="J283" s="3"/>
      <c r="K283" s="3"/>
      <c r="L283" s="3"/>
      <c r="M283" s="3"/>
      <c r="N283" s="3"/>
      <c r="O283" s="3"/>
      <c r="P283" s="3"/>
      <c r="Q283" s="3"/>
      <c r="R283" s="3"/>
      <c r="S283" s="3"/>
      <c r="T283" s="3"/>
      <c r="U283" s="3"/>
      <c r="V283" s="3"/>
      <c r="W283" s="3"/>
      <c r="X283" s="3"/>
    </row>
    <row r="284" spans="1:24" ht="15.75" customHeight="1" x14ac:dyDescent="0.25">
      <c r="A284" s="3"/>
      <c r="B284" s="3"/>
      <c r="C284" s="2"/>
      <c r="D284" s="3"/>
      <c r="E284" s="3"/>
      <c r="F284" s="3"/>
      <c r="G284" s="3"/>
      <c r="H284" s="3"/>
      <c r="I284" s="3"/>
      <c r="J284" s="3"/>
      <c r="K284" s="3"/>
      <c r="L284" s="3"/>
      <c r="M284" s="3"/>
      <c r="N284" s="3"/>
      <c r="O284" s="3"/>
      <c r="P284" s="3"/>
      <c r="Q284" s="3"/>
      <c r="R284" s="3"/>
      <c r="S284" s="3"/>
      <c r="T284" s="3"/>
      <c r="U284" s="3"/>
      <c r="V284" s="3"/>
      <c r="W284" s="3"/>
      <c r="X284" s="3"/>
    </row>
    <row r="285" spans="1:24" ht="15.75" customHeight="1" x14ac:dyDescent="0.25">
      <c r="A285" s="3"/>
      <c r="B285" s="3"/>
      <c r="C285" s="2"/>
      <c r="D285" s="3"/>
      <c r="E285" s="3"/>
      <c r="F285" s="3"/>
      <c r="G285" s="3"/>
      <c r="H285" s="3"/>
      <c r="I285" s="3"/>
      <c r="J285" s="3"/>
      <c r="K285" s="3"/>
      <c r="L285" s="3"/>
      <c r="M285" s="3"/>
      <c r="N285" s="3"/>
      <c r="O285" s="3"/>
      <c r="P285" s="3"/>
      <c r="Q285" s="3"/>
      <c r="R285" s="3"/>
      <c r="S285" s="3"/>
      <c r="T285" s="3"/>
      <c r="U285" s="3"/>
      <c r="V285" s="3"/>
      <c r="W285" s="3"/>
      <c r="X285" s="3"/>
    </row>
    <row r="286" spans="1:24" ht="15.75" customHeight="1" x14ac:dyDescent="0.25">
      <c r="A286" s="3"/>
      <c r="B286" s="3"/>
      <c r="C286" s="2"/>
      <c r="D286" s="3"/>
      <c r="E286" s="3"/>
      <c r="F286" s="3"/>
      <c r="G286" s="3"/>
      <c r="H286" s="3"/>
      <c r="I286" s="3"/>
      <c r="J286" s="3"/>
      <c r="K286" s="3"/>
      <c r="L286" s="3"/>
      <c r="M286" s="3"/>
      <c r="N286" s="3"/>
      <c r="O286" s="3"/>
      <c r="P286" s="3"/>
      <c r="Q286" s="3"/>
      <c r="R286" s="3"/>
      <c r="S286" s="3"/>
      <c r="T286" s="3"/>
      <c r="U286" s="3"/>
      <c r="V286" s="3"/>
      <c r="W286" s="3"/>
      <c r="X286" s="3"/>
    </row>
    <row r="287" spans="1:24" ht="15.75" customHeight="1" x14ac:dyDescent="0.25">
      <c r="A287" s="3"/>
      <c r="B287" s="3"/>
      <c r="C287" s="2"/>
      <c r="D287" s="3"/>
      <c r="E287" s="3"/>
      <c r="F287" s="3"/>
      <c r="G287" s="3"/>
      <c r="H287" s="3"/>
      <c r="I287" s="3"/>
      <c r="J287" s="3"/>
      <c r="K287" s="3"/>
      <c r="L287" s="3"/>
      <c r="M287" s="3"/>
      <c r="N287" s="3"/>
      <c r="O287" s="3"/>
      <c r="P287" s="3"/>
      <c r="Q287" s="3"/>
      <c r="R287" s="3"/>
      <c r="S287" s="3"/>
      <c r="T287" s="3"/>
      <c r="U287" s="3"/>
      <c r="V287" s="3"/>
      <c r="W287" s="3"/>
      <c r="X287" s="3"/>
    </row>
    <row r="288" spans="1:24" ht="15.75" customHeight="1" x14ac:dyDescent="0.25">
      <c r="A288" s="3"/>
      <c r="B288" s="3"/>
      <c r="C288" s="2"/>
      <c r="D288" s="3"/>
      <c r="E288" s="3"/>
      <c r="F288" s="3"/>
      <c r="G288" s="3"/>
      <c r="H288" s="3"/>
      <c r="I288" s="3"/>
      <c r="J288" s="3"/>
      <c r="K288" s="3"/>
      <c r="L288" s="3"/>
      <c r="M288" s="3"/>
      <c r="N288" s="3"/>
      <c r="O288" s="3"/>
      <c r="P288" s="3"/>
      <c r="Q288" s="3"/>
      <c r="R288" s="3"/>
      <c r="S288" s="3"/>
      <c r="T288" s="3"/>
      <c r="U288" s="3"/>
      <c r="V288" s="3"/>
      <c r="W288" s="3"/>
      <c r="X288" s="3"/>
    </row>
    <row r="289" spans="1:24" ht="15.75" customHeight="1" x14ac:dyDescent="0.25">
      <c r="A289" s="3"/>
      <c r="B289" s="3"/>
      <c r="C289" s="2"/>
      <c r="D289" s="3"/>
      <c r="E289" s="3"/>
      <c r="F289" s="3"/>
      <c r="G289" s="3"/>
      <c r="H289" s="3"/>
      <c r="I289" s="3"/>
      <c r="J289" s="3"/>
      <c r="K289" s="3"/>
      <c r="L289" s="3"/>
      <c r="M289" s="3"/>
      <c r="N289" s="3"/>
      <c r="O289" s="3"/>
      <c r="P289" s="3"/>
      <c r="Q289" s="3"/>
      <c r="R289" s="3"/>
      <c r="S289" s="3"/>
      <c r="T289" s="3"/>
      <c r="U289" s="3"/>
      <c r="V289" s="3"/>
      <c r="W289" s="3"/>
      <c r="X289" s="3"/>
    </row>
    <row r="290" spans="1:24" ht="15.75" customHeight="1" x14ac:dyDescent="0.25">
      <c r="A290" s="3"/>
      <c r="B290" s="3"/>
      <c r="C290" s="2"/>
      <c r="D290" s="3"/>
      <c r="E290" s="3"/>
      <c r="F290" s="3"/>
      <c r="G290" s="3"/>
      <c r="H290" s="3"/>
      <c r="I290" s="3"/>
      <c r="J290" s="3"/>
      <c r="K290" s="3"/>
      <c r="L290" s="3"/>
      <c r="M290" s="3"/>
      <c r="N290" s="3"/>
      <c r="O290" s="3"/>
      <c r="P290" s="3"/>
      <c r="Q290" s="3"/>
      <c r="R290" s="3"/>
      <c r="S290" s="3"/>
      <c r="T290" s="3"/>
      <c r="U290" s="3"/>
      <c r="V290" s="3"/>
      <c r="W290" s="3"/>
      <c r="X290" s="3"/>
    </row>
    <row r="291" spans="1:24" ht="15.75" customHeight="1" x14ac:dyDescent="0.25">
      <c r="A291" s="3"/>
      <c r="B291" s="3"/>
      <c r="C291" s="2"/>
      <c r="D291" s="3"/>
      <c r="E291" s="3"/>
      <c r="F291" s="3"/>
      <c r="G291" s="3"/>
      <c r="H291" s="3"/>
      <c r="I291" s="3"/>
      <c r="J291" s="3"/>
      <c r="K291" s="3"/>
      <c r="L291" s="3"/>
      <c r="M291" s="3"/>
      <c r="N291" s="3"/>
      <c r="O291" s="3"/>
      <c r="P291" s="3"/>
      <c r="Q291" s="3"/>
      <c r="R291" s="3"/>
      <c r="S291" s="3"/>
      <c r="T291" s="3"/>
      <c r="U291" s="3"/>
      <c r="V291" s="3"/>
      <c r="W291" s="3"/>
      <c r="X291" s="3"/>
    </row>
    <row r="292" spans="1:24" ht="15.75" customHeight="1" x14ac:dyDescent="0.25">
      <c r="A292" s="3"/>
      <c r="B292" s="3"/>
      <c r="C292" s="2"/>
      <c r="D292" s="3"/>
      <c r="E292" s="3"/>
      <c r="F292" s="3"/>
      <c r="G292" s="3"/>
      <c r="H292" s="3"/>
      <c r="I292" s="3"/>
      <c r="J292" s="3"/>
      <c r="K292" s="3"/>
      <c r="L292" s="3"/>
      <c r="M292" s="3"/>
      <c r="N292" s="3"/>
      <c r="O292" s="3"/>
      <c r="P292" s="3"/>
      <c r="Q292" s="3"/>
      <c r="R292" s="3"/>
      <c r="S292" s="3"/>
      <c r="T292" s="3"/>
      <c r="U292" s="3"/>
      <c r="V292" s="3"/>
      <c r="W292" s="3"/>
      <c r="X292" s="3"/>
    </row>
    <row r="293" spans="1:24" ht="15.75" customHeight="1" x14ac:dyDescent="0.25">
      <c r="A293" s="3"/>
      <c r="B293" s="3"/>
      <c r="C293" s="2"/>
      <c r="D293" s="3"/>
      <c r="E293" s="3"/>
      <c r="F293" s="3"/>
      <c r="G293" s="3"/>
      <c r="H293" s="3"/>
      <c r="I293" s="3"/>
      <c r="J293" s="3"/>
      <c r="K293" s="3"/>
      <c r="L293" s="3"/>
      <c r="M293" s="3"/>
      <c r="N293" s="3"/>
      <c r="O293" s="3"/>
      <c r="P293" s="3"/>
      <c r="Q293" s="3"/>
      <c r="R293" s="3"/>
      <c r="S293" s="3"/>
      <c r="T293" s="3"/>
      <c r="U293" s="3"/>
      <c r="V293" s="3"/>
      <c r="W293" s="3"/>
      <c r="X293" s="3"/>
    </row>
    <row r="294" spans="1:24" ht="15.75" customHeight="1" x14ac:dyDescent="0.25">
      <c r="A294" s="3"/>
      <c r="B294" s="3"/>
      <c r="C294" s="2"/>
      <c r="D294" s="3"/>
      <c r="E294" s="3"/>
      <c r="F294" s="3"/>
      <c r="G294" s="3"/>
      <c r="H294" s="3"/>
      <c r="I294" s="3"/>
      <c r="J294" s="3"/>
      <c r="K294" s="3"/>
      <c r="L294" s="3"/>
      <c r="M294" s="3"/>
      <c r="N294" s="3"/>
      <c r="O294" s="3"/>
      <c r="P294" s="3"/>
      <c r="Q294" s="3"/>
      <c r="R294" s="3"/>
      <c r="S294" s="3"/>
      <c r="T294" s="3"/>
      <c r="U294" s="3"/>
      <c r="V294" s="3"/>
      <c r="W294" s="3"/>
      <c r="X294" s="3"/>
    </row>
    <row r="295" spans="1:24" ht="15.75" customHeight="1" x14ac:dyDescent="0.25">
      <c r="A295" s="3"/>
      <c r="B295" s="3"/>
      <c r="C295" s="2"/>
      <c r="D295" s="3"/>
      <c r="E295" s="3"/>
      <c r="F295" s="3"/>
      <c r="G295" s="3"/>
      <c r="H295" s="3"/>
      <c r="I295" s="3"/>
      <c r="J295" s="3"/>
      <c r="K295" s="3"/>
      <c r="L295" s="3"/>
      <c r="M295" s="3"/>
      <c r="N295" s="3"/>
      <c r="O295" s="3"/>
      <c r="P295" s="3"/>
      <c r="Q295" s="3"/>
      <c r="R295" s="3"/>
      <c r="S295" s="3"/>
      <c r="T295" s="3"/>
      <c r="U295" s="3"/>
      <c r="V295" s="3"/>
      <c r="W295" s="3"/>
      <c r="X295" s="3"/>
    </row>
    <row r="296" spans="1:24" ht="15.75" customHeight="1" x14ac:dyDescent="0.25">
      <c r="A296" s="3"/>
      <c r="B296" s="3"/>
      <c r="C296" s="2"/>
      <c r="D296" s="3"/>
      <c r="E296" s="3"/>
      <c r="F296" s="3"/>
      <c r="G296" s="3"/>
      <c r="H296" s="3"/>
      <c r="I296" s="3"/>
      <c r="J296" s="3"/>
      <c r="K296" s="3"/>
      <c r="L296" s="3"/>
      <c r="M296" s="3"/>
      <c r="N296" s="3"/>
      <c r="O296" s="3"/>
      <c r="P296" s="3"/>
      <c r="Q296" s="3"/>
      <c r="R296" s="3"/>
      <c r="S296" s="3"/>
      <c r="T296" s="3"/>
      <c r="U296" s="3"/>
      <c r="V296" s="3"/>
      <c r="W296" s="3"/>
      <c r="X296" s="3"/>
    </row>
    <row r="297" spans="1:24" ht="15.75" customHeight="1" x14ac:dyDescent="0.25">
      <c r="A297" s="3"/>
      <c r="B297" s="3"/>
      <c r="C297" s="2"/>
      <c r="D297" s="3"/>
      <c r="E297" s="3"/>
      <c r="F297" s="3"/>
      <c r="G297" s="3"/>
      <c r="H297" s="3"/>
      <c r="I297" s="3"/>
      <c r="J297" s="3"/>
      <c r="K297" s="3"/>
      <c r="L297" s="3"/>
      <c r="M297" s="3"/>
      <c r="N297" s="3"/>
      <c r="O297" s="3"/>
      <c r="P297" s="3"/>
      <c r="Q297" s="3"/>
      <c r="R297" s="3"/>
      <c r="S297" s="3"/>
      <c r="T297" s="3"/>
      <c r="U297" s="3"/>
      <c r="V297" s="3"/>
      <c r="W297" s="3"/>
      <c r="X297" s="3"/>
    </row>
    <row r="298" spans="1:24" ht="15.75" customHeight="1" x14ac:dyDescent="0.25">
      <c r="A298" s="3"/>
      <c r="B298" s="3"/>
      <c r="C298" s="2"/>
      <c r="D298" s="3"/>
      <c r="E298" s="3"/>
      <c r="F298" s="3"/>
      <c r="G298" s="3"/>
      <c r="H298" s="3"/>
      <c r="I298" s="3"/>
      <c r="J298" s="3"/>
      <c r="K298" s="3"/>
      <c r="L298" s="3"/>
      <c r="M298" s="3"/>
      <c r="N298" s="3"/>
      <c r="O298" s="3"/>
      <c r="P298" s="3"/>
      <c r="Q298" s="3"/>
      <c r="R298" s="3"/>
      <c r="S298" s="3"/>
      <c r="T298" s="3"/>
      <c r="U298" s="3"/>
      <c r="V298" s="3"/>
      <c r="W298" s="3"/>
      <c r="X298" s="3"/>
    </row>
    <row r="299" spans="1:24" ht="15.75" customHeight="1" x14ac:dyDescent="0.25">
      <c r="A299" s="3"/>
      <c r="B299" s="3"/>
      <c r="C299" s="2"/>
      <c r="D299" s="3"/>
      <c r="E299" s="3"/>
      <c r="F299" s="3"/>
      <c r="G299" s="3"/>
      <c r="H299" s="3"/>
      <c r="I299" s="3"/>
      <c r="J299" s="3"/>
      <c r="K299" s="3"/>
      <c r="L299" s="3"/>
      <c r="M299" s="3"/>
      <c r="N299" s="3"/>
      <c r="O299" s="3"/>
      <c r="P299" s="3"/>
      <c r="Q299" s="3"/>
      <c r="R299" s="3"/>
      <c r="S299" s="3"/>
      <c r="T299" s="3"/>
      <c r="U299" s="3"/>
      <c r="V299" s="3"/>
      <c r="W299" s="3"/>
      <c r="X299" s="3"/>
    </row>
    <row r="300" spans="1:24" ht="15.75" customHeight="1" x14ac:dyDescent="0.25">
      <c r="A300" s="3"/>
      <c r="B300" s="3"/>
      <c r="C300" s="2"/>
      <c r="D300" s="3"/>
      <c r="E300" s="3"/>
      <c r="F300" s="3"/>
      <c r="G300" s="3"/>
      <c r="H300" s="3"/>
      <c r="I300" s="3"/>
      <c r="J300" s="3"/>
      <c r="K300" s="3"/>
      <c r="L300" s="3"/>
      <c r="M300" s="3"/>
      <c r="N300" s="3"/>
      <c r="O300" s="3"/>
      <c r="P300" s="3"/>
      <c r="Q300" s="3"/>
      <c r="R300" s="3"/>
      <c r="S300" s="3"/>
      <c r="T300" s="3"/>
      <c r="U300" s="3"/>
      <c r="V300" s="3"/>
      <c r="W300" s="3"/>
      <c r="X300" s="3"/>
    </row>
    <row r="301" spans="1:24" ht="15.75" customHeight="1" x14ac:dyDescent="0.25">
      <c r="A301" s="3"/>
      <c r="B301" s="3"/>
      <c r="C301" s="2"/>
      <c r="D301" s="3"/>
      <c r="E301" s="3"/>
      <c r="F301" s="3"/>
      <c r="G301" s="3"/>
      <c r="H301" s="3"/>
      <c r="I301" s="3"/>
      <c r="J301" s="3"/>
      <c r="K301" s="3"/>
      <c r="L301" s="3"/>
      <c r="M301" s="3"/>
      <c r="N301" s="3"/>
      <c r="O301" s="3"/>
      <c r="P301" s="3"/>
      <c r="Q301" s="3"/>
      <c r="R301" s="3"/>
      <c r="S301" s="3"/>
      <c r="T301" s="3"/>
      <c r="U301" s="3"/>
      <c r="V301" s="3"/>
      <c r="W301" s="3"/>
      <c r="X301" s="3"/>
    </row>
    <row r="302" spans="1:24" ht="15.75" customHeight="1" x14ac:dyDescent="0.25">
      <c r="A302" s="3"/>
      <c r="B302" s="3"/>
      <c r="C302" s="2"/>
      <c r="D302" s="3"/>
      <c r="E302" s="3"/>
      <c r="F302" s="3"/>
      <c r="G302" s="3"/>
      <c r="H302" s="3"/>
      <c r="I302" s="3"/>
      <c r="J302" s="3"/>
      <c r="K302" s="3"/>
      <c r="L302" s="3"/>
      <c r="M302" s="3"/>
      <c r="N302" s="3"/>
      <c r="O302" s="3"/>
      <c r="P302" s="3"/>
      <c r="Q302" s="3"/>
      <c r="R302" s="3"/>
      <c r="S302" s="3"/>
      <c r="T302" s="3"/>
      <c r="U302" s="3"/>
      <c r="V302" s="3"/>
      <c r="W302" s="3"/>
      <c r="X302" s="3"/>
    </row>
    <row r="303" spans="1:24" ht="15.75" customHeight="1" x14ac:dyDescent="0.25">
      <c r="A303" s="3"/>
      <c r="B303" s="3"/>
      <c r="C303" s="2"/>
      <c r="D303" s="3"/>
      <c r="E303" s="3"/>
      <c r="F303" s="3"/>
      <c r="G303" s="3"/>
      <c r="H303" s="3"/>
      <c r="I303" s="3"/>
      <c r="J303" s="3"/>
      <c r="K303" s="3"/>
      <c r="L303" s="3"/>
      <c r="M303" s="3"/>
      <c r="N303" s="3"/>
      <c r="O303" s="3"/>
      <c r="P303" s="3"/>
      <c r="Q303" s="3"/>
      <c r="R303" s="3"/>
      <c r="S303" s="3"/>
      <c r="T303" s="3"/>
      <c r="U303" s="3"/>
      <c r="V303" s="3"/>
      <c r="W303" s="3"/>
      <c r="X303" s="3"/>
    </row>
    <row r="304" spans="1:24" ht="15.75" customHeight="1" x14ac:dyDescent="0.25">
      <c r="A304" s="3"/>
      <c r="B304" s="3"/>
      <c r="C304" s="2"/>
      <c r="D304" s="3"/>
      <c r="E304" s="3"/>
      <c r="F304" s="3"/>
      <c r="G304" s="3"/>
      <c r="H304" s="3"/>
      <c r="I304" s="3"/>
      <c r="J304" s="3"/>
      <c r="K304" s="3"/>
      <c r="L304" s="3"/>
      <c r="M304" s="3"/>
      <c r="N304" s="3"/>
      <c r="O304" s="3"/>
      <c r="P304" s="3"/>
      <c r="Q304" s="3"/>
      <c r="R304" s="3"/>
      <c r="S304" s="3"/>
      <c r="T304" s="3"/>
      <c r="U304" s="3"/>
      <c r="V304" s="3"/>
      <c r="W304" s="3"/>
      <c r="X304" s="3"/>
    </row>
    <row r="305" spans="1:24" ht="15.75" customHeight="1" x14ac:dyDescent="0.25">
      <c r="A305" s="3"/>
      <c r="B305" s="3"/>
      <c r="C305" s="2"/>
      <c r="D305" s="3"/>
      <c r="E305" s="3"/>
      <c r="F305" s="3"/>
      <c r="G305" s="3"/>
      <c r="H305" s="3"/>
      <c r="I305" s="3"/>
      <c r="J305" s="3"/>
      <c r="K305" s="3"/>
      <c r="L305" s="3"/>
      <c r="M305" s="3"/>
      <c r="N305" s="3"/>
      <c r="O305" s="3"/>
      <c r="P305" s="3"/>
      <c r="Q305" s="3"/>
      <c r="R305" s="3"/>
      <c r="S305" s="3"/>
      <c r="T305" s="3"/>
      <c r="U305" s="3"/>
      <c r="V305" s="3"/>
      <c r="W305" s="3"/>
      <c r="X305" s="3"/>
    </row>
    <row r="306" spans="1:24" ht="15.75" customHeight="1" x14ac:dyDescent="0.25">
      <c r="A306" s="3"/>
      <c r="B306" s="3"/>
      <c r="C306" s="2"/>
      <c r="D306" s="3"/>
      <c r="E306" s="3"/>
      <c r="F306" s="3"/>
      <c r="G306" s="3"/>
      <c r="H306" s="3"/>
      <c r="I306" s="3"/>
      <c r="J306" s="3"/>
      <c r="K306" s="3"/>
      <c r="L306" s="3"/>
      <c r="M306" s="3"/>
      <c r="N306" s="3"/>
      <c r="O306" s="3"/>
      <c r="P306" s="3"/>
      <c r="Q306" s="3"/>
      <c r="R306" s="3"/>
      <c r="S306" s="3"/>
      <c r="T306" s="3"/>
      <c r="U306" s="3"/>
      <c r="V306" s="3"/>
      <c r="W306" s="3"/>
      <c r="X306" s="3"/>
    </row>
    <row r="307" spans="1:24" ht="15.75" customHeight="1" x14ac:dyDescent="0.25">
      <c r="A307" s="3"/>
      <c r="B307" s="3"/>
      <c r="C307" s="2"/>
      <c r="D307" s="3"/>
      <c r="E307" s="3"/>
      <c r="F307" s="3"/>
      <c r="G307" s="3"/>
      <c r="H307" s="3"/>
      <c r="I307" s="3"/>
      <c r="J307" s="3"/>
      <c r="K307" s="3"/>
      <c r="L307" s="3"/>
      <c r="M307" s="3"/>
      <c r="N307" s="3"/>
      <c r="O307" s="3"/>
      <c r="P307" s="3"/>
      <c r="Q307" s="3"/>
      <c r="R307" s="3"/>
      <c r="S307" s="3"/>
      <c r="T307" s="3"/>
      <c r="U307" s="3"/>
      <c r="V307" s="3"/>
      <c r="W307" s="3"/>
      <c r="X307" s="3"/>
    </row>
    <row r="308" spans="1:24" ht="15.75" customHeight="1" x14ac:dyDescent="0.25">
      <c r="A308" s="3"/>
      <c r="B308" s="3"/>
      <c r="C308" s="2"/>
      <c r="D308" s="3"/>
      <c r="E308" s="3"/>
      <c r="F308" s="3"/>
      <c r="G308" s="3"/>
      <c r="H308" s="3"/>
      <c r="I308" s="3"/>
      <c r="J308" s="3"/>
      <c r="K308" s="3"/>
      <c r="L308" s="3"/>
      <c r="M308" s="3"/>
      <c r="N308" s="3"/>
      <c r="O308" s="3"/>
      <c r="P308" s="3"/>
      <c r="Q308" s="3"/>
      <c r="R308" s="3"/>
      <c r="S308" s="3"/>
      <c r="T308" s="3"/>
      <c r="U308" s="3"/>
      <c r="V308" s="3"/>
      <c r="W308" s="3"/>
      <c r="X308" s="3"/>
    </row>
    <row r="309" spans="1:24" ht="15.75" customHeight="1" x14ac:dyDescent="0.25">
      <c r="A309" s="3"/>
      <c r="B309" s="3"/>
      <c r="C309" s="2"/>
      <c r="D309" s="3"/>
      <c r="E309" s="3"/>
      <c r="F309" s="3"/>
      <c r="G309" s="3"/>
      <c r="H309" s="3"/>
      <c r="I309" s="3"/>
      <c r="J309" s="3"/>
      <c r="K309" s="3"/>
      <c r="L309" s="3"/>
      <c r="M309" s="3"/>
      <c r="N309" s="3"/>
      <c r="O309" s="3"/>
      <c r="P309" s="3"/>
      <c r="Q309" s="3"/>
      <c r="R309" s="3"/>
      <c r="S309" s="3"/>
      <c r="T309" s="3"/>
      <c r="U309" s="3"/>
      <c r="V309" s="3"/>
      <c r="W309" s="3"/>
      <c r="X309" s="3"/>
    </row>
    <row r="310" spans="1:24" ht="15.75" customHeight="1" x14ac:dyDescent="0.25">
      <c r="A310" s="3"/>
      <c r="B310" s="3"/>
      <c r="C310" s="2"/>
      <c r="D310" s="3"/>
      <c r="E310" s="3"/>
      <c r="F310" s="3"/>
      <c r="G310" s="3"/>
      <c r="H310" s="3"/>
      <c r="I310" s="3"/>
      <c r="J310" s="3"/>
      <c r="K310" s="3"/>
      <c r="L310" s="3"/>
      <c r="M310" s="3"/>
      <c r="N310" s="3"/>
      <c r="O310" s="3"/>
      <c r="P310" s="3"/>
      <c r="Q310" s="3"/>
      <c r="R310" s="3"/>
      <c r="S310" s="3"/>
      <c r="T310" s="3"/>
      <c r="U310" s="3"/>
      <c r="V310" s="3"/>
      <c r="W310" s="3"/>
      <c r="X310" s="3"/>
    </row>
    <row r="311" spans="1:24" ht="15.75" customHeight="1" x14ac:dyDescent="0.25">
      <c r="A311" s="3"/>
      <c r="B311" s="3"/>
      <c r="C311" s="2"/>
      <c r="D311" s="3"/>
      <c r="E311" s="3"/>
      <c r="F311" s="3"/>
      <c r="G311" s="3"/>
      <c r="H311" s="3"/>
      <c r="I311" s="3"/>
      <c r="J311" s="3"/>
      <c r="K311" s="3"/>
      <c r="L311" s="3"/>
      <c r="M311" s="3"/>
      <c r="N311" s="3"/>
      <c r="O311" s="3"/>
      <c r="P311" s="3"/>
      <c r="Q311" s="3"/>
      <c r="R311" s="3"/>
      <c r="S311" s="3"/>
      <c r="T311" s="3"/>
      <c r="U311" s="3"/>
      <c r="V311" s="3"/>
      <c r="W311" s="3"/>
      <c r="X311" s="3"/>
    </row>
    <row r="312" spans="1:24" ht="15.75" customHeight="1" x14ac:dyDescent="0.25">
      <c r="A312" s="3"/>
      <c r="B312" s="3"/>
      <c r="C312" s="2"/>
      <c r="D312" s="3"/>
      <c r="E312" s="3"/>
      <c r="F312" s="3"/>
      <c r="G312" s="3"/>
      <c r="H312" s="3"/>
      <c r="I312" s="3"/>
      <c r="J312" s="3"/>
      <c r="K312" s="3"/>
      <c r="L312" s="3"/>
      <c r="M312" s="3"/>
      <c r="N312" s="3"/>
      <c r="O312" s="3"/>
      <c r="P312" s="3"/>
      <c r="Q312" s="3"/>
      <c r="R312" s="3"/>
      <c r="S312" s="3"/>
      <c r="T312" s="3"/>
      <c r="U312" s="3"/>
      <c r="V312" s="3"/>
      <c r="W312" s="3"/>
      <c r="X312" s="3"/>
    </row>
    <row r="313" spans="1:24" ht="15.75" customHeight="1" x14ac:dyDescent="0.25">
      <c r="A313" s="3"/>
      <c r="B313" s="3"/>
      <c r="C313" s="2"/>
      <c r="D313" s="3"/>
      <c r="E313" s="3"/>
      <c r="F313" s="3"/>
      <c r="G313" s="3"/>
      <c r="H313" s="3"/>
      <c r="I313" s="3"/>
      <c r="J313" s="3"/>
      <c r="K313" s="3"/>
      <c r="L313" s="3"/>
      <c r="M313" s="3"/>
      <c r="N313" s="3"/>
      <c r="O313" s="3"/>
      <c r="P313" s="3"/>
      <c r="Q313" s="3"/>
      <c r="R313" s="3"/>
      <c r="S313" s="3"/>
      <c r="T313" s="3"/>
      <c r="U313" s="3"/>
      <c r="V313" s="3"/>
      <c r="W313" s="3"/>
      <c r="X313" s="3"/>
    </row>
    <row r="314" spans="1:24" ht="15.75" customHeight="1" x14ac:dyDescent="0.25">
      <c r="A314" s="3"/>
      <c r="B314" s="3"/>
      <c r="C314" s="2"/>
      <c r="D314" s="3"/>
      <c r="E314" s="3"/>
      <c r="F314" s="3"/>
      <c r="G314" s="3"/>
      <c r="H314" s="3"/>
      <c r="I314" s="3"/>
      <c r="J314" s="3"/>
      <c r="K314" s="3"/>
      <c r="L314" s="3"/>
      <c r="M314" s="3"/>
      <c r="N314" s="3"/>
      <c r="O314" s="3"/>
      <c r="P314" s="3"/>
      <c r="Q314" s="3"/>
      <c r="R314" s="3"/>
      <c r="S314" s="3"/>
      <c r="T314" s="3"/>
      <c r="U314" s="3"/>
      <c r="V314" s="3"/>
      <c r="W314" s="3"/>
      <c r="X314" s="3"/>
    </row>
    <row r="315" spans="1:24" ht="15.75" customHeight="1" x14ac:dyDescent="0.25">
      <c r="A315" s="3"/>
      <c r="B315" s="3"/>
      <c r="C315" s="2"/>
      <c r="D315" s="3"/>
      <c r="E315" s="3"/>
      <c r="F315" s="3"/>
      <c r="G315" s="3"/>
      <c r="H315" s="3"/>
      <c r="I315" s="3"/>
      <c r="J315" s="3"/>
      <c r="K315" s="3"/>
      <c r="L315" s="3"/>
      <c r="M315" s="3"/>
      <c r="N315" s="3"/>
      <c r="O315" s="3"/>
      <c r="P315" s="3"/>
      <c r="Q315" s="3"/>
      <c r="R315" s="3"/>
      <c r="S315" s="3"/>
      <c r="T315" s="3"/>
      <c r="U315" s="3"/>
      <c r="V315" s="3"/>
      <c r="W315" s="3"/>
      <c r="X315" s="3"/>
    </row>
    <row r="316" spans="1:24" ht="15.75" customHeight="1" x14ac:dyDescent="0.25">
      <c r="A316" s="3"/>
      <c r="B316" s="3"/>
      <c r="C316" s="2"/>
      <c r="D316" s="3"/>
      <c r="E316" s="3"/>
      <c r="F316" s="3"/>
      <c r="G316" s="3"/>
      <c r="H316" s="3"/>
      <c r="I316" s="3"/>
      <c r="J316" s="3"/>
      <c r="K316" s="3"/>
      <c r="L316" s="3"/>
      <c r="M316" s="3"/>
      <c r="N316" s="3"/>
      <c r="O316" s="3"/>
      <c r="P316" s="3"/>
      <c r="Q316" s="3"/>
      <c r="R316" s="3"/>
      <c r="S316" s="3"/>
      <c r="T316" s="3"/>
      <c r="U316" s="3"/>
      <c r="V316" s="3"/>
      <c r="W316" s="3"/>
      <c r="X316" s="3"/>
    </row>
    <row r="317" spans="1:24" ht="15.75" customHeight="1" x14ac:dyDescent="0.25">
      <c r="A317" s="3"/>
      <c r="B317" s="3"/>
      <c r="C317" s="2"/>
      <c r="D317" s="3"/>
      <c r="E317" s="3"/>
      <c r="F317" s="3"/>
      <c r="G317" s="3"/>
      <c r="H317" s="3"/>
      <c r="I317" s="3"/>
      <c r="J317" s="3"/>
      <c r="K317" s="3"/>
      <c r="L317" s="3"/>
      <c r="M317" s="3"/>
      <c r="N317" s="3"/>
      <c r="O317" s="3"/>
      <c r="P317" s="3"/>
      <c r="Q317" s="3"/>
      <c r="R317" s="3"/>
      <c r="S317" s="3"/>
      <c r="T317" s="3"/>
      <c r="U317" s="3"/>
      <c r="V317" s="3"/>
      <c r="W317" s="3"/>
      <c r="X317" s="3"/>
    </row>
    <row r="318" spans="1:24" ht="15.75" customHeight="1" x14ac:dyDescent="0.25"/>
    <row r="319" spans="1:24" ht="15.75" customHeight="1" x14ac:dyDescent="0.25"/>
    <row r="320" spans="1:24"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5">
    <mergeCell ref="L137:M137"/>
    <mergeCell ref="L138:M138"/>
    <mergeCell ref="L139:M139"/>
    <mergeCell ref="L140:M140"/>
    <mergeCell ref="L141:M141"/>
    <mergeCell ref="L142:M142"/>
    <mergeCell ref="L143:M143"/>
    <mergeCell ref="L130:M130"/>
    <mergeCell ref="L131:M131"/>
    <mergeCell ref="L132:M132"/>
    <mergeCell ref="L133:M133"/>
    <mergeCell ref="L134:M134"/>
    <mergeCell ref="L135:M135"/>
    <mergeCell ref="L136:M136"/>
    <mergeCell ref="H131:I131"/>
    <mergeCell ref="H132:I132"/>
    <mergeCell ref="H133:I133"/>
    <mergeCell ref="H134:I134"/>
    <mergeCell ref="F125:G125"/>
    <mergeCell ref="H125:I125"/>
    <mergeCell ref="F126:G126"/>
    <mergeCell ref="H126:I126"/>
    <mergeCell ref="F127:G127"/>
    <mergeCell ref="H127:I127"/>
    <mergeCell ref="H128:I128"/>
    <mergeCell ref="F128:G128"/>
    <mergeCell ref="F129:G129"/>
    <mergeCell ref="F130:G130"/>
    <mergeCell ref="F131:G131"/>
    <mergeCell ref="F132:G132"/>
    <mergeCell ref="F133:G133"/>
    <mergeCell ref="F134:G134"/>
    <mergeCell ref="F122:G122"/>
    <mergeCell ref="H122:I122"/>
    <mergeCell ref="L122:M122"/>
    <mergeCell ref="F123:G123"/>
    <mergeCell ref="H123:I123"/>
    <mergeCell ref="F124:G124"/>
    <mergeCell ref="H124:I124"/>
    <mergeCell ref="H129:I129"/>
    <mergeCell ref="H130:I130"/>
    <mergeCell ref="L123:M123"/>
    <mergeCell ref="L124:M124"/>
    <mergeCell ref="L125:M125"/>
    <mergeCell ref="L126:M126"/>
    <mergeCell ref="L127:M127"/>
    <mergeCell ref="L128:M128"/>
    <mergeCell ref="L129:M129"/>
    <mergeCell ref="F142:G142"/>
    <mergeCell ref="F143:G143"/>
    <mergeCell ref="F144:G144"/>
    <mergeCell ref="F145:G145"/>
    <mergeCell ref="F146:G146"/>
    <mergeCell ref="F135:G135"/>
    <mergeCell ref="F136:G136"/>
    <mergeCell ref="F137:G137"/>
    <mergeCell ref="F138:G138"/>
    <mergeCell ref="F139:G139"/>
    <mergeCell ref="F140:G140"/>
    <mergeCell ref="F141:G141"/>
    <mergeCell ref="H119:I119"/>
    <mergeCell ref="L119:M119"/>
    <mergeCell ref="F119:G119"/>
    <mergeCell ref="F120:G120"/>
    <mergeCell ref="H120:I120"/>
    <mergeCell ref="L120:M120"/>
    <mergeCell ref="F121:G121"/>
    <mergeCell ref="H121:I121"/>
    <mergeCell ref="L121:M121"/>
    <mergeCell ref="C113:E113"/>
    <mergeCell ref="F115:G115"/>
    <mergeCell ref="H115:I115"/>
    <mergeCell ref="L115:M115"/>
    <mergeCell ref="C114:E114"/>
    <mergeCell ref="B116:D117"/>
    <mergeCell ref="F118:G118"/>
    <mergeCell ref="H118:I118"/>
    <mergeCell ref="L118:M118"/>
    <mergeCell ref="C104:E104"/>
    <mergeCell ref="C105:E105"/>
    <mergeCell ref="C106:E106"/>
    <mergeCell ref="C107:E107"/>
    <mergeCell ref="C108:E108"/>
    <mergeCell ref="C109:E109"/>
    <mergeCell ref="C110:E110"/>
    <mergeCell ref="C111:E111"/>
    <mergeCell ref="C112:E112"/>
    <mergeCell ref="C95:E95"/>
    <mergeCell ref="C96:E96"/>
    <mergeCell ref="C97:E97"/>
    <mergeCell ref="C98:E98"/>
    <mergeCell ref="C99:E99"/>
    <mergeCell ref="C100:E100"/>
    <mergeCell ref="C101:E101"/>
    <mergeCell ref="C102:E102"/>
    <mergeCell ref="C103:E103"/>
    <mergeCell ref="C86:E86"/>
    <mergeCell ref="C87:E87"/>
    <mergeCell ref="C88:E88"/>
    <mergeCell ref="C89:E89"/>
    <mergeCell ref="C90:E90"/>
    <mergeCell ref="C91:E91"/>
    <mergeCell ref="C92:E92"/>
    <mergeCell ref="C93:E93"/>
    <mergeCell ref="C94:E94"/>
    <mergeCell ref="C77:E77"/>
    <mergeCell ref="C78:E78"/>
    <mergeCell ref="C79:E79"/>
    <mergeCell ref="C80:E80"/>
    <mergeCell ref="C81:E81"/>
    <mergeCell ref="C82:E82"/>
    <mergeCell ref="C83:E83"/>
    <mergeCell ref="C84:E84"/>
    <mergeCell ref="C85:E85"/>
    <mergeCell ref="C68:E68"/>
    <mergeCell ref="C69:E69"/>
    <mergeCell ref="C70:E70"/>
    <mergeCell ref="C71:E71"/>
    <mergeCell ref="C72:E72"/>
    <mergeCell ref="C73:E73"/>
    <mergeCell ref="C74:E74"/>
    <mergeCell ref="C75:E75"/>
    <mergeCell ref="C76:E76"/>
    <mergeCell ref="C59:E59"/>
    <mergeCell ref="C60:E60"/>
    <mergeCell ref="C61:E61"/>
    <mergeCell ref="C62:E62"/>
    <mergeCell ref="C63:E63"/>
    <mergeCell ref="E64:P64"/>
    <mergeCell ref="C65:E65"/>
    <mergeCell ref="C66:E66"/>
    <mergeCell ref="C67:E67"/>
    <mergeCell ref="C50:E50"/>
    <mergeCell ref="C51:E51"/>
    <mergeCell ref="C52:E52"/>
    <mergeCell ref="C53:E53"/>
    <mergeCell ref="C54:E54"/>
    <mergeCell ref="C55:E55"/>
    <mergeCell ref="C56:E56"/>
    <mergeCell ref="C57:E57"/>
    <mergeCell ref="C58:E58"/>
    <mergeCell ref="C41:E41"/>
    <mergeCell ref="C42:E42"/>
    <mergeCell ref="C43:E43"/>
    <mergeCell ref="C44:E44"/>
    <mergeCell ref="C45:E45"/>
    <mergeCell ref="C46:E46"/>
    <mergeCell ref="C47:E47"/>
    <mergeCell ref="C48:E48"/>
    <mergeCell ref="C49:E49"/>
    <mergeCell ref="C32:E32"/>
    <mergeCell ref="C33:E33"/>
    <mergeCell ref="C34:E34"/>
    <mergeCell ref="C35:E35"/>
    <mergeCell ref="C36:E36"/>
    <mergeCell ref="C37:E37"/>
    <mergeCell ref="C38:E38"/>
    <mergeCell ref="C39:E39"/>
    <mergeCell ref="C40:E40"/>
    <mergeCell ref="C23:E23"/>
    <mergeCell ref="C24:E24"/>
    <mergeCell ref="C25:E25"/>
    <mergeCell ref="C26:E26"/>
    <mergeCell ref="C27:E27"/>
    <mergeCell ref="C28:E28"/>
    <mergeCell ref="C29:E29"/>
    <mergeCell ref="C30:E30"/>
    <mergeCell ref="C31:E31"/>
    <mergeCell ref="C14:E14"/>
    <mergeCell ref="C15:E15"/>
    <mergeCell ref="C16:E16"/>
    <mergeCell ref="C17:E17"/>
    <mergeCell ref="C18:E18"/>
    <mergeCell ref="C19:E19"/>
    <mergeCell ref="C20:E20"/>
    <mergeCell ref="C21:E21"/>
    <mergeCell ref="C22:E22"/>
    <mergeCell ref="A1:P4"/>
    <mergeCell ref="E5:F5"/>
    <mergeCell ref="I5:K5"/>
    <mergeCell ref="E6:G6"/>
    <mergeCell ref="L6:M6"/>
    <mergeCell ref="N6:O6"/>
    <mergeCell ref="B9:P9"/>
    <mergeCell ref="E7:G7"/>
    <mergeCell ref="B10:E12"/>
    <mergeCell ref="I6:J6"/>
    <mergeCell ref="I7:J7"/>
    <mergeCell ref="K10:K11"/>
    <mergeCell ref="L7:M7"/>
    <mergeCell ref="N7:O7"/>
    <mergeCell ref="G10:J10"/>
    <mergeCell ref="L10:P11"/>
    <mergeCell ref="G11:J11"/>
    <mergeCell ref="B13:P13"/>
  </mergeCells>
  <dataValidations count="21">
    <dataValidation type="custom" allowBlank="1" showErrorMessage="1" sqref="H14:H63" xr:uid="{00000000-0002-0000-0600-000000000000}">
      <formula1>H1048541&lt;=$H$117</formula1>
    </dataValidation>
    <dataValidation type="custom" allowBlank="1" showErrorMessage="1" sqref="M65:M114" xr:uid="{00000000-0002-0000-0600-000001000000}">
      <formula1>M65&lt;=$M$117</formula1>
    </dataValidation>
    <dataValidation type="custom" allowBlank="1" showErrorMessage="1" sqref="L65:L114" xr:uid="{00000000-0002-0000-0600-000002000000}">
      <formula1>L65&lt;=$L$117</formula1>
    </dataValidation>
    <dataValidation type="custom" allowBlank="1" showErrorMessage="1" sqref="L14:L63" xr:uid="{00000000-0002-0000-0600-000003000000}">
      <formula1>L1048541&lt;=$L$117</formula1>
    </dataValidation>
    <dataValidation type="custom" allowBlank="1" showErrorMessage="1" sqref="I65:I114" xr:uid="{00000000-0002-0000-0600-000004000000}">
      <formula1>I65&lt;=$I$117</formula1>
    </dataValidation>
    <dataValidation type="custom" allowBlank="1" showErrorMessage="1" sqref="O65:O114" xr:uid="{00000000-0002-0000-0600-000005000000}">
      <formula1>O65&lt;=$O$117</formula1>
    </dataValidation>
    <dataValidation type="custom" allowBlank="1" showErrorMessage="1" sqref="I14:I63" xr:uid="{00000000-0002-0000-0600-000006000000}">
      <formula1>I1048541&lt;=$I$117</formula1>
    </dataValidation>
    <dataValidation type="custom" allowBlank="1" showErrorMessage="1" sqref="M14:M63" xr:uid="{00000000-0002-0000-0600-000007000000}">
      <formula1>M1048541&lt;=$M$117</formula1>
    </dataValidation>
    <dataValidation type="custom" allowBlank="1" showErrorMessage="1" sqref="K65:K114" xr:uid="{00000000-0002-0000-0600-000008000000}">
      <formula1>K65&lt;=$K$117</formula1>
    </dataValidation>
    <dataValidation type="custom" allowBlank="1" showErrorMessage="1" sqref="H65:H114" xr:uid="{00000000-0002-0000-0600-000009000000}">
      <formula1>H65&lt;=$H$117</formula1>
    </dataValidation>
    <dataValidation type="custom" allowBlank="1" showErrorMessage="1" sqref="P65:P114" xr:uid="{00000000-0002-0000-0600-00000A000000}">
      <formula1>P65&lt;=$P$117</formula1>
    </dataValidation>
    <dataValidation type="custom" allowBlank="1" showErrorMessage="1" sqref="J14:J63" xr:uid="{00000000-0002-0000-0600-00000B000000}">
      <formula1>J1048541&lt;=$J$117</formula1>
    </dataValidation>
    <dataValidation type="custom" allowBlank="1" showErrorMessage="1" sqref="P14:P63" xr:uid="{00000000-0002-0000-0600-00000C000000}">
      <formula1>P1048541&lt;=$P$117</formula1>
    </dataValidation>
    <dataValidation type="custom" allowBlank="1" showErrorMessage="1" sqref="G65:G114" xr:uid="{00000000-0002-0000-0600-00000D000000}">
      <formula1>G65&lt;=$G$117</formula1>
    </dataValidation>
    <dataValidation type="custom" allowBlank="1" showErrorMessage="1" sqref="J65:J114" xr:uid="{00000000-0002-0000-0600-00000E000000}">
      <formula1>J65&lt;=$J$117</formula1>
    </dataValidation>
    <dataValidation type="custom" allowBlank="1" showErrorMessage="1" sqref="F14:F63 F65:F114" xr:uid="{00000000-0002-0000-0600-00000F000000}">
      <formula1>F14&lt;=$F$117</formula1>
    </dataValidation>
    <dataValidation type="custom" allowBlank="1" showErrorMessage="1" sqref="K14:K63" xr:uid="{00000000-0002-0000-0600-000010000000}">
      <formula1>K1048541&lt;=$K$117</formula1>
    </dataValidation>
    <dataValidation type="custom" allowBlank="1" showErrorMessage="1" sqref="N14:N63" xr:uid="{00000000-0002-0000-0600-000011000000}">
      <formula1>N1048541&lt;=$N$117</formula1>
    </dataValidation>
    <dataValidation type="custom" allowBlank="1" showErrorMessage="1" sqref="G14:G63" xr:uid="{00000000-0002-0000-0600-000012000000}">
      <formula1>G1048541&lt;=$G$117</formula1>
    </dataValidation>
    <dataValidation type="custom" allowBlank="1" showErrorMessage="1" sqref="N65:N114" xr:uid="{00000000-0002-0000-0600-000013000000}">
      <formula1>N65&lt;=$N$117</formula1>
    </dataValidation>
    <dataValidation type="custom" allowBlank="1" showErrorMessage="1" sqref="O14:O63" xr:uid="{00000000-0002-0000-0600-000014000000}">
      <formula1>O1048541&lt;=$O$117</formula1>
    </dataValidation>
  </dataValidations>
  <pageMargins left="0.7" right="0.7" top="0.75" bottom="0.75"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K1000"/>
  <sheetViews>
    <sheetView workbookViewId="0"/>
  </sheetViews>
  <sheetFormatPr defaultColWidth="12.6328125" defaultRowHeight="15" customHeight="1" x14ac:dyDescent="0.25"/>
  <cols>
    <col min="1" max="1" width="4.26953125" customWidth="1"/>
    <col min="2" max="2" width="53.453125" customWidth="1"/>
    <col min="3" max="3" width="11.26953125" customWidth="1"/>
    <col min="4" max="4" width="8.6328125" customWidth="1"/>
    <col min="5" max="5" width="30.453125" customWidth="1"/>
    <col min="6" max="6" width="54.90625" customWidth="1"/>
    <col min="7" max="7" width="14.453125" customWidth="1"/>
    <col min="8" max="8" width="7.453125" customWidth="1"/>
    <col min="9" max="9" width="30.453125" customWidth="1"/>
    <col min="10" max="10" width="54.90625" customWidth="1"/>
    <col min="11" max="11" width="14.453125" customWidth="1"/>
    <col min="12" max="26" width="8.6328125" customWidth="1"/>
  </cols>
  <sheetData>
    <row r="1" spans="2:11" ht="12.75" customHeight="1" x14ac:dyDescent="0.25">
      <c r="E1" s="19"/>
      <c r="G1" s="144"/>
    </row>
    <row r="2" spans="2:11" ht="12.75" customHeight="1" x14ac:dyDescent="0.75">
      <c r="B2" s="145" t="s">
        <v>127</v>
      </c>
      <c r="E2" s="19"/>
      <c r="G2" s="144"/>
    </row>
    <row r="3" spans="2:11" ht="12.75" customHeight="1" x14ac:dyDescent="0.6">
      <c r="B3" s="146" t="s">
        <v>128</v>
      </c>
      <c r="E3" s="19"/>
      <c r="G3" s="144"/>
      <c r="H3" s="19"/>
    </row>
    <row r="4" spans="2:11" ht="12.75" customHeight="1" x14ac:dyDescent="0.25">
      <c r="E4" s="19"/>
      <c r="G4" s="144"/>
      <c r="H4" s="19"/>
    </row>
    <row r="5" spans="2:11" ht="12.75" customHeight="1" x14ac:dyDescent="0.4">
      <c r="B5" s="147" t="s">
        <v>129</v>
      </c>
      <c r="C5" s="149"/>
      <c r="E5" s="328" t="s">
        <v>130</v>
      </c>
      <c r="F5" s="253"/>
      <c r="G5" s="220"/>
      <c r="H5" s="19"/>
      <c r="I5" s="329" t="s">
        <v>131</v>
      </c>
      <c r="J5" s="253"/>
      <c r="K5" s="220"/>
    </row>
    <row r="6" spans="2:11" ht="19.5" customHeight="1" x14ac:dyDescent="0.35">
      <c r="B6" s="150" t="s">
        <v>132</v>
      </c>
      <c r="E6" s="151" t="s">
        <v>133</v>
      </c>
      <c r="F6" s="151" t="s">
        <v>134</v>
      </c>
      <c r="G6" s="151" t="s">
        <v>135</v>
      </c>
      <c r="H6" s="19"/>
      <c r="I6" s="152" t="s">
        <v>133</v>
      </c>
      <c r="J6" s="152" t="s">
        <v>134</v>
      </c>
      <c r="K6" s="153" t="s">
        <v>135</v>
      </c>
    </row>
    <row r="7" spans="2:11" ht="19.5" customHeight="1" x14ac:dyDescent="0.25">
      <c r="B7" s="154" t="s">
        <v>136</v>
      </c>
      <c r="E7" s="330" t="s">
        <v>137</v>
      </c>
      <c r="F7" s="155" t="s">
        <v>138</v>
      </c>
      <c r="G7" s="156">
        <v>3</v>
      </c>
      <c r="H7" s="19"/>
      <c r="I7" s="332" t="s">
        <v>139</v>
      </c>
      <c r="J7" s="158" t="s">
        <v>140</v>
      </c>
      <c r="K7" s="159">
        <v>4</v>
      </c>
    </row>
    <row r="8" spans="2:11" ht="19.5" customHeight="1" x14ac:dyDescent="0.25">
      <c r="B8" s="160" t="s">
        <v>141</v>
      </c>
      <c r="E8" s="331"/>
      <c r="F8" s="161" t="s">
        <v>142</v>
      </c>
      <c r="G8" s="156">
        <v>3</v>
      </c>
      <c r="I8" s="331"/>
      <c r="J8" s="158" t="s">
        <v>143</v>
      </c>
      <c r="K8" s="159">
        <v>4</v>
      </c>
    </row>
    <row r="9" spans="2:11" ht="19.5" customHeight="1" x14ac:dyDescent="0.25">
      <c r="B9" s="160" t="s">
        <v>144</v>
      </c>
      <c r="E9" s="331"/>
      <c r="F9" s="161" t="s">
        <v>145</v>
      </c>
      <c r="G9" s="156">
        <v>3</v>
      </c>
      <c r="I9" s="331"/>
      <c r="J9" s="158" t="s">
        <v>146</v>
      </c>
      <c r="K9" s="159">
        <v>4</v>
      </c>
    </row>
    <row r="10" spans="2:11" ht="19.5" customHeight="1" x14ac:dyDescent="0.25">
      <c r="B10" s="160" t="s">
        <v>147</v>
      </c>
      <c r="E10" s="331"/>
      <c r="F10" s="161" t="s">
        <v>148</v>
      </c>
      <c r="G10" s="156">
        <v>3</v>
      </c>
      <c r="I10" s="298"/>
      <c r="J10" s="158" t="s">
        <v>149</v>
      </c>
      <c r="K10" s="159">
        <v>4</v>
      </c>
    </row>
    <row r="11" spans="2:11" ht="19.5" customHeight="1" x14ac:dyDescent="0.25">
      <c r="B11" s="163" t="s">
        <v>150</v>
      </c>
      <c r="E11" s="331"/>
      <c r="F11" s="161" t="s">
        <v>151</v>
      </c>
      <c r="G11" s="156">
        <v>3</v>
      </c>
      <c r="I11" s="332" t="s">
        <v>152</v>
      </c>
      <c r="J11" s="158" t="s">
        <v>153</v>
      </c>
      <c r="K11" s="159">
        <v>4</v>
      </c>
    </row>
    <row r="12" spans="2:11" ht="19.5" customHeight="1" x14ac:dyDescent="0.35">
      <c r="B12" s="164" t="s">
        <v>154</v>
      </c>
      <c r="E12" s="331"/>
      <c r="F12" s="161" t="s">
        <v>155</v>
      </c>
      <c r="G12" s="156">
        <v>3</v>
      </c>
      <c r="I12" s="331"/>
      <c r="J12" s="158" t="s">
        <v>156</v>
      </c>
      <c r="K12" s="159">
        <v>4</v>
      </c>
    </row>
    <row r="13" spans="2:11" ht="19.5" customHeight="1" x14ac:dyDescent="0.25">
      <c r="B13" s="165" t="s">
        <v>157</v>
      </c>
      <c r="E13" s="331"/>
      <c r="F13" s="161" t="s">
        <v>158</v>
      </c>
      <c r="G13" s="156">
        <v>3</v>
      </c>
      <c r="I13" s="331"/>
      <c r="J13" s="158" t="s">
        <v>159</v>
      </c>
      <c r="K13" s="159">
        <v>4</v>
      </c>
    </row>
    <row r="14" spans="2:11" ht="19.5" customHeight="1" x14ac:dyDescent="0.25">
      <c r="B14" s="167" t="s">
        <v>160</v>
      </c>
      <c r="E14" s="331"/>
      <c r="F14" s="161" t="s">
        <v>161</v>
      </c>
      <c r="G14" s="156">
        <v>3</v>
      </c>
      <c r="I14" s="331"/>
      <c r="J14" s="158" t="s">
        <v>162</v>
      </c>
      <c r="K14" s="159">
        <v>4</v>
      </c>
    </row>
    <row r="15" spans="2:11" ht="19.5" customHeight="1" x14ac:dyDescent="0.25">
      <c r="B15" s="167" t="s">
        <v>164</v>
      </c>
      <c r="E15" s="331"/>
      <c r="F15" s="161" t="s">
        <v>166</v>
      </c>
      <c r="G15" s="156">
        <v>3</v>
      </c>
      <c r="I15" s="331"/>
      <c r="J15" s="158" t="s">
        <v>170</v>
      </c>
      <c r="K15" s="159">
        <v>4</v>
      </c>
    </row>
    <row r="16" spans="2:11" ht="19.5" customHeight="1" x14ac:dyDescent="0.25">
      <c r="B16" s="167" t="s">
        <v>173</v>
      </c>
      <c r="E16" s="331"/>
      <c r="F16" s="161" t="s">
        <v>174</v>
      </c>
      <c r="G16" s="156">
        <v>3</v>
      </c>
      <c r="I16" s="331"/>
      <c r="J16" s="158" t="s">
        <v>178</v>
      </c>
      <c r="K16" s="159">
        <v>4</v>
      </c>
    </row>
    <row r="17" spans="2:11" ht="19.5" customHeight="1" x14ac:dyDescent="0.25">
      <c r="B17" s="170" t="s">
        <v>180</v>
      </c>
      <c r="E17" s="331"/>
      <c r="F17" s="161" t="s">
        <v>181</v>
      </c>
      <c r="G17" s="156">
        <v>3</v>
      </c>
      <c r="I17" s="331"/>
      <c r="J17" s="158" t="s">
        <v>182</v>
      </c>
      <c r="K17" s="159">
        <v>4</v>
      </c>
    </row>
    <row r="18" spans="2:11" ht="19.5" customHeight="1" x14ac:dyDescent="0.25">
      <c r="B18" s="170" t="s">
        <v>183</v>
      </c>
      <c r="E18" s="331"/>
      <c r="F18" s="161" t="s">
        <v>184</v>
      </c>
      <c r="G18" s="156">
        <v>3</v>
      </c>
      <c r="I18" s="331"/>
      <c r="J18" s="158" t="s">
        <v>185</v>
      </c>
      <c r="K18" s="159">
        <v>4</v>
      </c>
    </row>
    <row r="19" spans="2:11" ht="19.5" customHeight="1" x14ac:dyDescent="0.25">
      <c r="B19" s="170" t="s">
        <v>186</v>
      </c>
      <c r="C19" s="172"/>
      <c r="E19" s="331"/>
      <c r="F19" s="161" t="s">
        <v>187</v>
      </c>
      <c r="G19" s="156">
        <v>3</v>
      </c>
      <c r="I19" s="298"/>
      <c r="J19" s="158" t="s">
        <v>188</v>
      </c>
      <c r="K19" s="159">
        <v>4</v>
      </c>
    </row>
    <row r="20" spans="2:11" ht="19.5" customHeight="1" x14ac:dyDescent="0.25">
      <c r="B20" s="170" t="s">
        <v>189</v>
      </c>
      <c r="E20" s="331"/>
      <c r="F20" s="161" t="s">
        <v>190</v>
      </c>
      <c r="G20" s="156">
        <v>6</v>
      </c>
      <c r="I20" s="333" t="s">
        <v>191</v>
      </c>
      <c r="J20" s="158" t="s">
        <v>192</v>
      </c>
      <c r="K20" s="159">
        <v>4</v>
      </c>
    </row>
    <row r="21" spans="2:11" ht="19.5" customHeight="1" x14ac:dyDescent="0.25">
      <c r="B21" s="170" t="s">
        <v>193</v>
      </c>
      <c r="E21" s="331"/>
      <c r="F21" s="161" t="s">
        <v>194</v>
      </c>
      <c r="G21" s="156">
        <v>3</v>
      </c>
      <c r="I21" s="298"/>
      <c r="J21" s="158" t="s">
        <v>195</v>
      </c>
      <c r="K21" s="159">
        <v>4</v>
      </c>
    </row>
    <row r="22" spans="2:11" ht="19.5" customHeight="1" x14ac:dyDescent="0.25">
      <c r="B22" s="173" t="s">
        <v>196</v>
      </c>
      <c r="E22" s="331"/>
      <c r="F22" s="161" t="s">
        <v>197</v>
      </c>
      <c r="G22" s="156">
        <v>3</v>
      </c>
      <c r="I22" s="332" t="s">
        <v>198</v>
      </c>
      <c r="J22" s="175" t="s">
        <v>199</v>
      </c>
      <c r="K22" s="159">
        <v>4</v>
      </c>
    </row>
    <row r="23" spans="2:11" ht="19.5" customHeight="1" x14ac:dyDescent="0.25">
      <c r="E23" s="331"/>
      <c r="F23" s="161" t="s">
        <v>200</v>
      </c>
      <c r="G23" s="156">
        <v>3</v>
      </c>
      <c r="I23" s="331"/>
      <c r="J23" s="175" t="s">
        <v>201</v>
      </c>
      <c r="K23" s="159">
        <v>4</v>
      </c>
    </row>
    <row r="24" spans="2:11" ht="19.5" customHeight="1" x14ac:dyDescent="0.25">
      <c r="E24" s="331"/>
      <c r="F24" s="161" t="s">
        <v>202</v>
      </c>
      <c r="G24" s="156">
        <v>3</v>
      </c>
      <c r="I24" s="331"/>
      <c r="J24" s="175" t="s">
        <v>203</v>
      </c>
      <c r="K24" s="159">
        <v>4</v>
      </c>
    </row>
    <row r="25" spans="2:11" ht="19.5" customHeight="1" x14ac:dyDescent="0.25">
      <c r="B25" s="177" t="s">
        <v>204</v>
      </c>
      <c r="C25" s="178" t="s">
        <v>205</v>
      </c>
      <c r="E25" s="331"/>
      <c r="F25" s="161" t="s">
        <v>206</v>
      </c>
      <c r="G25" s="156">
        <v>3</v>
      </c>
      <c r="I25" s="298"/>
      <c r="J25" s="175" t="s">
        <v>207</v>
      </c>
      <c r="K25" s="159">
        <v>4</v>
      </c>
    </row>
    <row r="26" spans="2:11" ht="19.5" customHeight="1" x14ac:dyDescent="0.25">
      <c r="B26" s="179" t="s">
        <v>208</v>
      </c>
      <c r="C26" s="180">
        <v>2</v>
      </c>
      <c r="E26" s="331"/>
      <c r="F26" s="161" t="s">
        <v>209</v>
      </c>
      <c r="G26" s="156">
        <v>3</v>
      </c>
      <c r="I26" s="332" t="s">
        <v>210</v>
      </c>
      <c r="J26" s="158" t="s">
        <v>211</v>
      </c>
      <c r="K26" s="159">
        <v>4</v>
      </c>
    </row>
    <row r="27" spans="2:11" ht="19.5" customHeight="1" x14ac:dyDescent="0.25">
      <c r="B27" s="179" t="s">
        <v>29</v>
      </c>
      <c r="C27" s="180">
        <v>2</v>
      </c>
      <c r="E27" s="331"/>
      <c r="F27" s="161" t="s">
        <v>212</v>
      </c>
      <c r="G27" s="156">
        <v>3</v>
      </c>
      <c r="I27" s="331"/>
      <c r="J27" s="158" t="s">
        <v>213</v>
      </c>
      <c r="K27" s="159">
        <v>4</v>
      </c>
    </row>
    <row r="28" spans="2:11" ht="19.5" customHeight="1" x14ac:dyDescent="0.25">
      <c r="B28" s="179" t="s">
        <v>30</v>
      </c>
      <c r="C28" s="180">
        <v>2</v>
      </c>
      <c r="E28" s="331"/>
      <c r="F28" s="161" t="s">
        <v>214</v>
      </c>
      <c r="G28" s="156">
        <v>3</v>
      </c>
      <c r="I28" s="331"/>
      <c r="J28" s="158" t="s">
        <v>215</v>
      </c>
      <c r="K28" s="159">
        <v>4</v>
      </c>
    </row>
    <row r="29" spans="2:11" ht="19.5" customHeight="1" x14ac:dyDescent="0.25">
      <c r="B29" s="179" t="s">
        <v>31</v>
      </c>
      <c r="C29" s="180">
        <v>2</v>
      </c>
      <c r="E29" s="331"/>
      <c r="F29" s="161" t="s">
        <v>216</v>
      </c>
      <c r="G29" s="156">
        <v>3</v>
      </c>
      <c r="I29" s="298"/>
      <c r="J29" s="158" t="s">
        <v>217</v>
      </c>
      <c r="K29" s="159">
        <v>4</v>
      </c>
    </row>
    <row r="30" spans="2:11" ht="19.5" customHeight="1" x14ac:dyDescent="0.25">
      <c r="B30" s="179" t="s">
        <v>218</v>
      </c>
      <c r="C30" s="180">
        <v>2</v>
      </c>
      <c r="E30" s="331"/>
      <c r="F30" s="161" t="s">
        <v>219</v>
      </c>
      <c r="G30" s="156">
        <v>3</v>
      </c>
      <c r="I30" s="332" t="s">
        <v>220</v>
      </c>
      <c r="J30" s="158" t="s">
        <v>221</v>
      </c>
      <c r="K30" s="159">
        <v>4</v>
      </c>
    </row>
    <row r="31" spans="2:11" ht="19.5" customHeight="1" x14ac:dyDescent="0.25">
      <c r="E31" s="298"/>
      <c r="F31" s="161" t="s">
        <v>222</v>
      </c>
      <c r="G31" s="156">
        <v>3</v>
      </c>
      <c r="I31" s="331"/>
      <c r="J31" s="158" t="s">
        <v>223</v>
      </c>
      <c r="K31" s="159">
        <v>4</v>
      </c>
    </row>
    <row r="32" spans="2:11" ht="19.5" customHeight="1" x14ac:dyDescent="0.25">
      <c r="E32" s="334" t="s">
        <v>224</v>
      </c>
      <c r="F32" s="183" t="s">
        <v>225</v>
      </c>
      <c r="G32" s="184">
        <v>3</v>
      </c>
      <c r="I32" s="298"/>
      <c r="J32" s="158" t="s">
        <v>226</v>
      </c>
      <c r="K32" s="159">
        <v>4</v>
      </c>
    </row>
    <row r="33" spans="5:11" ht="19.5" customHeight="1" x14ac:dyDescent="0.25">
      <c r="E33" s="331"/>
      <c r="F33" s="183" t="s">
        <v>227</v>
      </c>
      <c r="G33" s="184">
        <v>3</v>
      </c>
      <c r="I33" s="332" t="s">
        <v>228</v>
      </c>
      <c r="J33" s="175" t="s">
        <v>229</v>
      </c>
      <c r="K33" s="159">
        <v>4</v>
      </c>
    </row>
    <row r="34" spans="5:11" ht="19.5" customHeight="1" x14ac:dyDescent="0.25">
      <c r="E34" s="331"/>
      <c r="F34" s="183" t="s">
        <v>230</v>
      </c>
      <c r="G34" s="184">
        <v>3</v>
      </c>
      <c r="I34" s="331"/>
      <c r="J34" s="175" t="s">
        <v>231</v>
      </c>
      <c r="K34" s="159">
        <v>4</v>
      </c>
    </row>
    <row r="35" spans="5:11" ht="19.5" customHeight="1" x14ac:dyDescent="0.25">
      <c r="E35" s="331"/>
      <c r="F35" s="183" t="s">
        <v>232</v>
      </c>
      <c r="G35" s="184">
        <v>3</v>
      </c>
      <c r="I35" s="331"/>
      <c r="J35" s="175" t="s">
        <v>233</v>
      </c>
      <c r="K35" s="159">
        <v>4</v>
      </c>
    </row>
    <row r="36" spans="5:11" ht="19.5" customHeight="1" x14ac:dyDescent="0.25">
      <c r="E36" s="331"/>
      <c r="F36" s="183" t="s">
        <v>234</v>
      </c>
      <c r="G36" s="184">
        <v>3</v>
      </c>
      <c r="I36" s="331"/>
      <c r="J36" s="175" t="s">
        <v>235</v>
      </c>
      <c r="K36" s="159">
        <v>4</v>
      </c>
    </row>
    <row r="37" spans="5:11" ht="19.5" customHeight="1" x14ac:dyDescent="0.25">
      <c r="E37" s="298"/>
      <c r="F37" s="183" t="s">
        <v>236</v>
      </c>
      <c r="G37" s="184">
        <v>3</v>
      </c>
      <c r="I37" s="331"/>
      <c r="J37" s="175" t="s">
        <v>237</v>
      </c>
      <c r="K37" s="159">
        <v>4</v>
      </c>
    </row>
    <row r="38" spans="5:11" ht="19.5" customHeight="1" x14ac:dyDescent="0.25">
      <c r="E38" s="337" t="s">
        <v>238</v>
      </c>
      <c r="F38" s="188" t="s">
        <v>239</v>
      </c>
      <c r="G38" s="189">
        <v>3</v>
      </c>
      <c r="I38" s="331"/>
      <c r="J38" s="175" t="s">
        <v>240</v>
      </c>
      <c r="K38" s="159">
        <v>4</v>
      </c>
    </row>
    <row r="39" spans="5:11" ht="19.5" customHeight="1" x14ac:dyDescent="0.25">
      <c r="E39" s="331"/>
      <c r="F39" s="188" t="s">
        <v>241</v>
      </c>
      <c r="G39" s="189">
        <v>3</v>
      </c>
      <c r="I39" s="298"/>
      <c r="J39" s="175" t="s">
        <v>242</v>
      </c>
      <c r="K39" s="159">
        <v>4</v>
      </c>
    </row>
    <row r="40" spans="5:11" ht="19.5" customHeight="1" x14ac:dyDescent="0.25">
      <c r="E40" s="331"/>
      <c r="F40" s="188" t="s">
        <v>243</v>
      </c>
      <c r="G40" s="189">
        <v>3</v>
      </c>
      <c r="I40" s="332" t="s">
        <v>244</v>
      </c>
      <c r="J40" s="158" t="s">
        <v>245</v>
      </c>
      <c r="K40" s="159">
        <v>4</v>
      </c>
    </row>
    <row r="41" spans="5:11" ht="19.5" customHeight="1" x14ac:dyDescent="0.25">
      <c r="E41" s="331"/>
      <c r="F41" s="188" t="s">
        <v>246</v>
      </c>
      <c r="G41" s="189">
        <v>3</v>
      </c>
      <c r="I41" s="331"/>
      <c r="J41" s="158" t="s">
        <v>247</v>
      </c>
      <c r="K41" s="159">
        <v>4</v>
      </c>
    </row>
    <row r="42" spans="5:11" ht="19.5" customHeight="1" x14ac:dyDescent="0.25">
      <c r="E42" s="331"/>
      <c r="F42" s="188" t="s">
        <v>248</v>
      </c>
      <c r="G42" s="189">
        <v>3</v>
      </c>
      <c r="I42" s="331"/>
      <c r="J42" s="158" t="s">
        <v>249</v>
      </c>
      <c r="K42" s="159">
        <v>4</v>
      </c>
    </row>
    <row r="43" spans="5:11" ht="19.5" customHeight="1" x14ac:dyDescent="0.25">
      <c r="E43" s="331"/>
      <c r="F43" s="188" t="s">
        <v>250</v>
      </c>
      <c r="G43" s="189">
        <v>3</v>
      </c>
      <c r="I43" s="331"/>
      <c r="J43" s="158" t="s">
        <v>251</v>
      </c>
      <c r="K43" s="159">
        <v>4</v>
      </c>
    </row>
    <row r="44" spans="5:11" ht="19.5" customHeight="1" x14ac:dyDescent="0.25">
      <c r="E44" s="331"/>
      <c r="F44" s="188" t="s">
        <v>252</v>
      </c>
      <c r="G44" s="189">
        <v>3</v>
      </c>
      <c r="I44" s="331"/>
      <c r="J44" s="158" t="s">
        <v>253</v>
      </c>
      <c r="K44" s="159">
        <v>4</v>
      </c>
    </row>
    <row r="45" spans="5:11" ht="19.5" customHeight="1" x14ac:dyDescent="0.25">
      <c r="E45" s="331"/>
      <c r="F45" s="188" t="s">
        <v>254</v>
      </c>
      <c r="G45" s="189">
        <v>3</v>
      </c>
      <c r="I45" s="298"/>
      <c r="J45" s="158" t="s">
        <v>255</v>
      </c>
      <c r="K45" s="159">
        <v>4</v>
      </c>
    </row>
    <row r="46" spans="5:11" ht="19.5" customHeight="1" x14ac:dyDescent="0.25">
      <c r="E46" s="331"/>
      <c r="F46" s="188" t="s">
        <v>256</v>
      </c>
      <c r="G46" s="189">
        <v>3</v>
      </c>
      <c r="I46" s="338" t="s">
        <v>257</v>
      </c>
      <c r="J46" s="158" t="s">
        <v>258</v>
      </c>
      <c r="K46" s="159">
        <v>4</v>
      </c>
    </row>
    <row r="47" spans="5:11" ht="19.5" customHeight="1" x14ac:dyDescent="0.25">
      <c r="E47" s="331"/>
      <c r="F47" s="188" t="s">
        <v>259</v>
      </c>
      <c r="G47" s="189">
        <v>3</v>
      </c>
      <c r="I47" s="331"/>
      <c r="J47" s="158" t="s">
        <v>260</v>
      </c>
      <c r="K47" s="159">
        <v>4</v>
      </c>
    </row>
    <row r="48" spans="5:11" ht="19.5" customHeight="1" x14ac:dyDescent="0.25">
      <c r="E48" s="331"/>
      <c r="F48" s="188" t="s">
        <v>261</v>
      </c>
      <c r="G48" s="189">
        <v>3</v>
      </c>
      <c r="I48" s="331"/>
      <c r="J48" s="158" t="s">
        <v>262</v>
      </c>
      <c r="K48" s="159">
        <v>4</v>
      </c>
    </row>
    <row r="49" spans="5:11" ht="19.5" customHeight="1" x14ac:dyDescent="0.25">
      <c r="E49" s="331"/>
      <c r="F49" s="188" t="s">
        <v>263</v>
      </c>
      <c r="G49" s="189">
        <v>3</v>
      </c>
      <c r="I49" s="331"/>
      <c r="J49" s="158" t="s">
        <v>264</v>
      </c>
      <c r="K49" s="159">
        <v>4</v>
      </c>
    </row>
    <row r="50" spans="5:11" ht="19.5" customHeight="1" x14ac:dyDescent="0.25">
      <c r="E50" s="331"/>
      <c r="F50" s="188" t="s">
        <v>265</v>
      </c>
      <c r="G50" s="189">
        <v>3</v>
      </c>
      <c r="I50" s="331"/>
      <c r="J50" s="158" t="s">
        <v>266</v>
      </c>
      <c r="K50" s="159">
        <v>4</v>
      </c>
    </row>
    <row r="51" spans="5:11" ht="19.5" customHeight="1" x14ac:dyDescent="0.25">
      <c r="E51" s="331"/>
      <c r="F51" s="188" t="s">
        <v>267</v>
      </c>
      <c r="G51" s="189">
        <v>3</v>
      </c>
      <c r="I51" s="298"/>
      <c r="J51" s="158" t="s">
        <v>268</v>
      </c>
      <c r="K51" s="159">
        <v>4</v>
      </c>
    </row>
    <row r="52" spans="5:11" ht="19.5" customHeight="1" x14ac:dyDescent="0.25">
      <c r="E52" s="331"/>
      <c r="F52" s="188" t="s">
        <v>269</v>
      </c>
      <c r="G52" s="189">
        <v>3</v>
      </c>
      <c r="I52" s="339" t="s">
        <v>270</v>
      </c>
      <c r="J52" s="158" t="s">
        <v>271</v>
      </c>
      <c r="K52" s="159">
        <v>4</v>
      </c>
    </row>
    <row r="53" spans="5:11" ht="19.5" customHeight="1" x14ac:dyDescent="0.25">
      <c r="E53" s="331"/>
      <c r="F53" s="188" t="s">
        <v>272</v>
      </c>
      <c r="G53" s="189">
        <v>3</v>
      </c>
      <c r="I53" s="331"/>
      <c r="J53" s="158" t="s">
        <v>273</v>
      </c>
      <c r="K53" s="159">
        <v>4</v>
      </c>
    </row>
    <row r="54" spans="5:11" ht="19.5" customHeight="1" x14ac:dyDescent="0.25">
      <c r="E54" s="331"/>
      <c r="F54" s="188" t="s">
        <v>274</v>
      </c>
      <c r="G54" s="189">
        <v>3</v>
      </c>
      <c r="I54" s="298"/>
      <c r="J54" s="158" t="s">
        <v>275</v>
      </c>
      <c r="K54" s="159">
        <v>4</v>
      </c>
    </row>
    <row r="55" spans="5:11" ht="19.5" customHeight="1" x14ac:dyDescent="0.25">
      <c r="E55" s="331"/>
      <c r="F55" s="188" t="s">
        <v>276</v>
      </c>
      <c r="G55" s="189">
        <v>3</v>
      </c>
      <c r="I55" s="190" t="s">
        <v>277</v>
      </c>
      <c r="J55" s="158" t="s">
        <v>278</v>
      </c>
      <c r="K55" s="159">
        <v>4</v>
      </c>
    </row>
    <row r="56" spans="5:11" ht="19.5" customHeight="1" x14ac:dyDescent="0.25">
      <c r="E56" s="331"/>
      <c r="F56" s="188" t="s">
        <v>279</v>
      </c>
      <c r="G56" s="189">
        <v>3</v>
      </c>
    </row>
    <row r="57" spans="5:11" ht="19.5" customHeight="1" x14ac:dyDescent="0.25">
      <c r="E57" s="331"/>
      <c r="F57" s="188" t="s">
        <v>280</v>
      </c>
      <c r="G57" s="189">
        <v>3</v>
      </c>
    </row>
    <row r="58" spans="5:11" ht="19.5" customHeight="1" x14ac:dyDescent="0.25">
      <c r="E58" s="331"/>
      <c r="F58" s="188" t="s">
        <v>281</v>
      </c>
      <c r="G58" s="189">
        <v>3</v>
      </c>
    </row>
    <row r="59" spans="5:11" ht="19.5" customHeight="1" x14ac:dyDescent="0.25">
      <c r="E59" s="331"/>
      <c r="F59" s="188" t="s">
        <v>282</v>
      </c>
      <c r="G59" s="189">
        <v>3</v>
      </c>
    </row>
    <row r="60" spans="5:11" ht="19.5" customHeight="1" x14ac:dyDescent="0.25">
      <c r="E60" s="331"/>
      <c r="F60" s="188" t="s">
        <v>283</v>
      </c>
      <c r="G60" s="189">
        <v>3</v>
      </c>
    </row>
    <row r="61" spans="5:11" ht="19.5" customHeight="1" x14ac:dyDescent="0.25">
      <c r="E61" s="331"/>
      <c r="F61" s="188" t="s">
        <v>284</v>
      </c>
      <c r="G61" s="189">
        <v>3</v>
      </c>
    </row>
    <row r="62" spans="5:11" ht="19.5" customHeight="1" x14ac:dyDescent="0.25">
      <c r="E62" s="331"/>
      <c r="F62" s="188" t="s">
        <v>285</v>
      </c>
      <c r="G62" s="189">
        <v>3</v>
      </c>
    </row>
    <row r="63" spans="5:11" ht="19.5" customHeight="1" x14ac:dyDescent="0.25">
      <c r="E63" s="298"/>
      <c r="F63" s="188" t="s">
        <v>286</v>
      </c>
      <c r="G63" s="189">
        <v>3</v>
      </c>
    </row>
    <row r="64" spans="5:11" ht="19.5" customHeight="1" x14ac:dyDescent="0.25">
      <c r="E64" s="335" t="s">
        <v>287</v>
      </c>
      <c r="F64" s="191" t="s">
        <v>288</v>
      </c>
      <c r="G64" s="180">
        <v>3</v>
      </c>
    </row>
    <row r="65" spans="5:7" ht="19.5" customHeight="1" x14ac:dyDescent="0.25">
      <c r="E65" s="331"/>
      <c r="F65" s="191" t="s">
        <v>289</v>
      </c>
      <c r="G65" s="180">
        <v>3</v>
      </c>
    </row>
    <row r="66" spans="5:7" ht="19.5" customHeight="1" x14ac:dyDescent="0.25">
      <c r="E66" s="331"/>
      <c r="F66" s="191" t="s">
        <v>290</v>
      </c>
      <c r="G66" s="180">
        <v>3</v>
      </c>
    </row>
    <row r="67" spans="5:7" ht="19.5" customHeight="1" x14ac:dyDescent="0.25">
      <c r="E67" s="331"/>
      <c r="F67" s="191" t="s">
        <v>291</v>
      </c>
      <c r="G67" s="180">
        <v>3</v>
      </c>
    </row>
    <row r="68" spans="5:7" ht="19.5" customHeight="1" x14ac:dyDescent="0.25">
      <c r="E68" s="331"/>
      <c r="F68" s="191" t="s">
        <v>292</v>
      </c>
      <c r="G68" s="180">
        <v>3</v>
      </c>
    </row>
    <row r="69" spans="5:7" ht="19.5" customHeight="1" x14ac:dyDescent="0.25">
      <c r="E69" s="331"/>
      <c r="F69" s="191" t="s">
        <v>293</v>
      </c>
      <c r="G69" s="180">
        <v>3</v>
      </c>
    </row>
    <row r="70" spans="5:7" ht="19.5" customHeight="1" x14ac:dyDescent="0.25">
      <c r="E70" s="331"/>
      <c r="F70" s="191" t="s">
        <v>294</v>
      </c>
      <c r="G70" s="180">
        <v>3</v>
      </c>
    </row>
    <row r="71" spans="5:7" ht="19.5" customHeight="1" x14ac:dyDescent="0.25">
      <c r="E71" s="331"/>
      <c r="F71" s="191" t="s">
        <v>295</v>
      </c>
      <c r="G71" s="180">
        <v>3</v>
      </c>
    </row>
    <row r="72" spans="5:7" ht="19.5" customHeight="1" x14ac:dyDescent="0.25">
      <c r="E72" s="331"/>
      <c r="F72" s="191" t="s">
        <v>296</v>
      </c>
      <c r="G72" s="180">
        <v>3</v>
      </c>
    </row>
    <row r="73" spans="5:7" ht="19.5" customHeight="1" x14ac:dyDescent="0.25">
      <c r="E73" s="298"/>
      <c r="F73" s="191" t="s">
        <v>297</v>
      </c>
      <c r="G73" s="180">
        <v>3</v>
      </c>
    </row>
    <row r="74" spans="5:7" ht="19.5" customHeight="1" x14ac:dyDescent="0.25">
      <c r="E74" s="336" t="s">
        <v>298</v>
      </c>
      <c r="F74" s="175" t="s">
        <v>299</v>
      </c>
      <c r="G74" s="159">
        <v>6</v>
      </c>
    </row>
    <row r="75" spans="5:7" ht="19.5" customHeight="1" x14ac:dyDescent="0.25">
      <c r="E75" s="331"/>
      <c r="F75" s="175" t="s">
        <v>300</v>
      </c>
      <c r="G75" s="159">
        <v>6</v>
      </c>
    </row>
    <row r="76" spans="5:7" ht="19.5" customHeight="1" x14ac:dyDescent="0.25">
      <c r="E76" s="331"/>
      <c r="F76" s="175" t="s">
        <v>301</v>
      </c>
      <c r="G76" s="159">
        <v>6</v>
      </c>
    </row>
    <row r="77" spans="5:7" ht="19.5" customHeight="1" x14ac:dyDescent="0.25">
      <c r="E77" s="331"/>
      <c r="F77" s="175" t="s">
        <v>302</v>
      </c>
      <c r="G77" s="159">
        <v>6</v>
      </c>
    </row>
    <row r="78" spans="5:7" ht="19.5" customHeight="1" x14ac:dyDescent="0.25">
      <c r="E78" s="331"/>
      <c r="F78" s="175" t="s">
        <v>303</v>
      </c>
      <c r="G78" s="159">
        <v>6</v>
      </c>
    </row>
    <row r="79" spans="5:7" ht="19.5" customHeight="1" x14ac:dyDescent="0.25">
      <c r="E79" s="331"/>
      <c r="F79" s="175" t="s">
        <v>304</v>
      </c>
      <c r="G79" s="159">
        <v>6</v>
      </c>
    </row>
    <row r="80" spans="5:7" ht="19.5" customHeight="1" x14ac:dyDescent="0.25">
      <c r="E80" s="331"/>
      <c r="F80" s="175" t="s">
        <v>305</v>
      </c>
      <c r="G80" s="159">
        <v>6</v>
      </c>
    </row>
    <row r="81" spans="5:7" ht="19.5" customHeight="1" x14ac:dyDescent="0.25">
      <c r="E81" s="331"/>
      <c r="F81" s="175" t="s">
        <v>306</v>
      </c>
      <c r="G81" s="159">
        <v>3</v>
      </c>
    </row>
    <row r="82" spans="5:7" ht="19.5" customHeight="1" x14ac:dyDescent="0.25">
      <c r="E82" s="331"/>
      <c r="F82" s="175" t="s">
        <v>307</v>
      </c>
      <c r="G82" s="159">
        <v>3</v>
      </c>
    </row>
    <row r="83" spans="5:7" ht="19.5" customHeight="1" x14ac:dyDescent="0.25">
      <c r="E83" s="331"/>
      <c r="F83" s="175" t="s">
        <v>308</v>
      </c>
      <c r="G83" s="159">
        <v>3</v>
      </c>
    </row>
    <row r="84" spans="5:7" ht="19.5" customHeight="1" x14ac:dyDescent="0.25">
      <c r="E84" s="331"/>
      <c r="F84" s="175" t="s">
        <v>309</v>
      </c>
      <c r="G84" s="159">
        <v>3</v>
      </c>
    </row>
    <row r="85" spans="5:7" ht="19.5" customHeight="1" x14ac:dyDescent="0.25">
      <c r="E85" s="331"/>
      <c r="F85" s="175" t="s">
        <v>310</v>
      </c>
      <c r="G85" s="159">
        <v>3</v>
      </c>
    </row>
    <row r="86" spans="5:7" ht="19.5" customHeight="1" x14ac:dyDescent="0.25">
      <c r="E86" s="298"/>
      <c r="F86" s="175" t="s">
        <v>311</v>
      </c>
      <c r="G86" s="159">
        <v>3</v>
      </c>
    </row>
    <row r="87" spans="5:7" ht="12.75" customHeight="1" x14ac:dyDescent="0.25">
      <c r="E87" s="19"/>
      <c r="G87" s="144"/>
    </row>
    <row r="88" spans="5:7" ht="12.75" customHeight="1" x14ac:dyDescent="0.25">
      <c r="E88" s="19"/>
      <c r="G88" s="144"/>
    </row>
    <row r="89" spans="5:7" ht="12.75" customHeight="1" x14ac:dyDescent="0.25">
      <c r="E89" s="19"/>
      <c r="G89" s="144"/>
    </row>
    <row r="90" spans="5:7" ht="12.75" customHeight="1" x14ac:dyDescent="0.25">
      <c r="E90" s="19"/>
      <c r="G90" s="144"/>
    </row>
    <row r="91" spans="5:7" ht="12.75" customHeight="1" x14ac:dyDescent="0.25">
      <c r="E91" s="19"/>
      <c r="G91" s="144"/>
    </row>
    <row r="92" spans="5:7" ht="12.75" customHeight="1" x14ac:dyDescent="0.25">
      <c r="E92" s="19"/>
      <c r="G92" s="144"/>
    </row>
    <row r="93" spans="5:7" ht="12.75" customHeight="1" x14ac:dyDescent="0.25">
      <c r="E93" s="19"/>
      <c r="G93" s="144"/>
    </row>
    <row r="94" spans="5:7" ht="12.75" customHeight="1" x14ac:dyDescent="0.25">
      <c r="E94" s="19"/>
      <c r="G94" s="144"/>
    </row>
    <row r="95" spans="5:7" ht="12.75" customHeight="1" x14ac:dyDescent="0.25">
      <c r="E95" s="19"/>
      <c r="G95" s="144"/>
    </row>
    <row r="96" spans="5:7" ht="12.75" customHeight="1" x14ac:dyDescent="0.25">
      <c r="E96" s="19"/>
      <c r="G96" s="144"/>
    </row>
    <row r="97" spans="5:7" ht="12.75" customHeight="1" x14ac:dyDescent="0.25">
      <c r="E97" s="19"/>
      <c r="G97" s="144"/>
    </row>
    <row r="98" spans="5:7" ht="12.75" customHeight="1" x14ac:dyDescent="0.25">
      <c r="E98" s="19"/>
      <c r="G98" s="144"/>
    </row>
    <row r="99" spans="5:7" ht="12.75" customHeight="1" x14ac:dyDescent="0.25">
      <c r="E99" s="19"/>
      <c r="G99" s="144"/>
    </row>
    <row r="100" spans="5:7" ht="12.75" customHeight="1" x14ac:dyDescent="0.25">
      <c r="E100" s="19"/>
      <c r="G100" s="144"/>
    </row>
    <row r="101" spans="5:7" ht="12.75" customHeight="1" x14ac:dyDescent="0.25">
      <c r="E101" s="19"/>
      <c r="G101" s="144"/>
    </row>
    <row r="102" spans="5:7" ht="12.75" customHeight="1" x14ac:dyDescent="0.25">
      <c r="E102" s="19"/>
      <c r="G102" s="144"/>
    </row>
    <row r="103" spans="5:7" ht="12.75" customHeight="1" x14ac:dyDescent="0.25">
      <c r="E103" s="19"/>
      <c r="G103" s="144"/>
    </row>
    <row r="104" spans="5:7" ht="12.75" customHeight="1" x14ac:dyDescent="0.25">
      <c r="E104" s="19"/>
      <c r="G104" s="144"/>
    </row>
    <row r="105" spans="5:7" ht="12.75" customHeight="1" x14ac:dyDescent="0.25">
      <c r="E105" s="19"/>
      <c r="G105" s="144"/>
    </row>
    <row r="106" spans="5:7" ht="12.75" customHeight="1" x14ac:dyDescent="0.25">
      <c r="E106" s="19"/>
      <c r="G106" s="144"/>
    </row>
    <row r="107" spans="5:7" ht="12.75" customHeight="1" x14ac:dyDescent="0.25">
      <c r="E107" s="19"/>
      <c r="G107" s="144"/>
    </row>
    <row r="108" spans="5:7" ht="12.75" customHeight="1" x14ac:dyDescent="0.25">
      <c r="E108" s="19"/>
      <c r="G108" s="144"/>
    </row>
    <row r="109" spans="5:7" ht="12.75" customHeight="1" x14ac:dyDescent="0.25">
      <c r="E109" s="19"/>
      <c r="G109" s="144"/>
    </row>
    <row r="110" spans="5:7" ht="12.75" customHeight="1" x14ac:dyDescent="0.25">
      <c r="E110" s="19"/>
      <c r="G110" s="144"/>
    </row>
    <row r="111" spans="5:7" ht="12.75" customHeight="1" x14ac:dyDescent="0.25">
      <c r="E111" s="19"/>
      <c r="G111" s="144"/>
    </row>
    <row r="112" spans="5:7" ht="12.75" customHeight="1" x14ac:dyDescent="0.25">
      <c r="E112" s="19"/>
      <c r="G112" s="144"/>
    </row>
    <row r="113" spans="5:7" ht="12.75" customHeight="1" x14ac:dyDescent="0.25">
      <c r="E113" s="19"/>
      <c r="G113" s="144"/>
    </row>
    <row r="114" spans="5:7" ht="12.75" customHeight="1" x14ac:dyDescent="0.25">
      <c r="E114" s="19"/>
      <c r="G114" s="144"/>
    </row>
    <row r="115" spans="5:7" ht="12.75" customHeight="1" x14ac:dyDescent="0.25">
      <c r="E115" s="19"/>
      <c r="G115" s="144"/>
    </row>
    <row r="116" spans="5:7" ht="12.75" customHeight="1" x14ac:dyDescent="0.25">
      <c r="E116" s="19"/>
      <c r="G116" s="144"/>
    </row>
    <row r="117" spans="5:7" ht="12.75" customHeight="1" x14ac:dyDescent="0.25">
      <c r="E117" s="19"/>
      <c r="G117" s="144"/>
    </row>
    <row r="118" spans="5:7" ht="12.75" customHeight="1" x14ac:dyDescent="0.25">
      <c r="E118" s="19"/>
      <c r="G118" s="144"/>
    </row>
    <row r="119" spans="5:7" ht="12.75" customHeight="1" x14ac:dyDescent="0.25">
      <c r="E119" s="19"/>
      <c r="G119" s="144"/>
    </row>
    <row r="120" spans="5:7" ht="12.75" customHeight="1" x14ac:dyDescent="0.25">
      <c r="E120" s="19"/>
      <c r="G120" s="144"/>
    </row>
    <row r="121" spans="5:7" ht="12.75" customHeight="1" x14ac:dyDescent="0.25">
      <c r="E121" s="19"/>
      <c r="G121" s="144"/>
    </row>
    <row r="122" spans="5:7" ht="12.75" customHeight="1" x14ac:dyDescent="0.25">
      <c r="E122" s="19"/>
      <c r="G122" s="144"/>
    </row>
    <row r="123" spans="5:7" ht="12.75" customHeight="1" x14ac:dyDescent="0.25">
      <c r="E123" s="19"/>
      <c r="G123" s="144"/>
    </row>
    <row r="124" spans="5:7" ht="12.75" customHeight="1" x14ac:dyDescent="0.25">
      <c r="E124" s="19"/>
      <c r="G124" s="144"/>
    </row>
    <row r="125" spans="5:7" ht="12.75" customHeight="1" x14ac:dyDescent="0.25">
      <c r="E125" s="19"/>
      <c r="G125" s="144"/>
    </row>
    <row r="126" spans="5:7" ht="12.75" customHeight="1" x14ac:dyDescent="0.25">
      <c r="E126" s="19"/>
      <c r="G126" s="144"/>
    </row>
    <row r="127" spans="5:7" ht="12.75" customHeight="1" x14ac:dyDescent="0.25">
      <c r="E127" s="19"/>
      <c r="G127" s="144"/>
    </row>
    <row r="128" spans="5:7" ht="12.75" customHeight="1" x14ac:dyDescent="0.25">
      <c r="E128" s="19"/>
      <c r="G128" s="144"/>
    </row>
    <row r="129" spans="5:7" ht="12.75" customHeight="1" x14ac:dyDescent="0.25">
      <c r="E129" s="19"/>
      <c r="G129" s="144"/>
    </row>
    <row r="130" spans="5:7" ht="12.75" customHeight="1" x14ac:dyDescent="0.25">
      <c r="E130" s="19"/>
      <c r="G130" s="144"/>
    </row>
    <row r="131" spans="5:7" ht="12.75" customHeight="1" x14ac:dyDescent="0.25">
      <c r="E131" s="19"/>
      <c r="G131" s="144"/>
    </row>
    <row r="132" spans="5:7" ht="12.75" customHeight="1" x14ac:dyDescent="0.25">
      <c r="E132" s="19"/>
      <c r="G132" s="144"/>
    </row>
    <row r="133" spans="5:7" ht="12.75" customHeight="1" x14ac:dyDescent="0.25">
      <c r="E133" s="19"/>
      <c r="G133" s="144"/>
    </row>
    <row r="134" spans="5:7" ht="12.75" customHeight="1" x14ac:dyDescent="0.25">
      <c r="E134" s="19"/>
      <c r="G134" s="144"/>
    </row>
    <row r="135" spans="5:7" ht="12.75" customHeight="1" x14ac:dyDescent="0.25">
      <c r="E135" s="19"/>
      <c r="G135" s="144"/>
    </row>
    <row r="136" spans="5:7" ht="12.75" customHeight="1" x14ac:dyDescent="0.25">
      <c r="E136" s="19"/>
      <c r="G136" s="144"/>
    </row>
    <row r="137" spans="5:7" ht="12.75" customHeight="1" x14ac:dyDescent="0.25">
      <c r="E137" s="19"/>
      <c r="G137" s="144"/>
    </row>
    <row r="138" spans="5:7" ht="12.75" customHeight="1" x14ac:dyDescent="0.25">
      <c r="E138" s="19"/>
      <c r="G138" s="144"/>
    </row>
    <row r="139" spans="5:7" ht="12.75" customHeight="1" x14ac:dyDescent="0.25">
      <c r="E139" s="19"/>
      <c r="G139" s="144"/>
    </row>
    <row r="140" spans="5:7" ht="12.75" customHeight="1" x14ac:dyDescent="0.25">
      <c r="E140" s="19"/>
      <c r="G140" s="144"/>
    </row>
    <row r="141" spans="5:7" ht="12.75" customHeight="1" x14ac:dyDescent="0.25">
      <c r="E141" s="19"/>
      <c r="G141" s="144"/>
    </row>
    <row r="142" spans="5:7" ht="12.75" customHeight="1" x14ac:dyDescent="0.25">
      <c r="E142" s="19"/>
      <c r="G142" s="144"/>
    </row>
    <row r="143" spans="5:7" ht="12.75" customHeight="1" x14ac:dyDescent="0.25">
      <c r="E143" s="19"/>
      <c r="G143" s="144"/>
    </row>
    <row r="144" spans="5:7" ht="12.75" customHeight="1" x14ac:dyDescent="0.25">
      <c r="E144" s="19"/>
      <c r="G144" s="144"/>
    </row>
    <row r="145" spans="5:7" ht="12.75" customHeight="1" x14ac:dyDescent="0.25">
      <c r="E145" s="19"/>
      <c r="G145" s="144"/>
    </row>
    <row r="146" spans="5:7" ht="12.75" customHeight="1" x14ac:dyDescent="0.25">
      <c r="E146" s="19"/>
      <c r="G146" s="144"/>
    </row>
    <row r="147" spans="5:7" ht="12.75" customHeight="1" x14ac:dyDescent="0.25">
      <c r="E147" s="19"/>
      <c r="G147" s="144"/>
    </row>
    <row r="148" spans="5:7" ht="12.75" customHeight="1" x14ac:dyDescent="0.25">
      <c r="E148" s="19"/>
      <c r="G148" s="144"/>
    </row>
    <row r="149" spans="5:7" ht="12.75" customHeight="1" x14ac:dyDescent="0.25">
      <c r="E149" s="19"/>
      <c r="G149" s="144"/>
    </row>
    <row r="150" spans="5:7" ht="12.75" customHeight="1" x14ac:dyDescent="0.25">
      <c r="E150" s="19"/>
      <c r="G150" s="144"/>
    </row>
    <row r="151" spans="5:7" ht="12.75" customHeight="1" x14ac:dyDescent="0.25">
      <c r="E151" s="19"/>
      <c r="G151" s="144"/>
    </row>
    <row r="152" spans="5:7" ht="12.75" customHeight="1" x14ac:dyDescent="0.25">
      <c r="E152" s="19"/>
      <c r="G152" s="144"/>
    </row>
    <row r="153" spans="5:7" ht="12.75" customHeight="1" x14ac:dyDescent="0.25">
      <c r="E153" s="19"/>
      <c r="G153" s="144"/>
    </row>
    <row r="154" spans="5:7" ht="12.75" customHeight="1" x14ac:dyDescent="0.25">
      <c r="E154" s="19"/>
      <c r="G154" s="144"/>
    </row>
    <row r="155" spans="5:7" ht="12.75" customHeight="1" x14ac:dyDescent="0.25">
      <c r="E155" s="19"/>
      <c r="G155" s="144"/>
    </row>
    <row r="156" spans="5:7" ht="12.75" customHeight="1" x14ac:dyDescent="0.25">
      <c r="E156" s="19"/>
      <c r="G156" s="144"/>
    </row>
    <row r="157" spans="5:7" ht="12.75" customHeight="1" x14ac:dyDescent="0.25">
      <c r="E157" s="19"/>
      <c r="G157" s="144"/>
    </row>
    <row r="158" spans="5:7" ht="12.75" customHeight="1" x14ac:dyDescent="0.25">
      <c r="E158" s="19"/>
      <c r="G158" s="144"/>
    </row>
    <row r="159" spans="5:7" ht="12.75" customHeight="1" x14ac:dyDescent="0.25">
      <c r="E159" s="19"/>
      <c r="G159" s="144"/>
    </row>
    <row r="160" spans="5:7" ht="12.75" customHeight="1" x14ac:dyDescent="0.25">
      <c r="E160" s="19"/>
      <c r="G160" s="144"/>
    </row>
    <row r="161" spans="5:7" ht="12.75" customHeight="1" x14ac:dyDescent="0.25">
      <c r="E161" s="19"/>
      <c r="G161" s="144"/>
    </row>
    <row r="162" spans="5:7" ht="12.75" customHeight="1" x14ac:dyDescent="0.25">
      <c r="E162" s="19"/>
      <c r="G162" s="144"/>
    </row>
    <row r="163" spans="5:7" ht="12.75" customHeight="1" x14ac:dyDescent="0.25">
      <c r="E163" s="19"/>
      <c r="G163" s="144"/>
    </row>
    <row r="164" spans="5:7" ht="12.75" customHeight="1" x14ac:dyDescent="0.25">
      <c r="E164" s="19"/>
      <c r="G164" s="144"/>
    </row>
    <row r="165" spans="5:7" ht="12.75" customHeight="1" x14ac:dyDescent="0.25">
      <c r="E165" s="19"/>
      <c r="G165" s="144"/>
    </row>
    <row r="166" spans="5:7" ht="12.75" customHeight="1" x14ac:dyDescent="0.25">
      <c r="E166" s="19"/>
      <c r="G166" s="144"/>
    </row>
    <row r="167" spans="5:7" ht="12.75" customHeight="1" x14ac:dyDescent="0.25">
      <c r="E167" s="19"/>
      <c r="G167" s="144"/>
    </row>
    <row r="168" spans="5:7" ht="12.75" customHeight="1" x14ac:dyDescent="0.25">
      <c r="E168" s="19"/>
      <c r="G168" s="144"/>
    </row>
    <row r="169" spans="5:7" ht="12.75" customHeight="1" x14ac:dyDescent="0.25">
      <c r="E169" s="19"/>
      <c r="G169" s="144"/>
    </row>
    <row r="170" spans="5:7" ht="12.75" customHeight="1" x14ac:dyDescent="0.25">
      <c r="E170" s="19"/>
      <c r="G170" s="144"/>
    </row>
    <row r="171" spans="5:7" ht="12.75" customHeight="1" x14ac:dyDescent="0.25">
      <c r="E171" s="19"/>
      <c r="G171" s="144"/>
    </row>
    <row r="172" spans="5:7" ht="12.75" customHeight="1" x14ac:dyDescent="0.25">
      <c r="E172" s="19"/>
      <c r="G172" s="144"/>
    </row>
    <row r="173" spans="5:7" ht="12.75" customHeight="1" x14ac:dyDescent="0.25">
      <c r="E173" s="19"/>
      <c r="G173" s="144"/>
    </row>
    <row r="174" spans="5:7" ht="12.75" customHeight="1" x14ac:dyDescent="0.25">
      <c r="E174" s="19"/>
      <c r="G174" s="144"/>
    </row>
    <row r="175" spans="5:7" ht="12.75" customHeight="1" x14ac:dyDescent="0.25">
      <c r="E175" s="19"/>
      <c r="G175" s="144"/>
    </row>
    <row r="176" spans="5:7" ht="12.75" customHeight="1" x14ac:dyDescent="0.25">
      <c r="E176" s="19"/>
      <c r="G176" s="144"/>
    </row>
    <row r="177" spans="5:7" ht="12.75" customHeight="1" x14ac:dyDescent="0.25">
      <c r="E177" s="19"/>
      <c r="G177" s="144"/>
    </row>
    <row r="178" spans="5:7" ht="12.75" customHeight="1" x14ac:dyDescent="0.25">
      <c r="E178" s="19"/>
      <c r="G178" s="144"/>
    </row>
    <row r="179" spans="5:7" ht="12.75" customHeight="1" x14ac:dyDescent="0.25">
      <c r="E179" s="19"/>
      <c r="G179" s="144"/>
    </row>
    <row r="180" spans="5:7" ht="12.75" customHeight="1" x14ac:dyDescent="0.25">
      <c r="E180" s="19"/>
      <c r="G180" s="144"/>
    </row>
    <row r="181" spans="5:7" ht="12.75" customHeight="1" x14ac:dyDescent="0.25">
      <c r="E181" s="19"/>
      <c r="G181" s="144"/>
    </row>
    <row r="182" spans="5:7" ht="12.75" customHeight="1" x14ac:dyDescent="0.25">
      <c r="E182" s="19"/>
      <c r="G182" s="144"/>
    </row>
    <row r="183" spans="5:7" ht="12.75" customHeight="1" x14ac:dyDescent="0.25">
      <c r="E183" s="19"/>
      <c r="G183" s="144"/>
    </row>
    <row r="184" spans="5:7" ht="12.75" customHeight="1" x14ac:dyDescent="0.25">
      <c r="E184" s="19"/>
      <c r="G184" s="144"/>
    </row>
    <row r="185" spans="5:7" ht="12.75" customHeight="1" x14ac:dyDescent="0.25">
      <c r="E185" s="19"/>
      <c r="G185" s="144"/>
    </row>
    <row r="186" spans="5:7" ht="12.75" customHeight="1" x14ac:dyDescent="0.25">
      <c r="E186" s="19"/>
      <c r="G186" s="144"/>
    </row>
    <row r="187" spans="5:7" ht="12.75" customHeight="1" x14ac:dyDescent="0.25">
      <c r="E187" s="19"/>
      <c r="G187" s="144"/>
    </row>
    <row r="188" spans="5:7" ht="12.75" customHeight="1" x14ac:dyDescent="0.25">
      <c r="E188" s="19"/>
      <c r="G188" s="144"/>
    </row>
    <row r="189" spans="5:7" ht="12.75" customHeight="1" x14ac:dyDescent="0.25">
      <c r="E189" s="19"/>
      <c r="G189" s="144"/>
    </row>
    <row r="190" spans="5:7" ht="12.75" customHeight="1" x14ac:dyDescent="0.25">
      <c r="E190" s="19"/>
      <c r="G190" s="144"/>
    </row>
    <row r="191" spans="5:7" ht="12.75" customHeight="1" x14ac:dyDescent="0.25">
      <c r="E191" s="19"/>
      <c r="G191" s="144"/>
    </row>
    <row r="192" spans="5:7" ht="12.75" customHeight="1" x14ac:dyDescent="0.25">
      <c r="E192" s="19"/>
      <c r="G192" s="144"/>
    </row>
    <row r="193" spans="5:7" ht="12.75" customHeight="1" x14ac:dyDescent="0.25">
      <c r="E193" s="19"/>
      <c r="G193" s="144"/>
    </row>
    <row r="194" spans="5:7" ht="12.75" customHeight="1" x14ac:dyDescent="0.25">
      <c r="E194" s="19"/>
      <c r="G194" s="144"/>
    </row>
    <row r="195" spans="5:7" ht="12.75" customHeight="1" x14ac:dyDescent="0.25">
      <c r="E195" s="19"/>
      <c r="G195" s="144"/>
    </row>
    <row r="196" spans="5:7" ht="12.75" customHeight="1" x14ac:dyDescent="0.25">
      <c r="E196" s="19"/>
      <c r="G196" s="144"/>
    </row>
    <row r="197" spans="5:7" ht="12.75" customHeight="1" x14ac:dyDescent="0.25">
      <c r="E197" s="19"/>
      <c r="G197" s="144"/>
    </row>
    <row r="198" spans="5:7" ht="12.75" customHeight="1" x14ac:dyDescent="0.25">
      <c r="E198" s="19"/>
      <c r="G198" s="144"/>
    </row>
    <row r="199" spans="5:7" ht="12.75" customHeight="1" x14ac:dyDescent="0.25">
      <c r="E199" s="19"/>
      <c r="G199" s="144"/>
    </row>
    <row r="200" spans="5:7" ht="12.75" customHeight="1" x14ac:dyDescent="0.25">
      <c r="E200" s="19"/>
      <c r="G200" s="144"/>
    </row>
    <row r="201" spans="5:7" ht="12.75" customHeight="1" x14ac:dyDescent="0.25">
      <c r="E201" s="19"/>
      <c r="G201" s="144"/>
    </row>
    <row r="202" spans="5:7" ht="12.75" customHeight="1" x14ac:dyDescent="0.25">
      <c r="E202" s="19"/>
      <c r="G202" s="144"/>
    </row>
    <row r="203" spans="5:7" ht="12.75" customHeight="1" x14ac:dyDescent="0.25">
      <c r="E203" s="19"/>
      <c r="G203" s="144"/>
    </row>
    <row r="204" spans="5:7" ht="12.75" customHeight="1" x14ac:dyDescent="0.25">
      <c r="E204" s="19"/>
      <c r="G204" s="144"/>
    </row>
    <row r="205" spans="5:7" ht="12.75" customHeight="1" x14ac:dyDescent="0.25">
      <c r="E205" s="19"/>
      <c r="G205" s="144"/>
    </row>
    <row r="206" spans="5:7" ht="12.75" customHeight="1" x14ac:dyDescent="0.25">
      <c r="E206" s="19"/>
      <c r="G206" s="144"/>
    </row>
    <row r="207" spans="5:7" ht="12.75" customHeight="1" x14ac:dyDescent="0.25">
      <c r="E207" s="19"/>
      <c r="G207" s="144"/>
    </row>
    <row r="208" spans="5:7" ht="12.75" customHeight="1" x14ac:dyDescent="0.25">
      <c r="E208" s="19"/>
      <c r="G208" s="144"/>
    </row>
    <row r="209" spans="5:7" ht="12.75" customHeight="1" x14ac:dyDescent="0.25">
      <c r="E209" s="19"/>
      <c r="G209" s="144"/>
    </row>
    <row r="210" spans="5:7" ht="12.75" customHeight="1" x14ac:dyDescent="0.25">
      <c r="E210" s="19"/>
      <c r="G210" s="144"/>
    </row>
    <row r="211" spans="5:7" ht="12.75" customHeight="1" x14ac:dyDescent="0.25">
      <c r="E211" s="19"/>
      <c r="G211" s="144"/>
    </row>
    <row r="212" spans="5:7" ht="12.75" customHeight="1" x14ac:dyDescent="0.25">
      <c r="E212" s="19"/>
      <c r="G212" s="144"/>
    </row>
    <row r="213" spans="5:7" ht="12.75" customHeight="1" x14ac:dyDescent="0.25">
      <c r="E213" s="19"/>
      <c r="G213" s="144"/>
    </row>
    <row r="214" spans="5:7" ht="12.75" customHeight="1" x14ac:dyDescent="0.25">
      <c r="E214" s="19"/>
      <c r="G214" s="144"/>
    </row>
    <row r="215" spans="5:7" ht="12.75" customHeight="1" x14ac:dyDescent="0.25">
      <c r="E215" s="19"/>
      <c r="G215" s="144"/>
    </row>
    <row r="216" spans="5:7" ht="12.75" customHeight="1" x14ac:dyDescent="0.25">
      <c r="E216" s="19"/>
      <c r="G216" s="144"/>
    </row>
    <row r="217" spans="5:7" ht="12.75" customHeight="1" x14ac:dyDescent="0.25">
      <c r="E217" s="19"/>
      <c r="G217" s="144"/>
    </row>
    <row r="218" spans="5:7" ht="12.75" customHeight="1" x14ac:dyDescent="0.25">
      <c r="E218" s="19"/>
      <c r="G218" s="144"/>
    </row>
    <row r="219" spans="5:7" ht="12.75" customHeight="1" x14ac:dyDescent="0.25">
      <c r="E219" s="19"/>
      <c r="G219" s="144"/>
    </row>
    <row r="220" spans="5:7" ht="12.75" customHeight="1" x14ac:dyDescent="0.25">
      <c r="E220" s="19"/>
      <c r="G220" s="144"/>
    </row>
    <row r="221" spans="5:7" ht="12.75" customHeight="1" x14ac:dyDescent="0.25">
      <c r="E221" s="19"/>
      <c r="G221" s="144"/>
    </row>
    <row r="222" spans="5:7" ht="12.75" customHeight="1" x14ac:dyDescent="0.25">
      <c r="E222" s="19"/>
      <c r="G222" s="144"/>
    </row>
    <row r="223" spans="5:7" ht="12.75" customHeight="1" x14ac:dyDescent="0.25">
      <c r="E223" s="19"/>
      <c r="G223" s="144"/>
    </row>
    <row r="224" spans="5:7" ht="12.75" customHeight="1" x14ac:dyDescent="0.25">
      <c r="E224" s="19"/>
      <c r="G224" s="144"/>
    </row>
    <row r="225" spans="5:7" ht="12.75" customHeight="1" x14ac:dyDescent="0.25">
      <c r="E225" s="19"/>
      <c r="G225" s="144"/>
    </row>
    <row r="226" spans="5:7" ht="12.75" customHeight="1" x14ac:dyDescent="0.25">
      <c r="E226" s="19"/>
      <c r="G226" s="144"/>
    </row>
    <row r="227" spans="5:7" ht="12.75" customHeight="1" x14ac:dyDescent="0.25">
      <c r="E227" s="19"/>
      <c r="G227" s="144"/>
    </row>
    <row r="228" spans="5:7" ht="12.75" customHeight="1" x14ac:dyDescent="0.25">
      <c r="E228" s="19"/>
      <c r="G228" s="144"/>
    </row>
    <row r="229" spans="5:7" ht="12.75" customHeight="1" x14ac:dyDescent="0.25">
      <c r="E229" s="19"/>
      <c r="G229" s="144"/>
    </row>
    <row r="230" spans="5:7" ht="12.75" customHeight="1" x14ac:dyDescent="0.25">
      <c r="E230" s="19"/>
      <c r="G230" s="144"/>
    </row>
    <row r="231" spans="5:7" ht="12.75" customHeight="1" x14ac:dyDescent="0.25">
      <c r="E231" s="19"/>
      <c r="G231" s="144"/>
    </row>
    <row r="232" spans="5:7" ht="12.75" customHeight="1" x14ac:dyDescent="0.25">
      <c r="E232" s="19"/>
      <c r="G232" s="144"/>
    </row>
    <row r="233" spans="5:7" ht="12.75" customHeight="1" x14ac:dyDescent="0.25">
      <c r="E233" s="19"/>
      <c r="G233" s="144"/>
    </row>
    <row r="234" spans="5:7" ht="12.75" customHeight="1" x14ac:dyDescent="0.25">
      <c r="E234" s="19"/>
      <c r="G234" s="144"/>
    </row>
    <row r="235" spans="5:7" ht="12.75" customHeight="1" x14ac:dyDescent="0.25">
      <c r="E235" s="19"/>
      <c r="G235" s="144"/>
    </row>
    <row r="236" spans="5:7" ht="12.75" customHeight="1" x14ac:dyDescent="0.25">
      <c r="E236" s="19"/>
      <c r="G236" s="144"/>
    </row>
    <row r="237" spans="5:7" ht="12.75" customHeight="1" x14ac:dyDescent="0.25">
      <c r="E237" s="19"/>
      <c r="G237" s="144"/>
    </row>
    <row r="238" spans="5:7" ht="12.75" customHeight="1" x14ac:dyDescent="0.25">
      <c r="E238" s="19"/>
      <c r="G238" s="144"/>
    </row>
    <row r="239" spans="5:7" ht="12.75" customHeight="1" x14ac:dyDescent="0.25">
      <c r="E239" s="19"/>
      <c r="G239" s="144"/>
    </row>
    <row r="240" spans="5:7" ht="12.75" customHeight="1" x14ac:dyDescent="0.25">
      <c r="E240" s="19"/>
      <c r="G240" s="144"/>
    </row>
    <row r="241" spans="5:7" ht="12.75" customHeight="1" x14ac:dyDescent="0.25">
      <c r="E241" s="19"/>
      <c r="G241" s="144"/>
    </row>
    <row r="242" spans="5:7" ht="12.75" customHeight="1" x14ac:dyDescent="0.25">
      <c r="E242" s="19"/>
      <c r="G242" s="144"/>
    </row>
    <row r="243" spans="5:7" ht="12.75" customHeight="1" x14ac:dyDescent="0.25">
      <c r="E243" s="19"/>
      <c r="G243" s="144"/>
    </row>
    <row r="244" spans="5:7" ht="12.75" customHeight="1" x14ac:dyDescent="0.25">
      <c r="E244" s="19"/>
      <c r="G244" s="144"/>
    </row>
    <row r="245" spans="5:7" ht="12.75" customHeight="1" x14ac:dyDescent="0.25">
      <c r="E245" s="19"/>
      <c r="G245" s="144"/>
    </row>
    <row r="246" spans="5:7" ht="12.75" customHeight="1" x14ac:dyDescent="0.25">
      <c r="E246" s="19"/>
      <c r="G246" s="144"/>
    </row>
    <row r="247" spans="5:7" ht="12.75" customHeight="1" x14ac:dyDescent="0.25">
      <c r="E247" s="19"/>
      <c r="G247" s="144"/>
    </row>
    <row r="248" spans="5:7" ht="12.75" customHeight="1" x14ac:dyDescent="0.25">
      <c r="E248" s="19"/>
      <c r="G248" s="144"/>
    </row>
    <row r="249" spans="5:7" ht="12.75" customHeight="1" x14ac:dyDescent="0.25">
      <c r="E249" s="19"/>
      <c r="G249" s="144"/>
    </row>
    <row r="250" spans="5:7" ht="12.75" customHeight="1" x14ac:dyDescent="0.25">
      <c r="E250" s="19"/>
      <c r="G250" s="144"/>
    </row>
    <row r="251" spans="5:7" ht="12.75" customHeight="1" x14ac:dyDescent="0.25">
      <c r="E251" s="19"/>
      <c r="G251" s="144"/>
    </row>
    <row r="252" spans="5:7" ht="12.75" customHeight="1" x14ac:dyDescent="0.25">
      <c r="E252" s="19"/>
      <c r="G252" s="144"/>
    </row>
    <row r="253" spans="5:7" ht="12.75" customHeight="1" x14ac:dyDescent="0.25">
      <c r="E253" s="19"/>
      <c r="G253" s="144"/>
    </row>
    <row r="254" spans="5:7" ht="12.75" customHeight="1" x14ac:dyDescent="0.25">
      <c r="E254" s="19"/>
      <c r="G254" s="144"/>
    </row>
    <row r="255" spans="5:7" ht="12.75" customHeight="1" x14ac:dyDescent="0.25">
      <c r="E255" s="19"/>
      <c r="G255" s="144"/>
    </row>
    <row r="256" spans="5:7" ht="12.75" customHeight="1" x14ac:dyDescent="0.25">
      <c r="E256" s="19"/>
      <c r="G256" s="144"/>
    </row>
    <row r="257" spans="5:7" ht="12.75" customHeight="1" x14ac:dyDescent="0.25">
      <c r="E257" s="19"/>
      <c r="G257" s="144"/>
    </row>
    <row r="258" spans="5:7" ht="12.75" customHeight="1" x14ac:dyDescent="0.25">
      <c r="E258" s="19"/>
      <c r="G258" s="144"/>
    </row>
    <row r="259" spans="5:7" ht="12.75" customHeight="1" x14ac:dyDescent="0.25">
      <c r="E259" s="19"/>
      <c r="G259" s="144"/>
    </row>
    <row r="260" spans="5:7" ht="12.75" customHeight="1" x14ac:dyDescent="0.25">
      <c r="E260" s="19"/>
      <c r="G260" s="144"/>
    </row>
    <row r="261" spans="5:7" ht="12.75" customHeight="1" x14ac:dyDescent="0.25">
      <c r="E261" s="19"/>
      <c r="G261" s="144"/>
    </row>
    <row r="262" spans="5:7" ht="12.75" customHeight="1" x14ac:dyDescent="0.25">
      <c r="E262" s="19"/>
      <c r="G262" s="144"/>
    </row>
    <row r="263" spans="5:7" ht="12.75" customHeight="1" x14ac:dyDescent="0.25">
      <c r="E263" s="19"/>
      <c r="G263" s="144"/>
    </row>
    <row r="264" spans="5:7" ht="12.75" customHeight="1" x14ac:dyDescent="0.25">
      <c r="E264" s="19"/>
      <c r="G264" s="144"/>
    </row>
    <row r="265" spans="5:7" ht="12.75" customHeight="1" x14ac:dyDescent="0.25">
      <c r="E265" s="19"/>
      <c r="G265" s="144"/>
    </row>
    <row r="266" spans="5:7" ht="12.75" customHeight="1" x14ac:dyDescent="0.25">
      <c r="E266" s="19"/>
      <c r="G266" s="144"/>
    </row>
    <row r="267" spans="5:7" ht="12.75" customHeight="1" x14ac:dyDescent="0.25">
      <c r="E267" s="19"/>
      <c r="G267" s="144"/>
    </row>
    <row r="268" spans="5:7" ht="12.75" customHeight="1" x14ac:dyDescent="0.25">
      <c r="E268" s="19"/>
      <c r="G268" s="144"/>
    </row>
    <row r="269" spans="5:7" ht="12.75" customHeight="1" x14ac:dyDescent="0.25">
      <c r="E269" s="19"/>
      <c r="G269" s="144"/>
    </row>
    <row r="270" spans="5:7" ht="12.75" customHeight="1" x14ac:dyDescent="0.25">
      <c r="E270" s="19"/>
      <c r="G270" s="144"/>
    </row>
    <row r="271" spans="5:7" ht="12.75" customHeight="1" x14ac:dyDescent="0.25">
      <c r="E271" s="19"/>
      <c r="G271" s="144"/>
    </row>
    <row r="272" spans="5:7" ht="12.75" customHeight="1" x14ac:dyDescent="0.25">
      <c r="E272" s="19"/>
      <c r="G272" s="144"/>
    </row>
    <row r="273" spans="5:7" ht="12.75" customHeight="1" x14ac:dyDescent="0.25">
      <c r="E273" s="19"/>
      <c r="G273" s="144"/>
    </row>
    <row r="274" spans="5:7" ht="12.75" customHeight="1" x14ac:dyDescent="0.25">
      <c r="E274" s="19"/>
      <c r="G274" s="144"/>
    </row>
    <row r="275" spans="5:7" ht="12.75" customHeight="1" x14ac:dyDescent="0.25">
      <c r="E275" s="19"/>
      <c r="G275" s="144"/>
    </row>
    <row r="276" spans="5:7" ht="12.75" customHeight="1" x14ac:dyDescent="0.25">
      <c r="E276" s="19"/>
      <c r="G276" s="144"/>
    </row>
    <row r="277" spans="5:7" ht="12.75" customHeight="1" x14ac:dyDescent="0.25">
      <c r="E277" s="19"/>
      <c r="G277" s="144"/>
    </row>
    <row r="278" spans="5:7" ht="12.75" customHeight="1" x14ac:dyDescent="0.25">
      <c r="E278" s="19"/>
      <c r="G278" s="144"/>
    </row>
    <row r="279" spans="5:7" ht="12.75" customHeight="1" x14ac:dyDescent="0.25">
      <c r="E279" s="19"/>
      <c r="G279" s="144"/>
    </row>
    <row r="280" spans="5:7" ht="12.75" customHeight="1" x14ac:dyDescent="0.25">
      <c r="E280" s="19"/>
      <c r="G280" s="144"/>
    </row>
    <row r="281" spans="5:7" ht="12.75" customHeight="1" x14ac:dyDescent="0.25">
      <c r="E281" s="19"/>
      <c r="G281" s="144"/>
    </row>
    <row r="282" spans="5:7" ht="12.75" customHeight="1" x14ac:dyDescent="0.25">
      <c r="E282" s="19"/>
      <c r="G282" s="144"/>
    </row>
    <row r="283" spans="5:7" ht="12.75" customHeight="1" x14ac:dyDescent="0.25">
      <c r="E283" s="19"/>
      <c r="G283" s="144"/>
    </row>
    <row r="284" spans="5:7" ht="12.75" customHeight="1" x14ac:dyDescent="0.25">
      <c r="E284" s="19"/>
      <c r="G284" s="144"/>
    </row>
    <row r="285" spans="5:7" ht="12.75" customHeight="1" x14ac:dyDescent="0.25">
      <c r="E285" s="19"/>
      <c r="G285" s="144"/>
    </row>
    <row r="286" spans="5:7" ht="12.75" customHeight="1" x14ac:dyDescent="0.25">
      <c r="E286" s="19"/>
      <c r="G286" s="144"/>
    </row>
    <row r="287" spans="5:7" ht="12.75" customHeight="1" x14ac:dyDescent="0.25">
      <c r="E287" s="19"/>
      <c r="G287" s="144"/>
    </row>
    <row r="288" spans="5:7" ht="12.75" customHeight="1" x14ac:dyDescent="0.25">
      <c r="E288" s="19"/>
      <c r="G288" s="144"/>
    </row>
    <row r="289" spans="5:7" ht="12.75" customHeight="1" x14ac:dyDescent="0.25">
      <c r="E289" s="19"/>
      <c r="G289" s="144"/>
    </row>
    <row r="290" spans="5:7" ht="12.75" customHeight="1" x14ac:dyDescent="0.25">
      <c r="E290" s="19"/>
      <c r="G290" s="144"/>
    </row>
    <row r="291" spans="5:7" ht="12.75" customHeight="1" x14ac:dyDescent="0.25">
      <c r="E291" s="19"/>
      <c r="G291" s="144"/>
    </row>
    <row r="292" spans="5:7" ht="12.75" customHeight="1" x14ac:dyDescent="0.25">
      <c r="E292" s="19"/>
      <c r="G292" s="144"/>
    </row>
    <row r="293" spans="5:7" ht="12.75" customHeight="1" x14ac:dyDescent="0.25">
      <c r="E293" s="19"/>
      <c r="G293" s="144"/>
    </row>
    <row r="294" spans="5:7" ht="12.75" customHeight="1" x14ac:dyDescent="0.25">
      <c r="E294" s="19"/>
      <c r="G294" s="144"/>
    </row>
    <row r="295" spans="5:7" ht="12.75" customHeight="1" x14ac:dyDescent="0.25">
      <c r="E295" s="19"/>
      <c r="G295" s="144"/>
    </row>
    <row r="296" spans="5:7" ht="12.75" customHeight="1" x14ac:dyDescent="0.25">
      <c r="E296" s="19"/>
      <c r="G296" s="144"/>
    </row>
    <row r="297" spans="5:7" ht="12.75" customHeight="1" x14ac:dyDescent="0.25">
      <c r="E297" s="19"/>
      <c r="G297" s="144"/>
    </row>
    <row r="298" spans="5:7" ht="12.75" customHeight="1" x14ac:dyDescent="0.25">
      <c r="E298" s="19"/>
      <c r="G298" s="144"/>
    </row>
    <row r="299" spans="5:7" ht="12.75" customHeight="1" x14ac:dyDescent="0.25">
      <c r="E299" s="19"/>
      <c r="G299" s="144"/>
    </row>
    <row r="300" spans="5:7" ht="12.75" customHeight="1" x14ac:dyDescent="0.25">
      <c r="E300" s="19"/>
      <c r="G300" s="144"/>
    </row>
    <row r="301" spans="5:7" ht="12.75" customHeight="1" x14ac:dyDescent="0.25">
      <c r="E301" s="19"/>
      <c r="G301" s="144"/>
    </row>
    <row r="302" spans="5:7" ht="12.75" customHeight="1" x14ac:dyDescent="0.25">
      <c r="E302" s="19"/>
      <c r="G302" s="144"/>
    </row>
    <row r="303" spans="5:7" ht="12.75" customHeight="1" x14ac:dyDescent="0.25">
      <c r="E303" s="19"/>
      <c r="G303" s="144"/>
    </row>
    <row r="304" spans="5:7" ht="12.75" customHeight="1" x14ac:dyDescent="0.25">
      <c r="E304" s="19"/>
      <c r="G304" s="144"/>
    </row>
    <row r="305" spans="5:7" ht="12.75" customHeight="1" x14ac:dyDescent="0.25">
      <c r="E305" s="19"/>
      <c r="G305" s="144"/>
    </row>
    <row r="306" spans="5:7" ht="12.75" customHeight="1" x14ac:dyDescent="0.25">
      <c r="E306" s="19"/>
      <c r="G306" s="144"/>
    </row>
    <row r="307" spans="5:7" ht="12.75" customHeight="1" x14ac:dyDescent="0.25">
      <c r="E307" s="19"/>
      <c r="G307" s="144"/>
    </row>
    <row r="308" spans="5:7" ht="12.75" customHeight="1" x14ac:dyDescent="0.25">
      <c r="E308" s="19"/>
      <c r="G308" s="144"/>
    </row>
    <row r="309" spans="5:7" ht="12.75" customHeight="1" x14ac:dyDescent="0.25">
      <c r="E309" s="19"/>
      <c r="G309" s="144"/>
    </row>
    <row r="310" spans="5:7" ht="12.75" customHeight="1" x14ac:dyDescent="0.25">
      <c r="E310" s="19"/>
      <c r="G310" s="144"/>
    </row>
    <row r="311" spans="5:7" ht="12.75" customHeight="1" x14ac:dyDescent="0.25">
      <c r="E311" s="19"/>
      <c r="G311" s="144"/>
    </row>
    <row r="312" spans="5:7" ht="12.75" customHeight="1" x14ac:dyDescent="0.25">
      <c r="E312" s="19"/>
      <c r="G312" s="144"/>
    </row>
    <row r="313" spans="5:7" ht="12.75" customHeight="1" x14ac:dyDescent="0.25">
      <c r="E313" s="19"/>
      <c r="G313" s="144"/>
    </row>
    <row r="314" spans="5:7" ht="12.75" customHeight="1" x14ac:dyDescent="0.25">
      <c r="E314" s="19"/>
      <c r="G314" s="144"/>
    </row>
    <row r="315" spans="5:7" ht="12.75" customHeight="1" x14ac:dyDescent="0.25">
      <c r="E315" s="19"/>
      <c r="G315" s="144"/>
    </row>
    <row r="316" spans="5:7" ht="12.75" customHeight="1" x14ac:dyDescent="0.25">
      <c r="E316" s="19"/>
      <c r="G316" s="144"/>
    </row>
    <row r="317" spans="5:7" ht="12.75" customHeight="1" x14ac:dyDescent="0.25">
      <c r="E317" s="19"/>
      <c r="G317" s="144"/>
    </row>
    <row r="318" spans="5:7" ht="12.75" customHeight="1" x14ac:dyDescent="0.25">
      <c r="E318" s="19"/>
      <c r="G318" s="144"/>
    </row>
    <row r="319" spans="5:7" ht="12.75" customHeight="1" x14ac:dyDescent="0.25">
      <c r="E319" s="19"/>
      <c r="G319" s="144"/>
    </row>
    <row r="320" spans="5:7" ht="12.75" customHeight="1" x14ac:dyDescent="0.25">
      <c r="E320" s="19"/>
      <c r="G320" s="144"/>
    </row>
    <row r="321" spans="5:7" ht="12.75" customHeight="1" x14ac:dyDescent="0.25">
      <c r="E321" s="19"/>
      <c r="G321" s="144"/>
    </row>
    <row r="322" spans="5:7" ht="12.75" customHeight="1" x14ac:dyDescent="0.25">
      <c r="E322" s="19"/>
      <c r="G322" s="144"/>
    </row>
    <row r="323" spans="5:7" ht="12.75" customHeight="1" x14ac:dyDescent="0.25">
      <c r="E323" s="19"/>
      <c r="G323" s="144"/>
    </row>
    <row r="324" spans="5:7" ht="12.75" customHeight="1" x14ac:dyDescent="0.25">
      <c r="E324" s="19"/>
      <c r="G324" s="144"/>
    </row>
    <row r="325" spans="5:7" ht="12.75" customHeight="1" x14ac:dyDescent="0.25">
      <c r="E325" s="19"/>
      <c r="G325" s="144"/>
    </row>
    <row r="326" spans="5:7" ht="12.75" customHeight="1" x14ac:dyDescent="0.25">
      <c r="E326" s="19"/>
      <c r="G326" s="144"/>
    </row>
    <row r="327" spans="5:7" ht="12.75" customHeight="1" x14ac:dyDescent="0.25">
      <c r="E327" s="19"/>
      <c r="G327" s="144"/>
    </row>
    <row r="328" spans="5:7" ht="12.75" customHeight="1" x14ac:dyDescent="0.25">
      <c r="E328" s="19"/>
      <c r="G328" s="144"/>
    </row>
    <row r="329" spans="5:7" ht="12.75" customHeight="1" x14ac:dyDescent="0.25">
      <c r="E329" s="19"/>
      <c r="G329" s="144"/>
    </row>
    <row r="330" spans="5:7" ht="12.75" customHeight="1" x14ac:dyDescent="0.25">
      <c r="E330" s="19"/>
      <c r="G330" s="144"/>
    </row>
    <row r="331" spans="5:7" ht="12.75" customHeight="1" x14ac:dyDescent="0.25">
      <c r="E331" s="19"/>
      <c r="G331" s="144"/>
    </row>
    <row r="332" spans="5:7" ht="12.75" customHeight="1" x14ac:dyDescent="0.25">
      <c r="E332" s="19"/>
      <c r="G332" s="144"/>
    </row>
    <row r="333" spans="5:7" ht="12.75" customHeight="1" x14ac:dyDescent="0.25">
      <c r="E333" s="19"/>
      <c r="G333" s="144"/>
    </row>
    <row r="334" spans="5:7" ht="12.75" customHeight="1" x14ac:dyDescent="0.25">
      <c r="E334" s="19"/>
      <c r="G334" s="144"/>
    </row>
    <row r="335" spans="5:7" ht="12.75" customHeight="1" x14ac:dyDescent="0.25">
      <c r="E335" s="19"/>
      <c r="G335" s="144"/>
    </row>
    <row r="336" spans="5:7" ht="12.75" customHeight="1" x14ac:dyDescent="0.25">
      <c r="E336" s="19"/>
      <c r="G336" s="144"/>
    </row>
    <row r="337" spans="5:7" ht="12.75" customHeight="1" x14ac:dyDescent="0.25">
      <c r="E337" s="19"/>
      <c r="G337" s="144"/>
    </row>
    <row r="338" spans="5:7" ht="12.75" customHeight="1" x14ac:dyDescent="0.25">
      <c r="E338" s="19"/>
      <c r="G338" s="144"/>
    </row>
    <row r="339" spans="5:7" ht="12.75" customHeight="1" x14ac:dyDescent="0.25">
      <c r="E339" s="19"/>
      <c r="G339" s="144"/>
    </row>
    <row r="340" spans="5:7" ht="12.75" customHeight="1" x14ac:dyDescent="0.25">
      <c r="E340" s="19"/>
      <c r="G340" s="144"/>
    </row>
    <row r="341" spans="5:7" ht="12.75" customHeight="1" x14ac:dyDescent="0.25">
      <c r="E341" s="19"/>
      <c r="G341" s="144"/>
    </row>
    <row r="342" spans="5:7" ht="12.75" customHeight="1" x14ac:dyDescent="0.25">
      <c r="E342" s="19"/>
      <c r="G342" s="144"/>
    </row>
    <row r="343" spans="5:7" ht="12.75" customHeight="1" x14ac:dyDescent="0.25">
      <c r="E343" s="19"/>
      <c r="G343" s="144"/>
    </row>
    <row r="344" spans="5:7" ht="12.75" customHeight="1" x14ac:dyDescent="0.25">
      <c r="E344" s="19"/>
      <c r="G344" s="144"/>
    </row>
    <row r="345" spans="5:7" ht="12.75" customHeight="1" x14ac:dyDescent="0.25">
      <c r="E345" s="19"/>
      <c r="G345" s="144"/>
    </row>
    <row r="346" spans="5:7" ht="12.75" customHeight="1" x14ac:dyDescent="0.25">
      <c r="E346" s="19"/>
      <c r="G346" s="144"/>
    </row>
    <row r="347" spans="5:7" ht="12.75" customHeight="1" x14ac:dyDescent="0.25">
      <c r="E347" s="19"/>
      <c r="G347" s="144"/>
    </row>
    <row r="348" spans="5:7" ht="12.75" customHeight="1" x14ac:dyDescent="0.25">
      <c r="E348" s="19"/>
      <c r="G348" s="144"/>
    </row>
    <row r="349" spans="5:7" ht="12.75" customHeight="1" x14ac:dyDescent="0.25">
      <c r="E349" s="19"/>
      <c r="G349" s="144"/>
    </row>
    <row r="350" spans="5:7" ht="12.75" customHeight="1" x14ac:dyDescent="0.25">
      <c r="E350" s="19"/>
      <c r="G350" s="144"/>
    </row>
    <row r="351" spans="5:7" ht="12.75" customHeight="1" x14ac:dyDescent="0.25">
      <c r="E351" s="19"/>
      <c r="G351" s="144"/>
    </row>
    <row r="352" spans="5:7" ht="12.75" customHeight="1" x14ac:dyDescent="0.25">
      <c r="E352" s="19"/>
      <c r="G352" s="144"/>
    </row>
    <row r="353" spans="5:7" ht="12.75" customHeight="1" x14ac:dyDescent="0.25">
      <c r="E353" s="19"/>
      <c r="G353" s="144"/>
    </row>
    <row r="354" spans="5:7" ht="12.75" customHeight="1" x14ac:dyDescent="0.25">
      <c r="E354" s="19"/>
      <c r="G354" s="144"/>
    </row>
    <row r="355" spans="5:7" ht="12.75" customHeight="1" x14ac:dyDescent="0.25">
      <c r="E355" s="19"/>
      <c r="G355" s="144"/>
    </row>
    <row r="356" spans="5:7" ht="12.75" customHeight="1" x14ac:dyDescent="0.25">
      <c r="E356" s="19"/>
      <c r="G356" s="144"/>
    </row>
    <row r="357" spans="5:7" ht="12.75" customHeight="1" x14ac:dyDescent="0.25">
      <c r="E357" s="19"/>
      <c r="G357" s="144"/>
    </row>
    <row r="358" spans="5:7" ht="12.75" customHeight="1" x14ac:dyDescent="0.25">
      <c r="E358" s="19"/>
      <c r="G358" s="144"/>
    </row>
    <row r="359" spans="5:7" ht="12.75" customHeight="1" x14ac:dyDescent="0.25">
      <c r="E359" s="19"/>
      <c r="G359" s="144"/>
    </row>
    <row r="360" spans="5:7" ht="12.75" customHeight="1" x14ac:dyDescent="0.25">
      <c r="E360" s="19"/>
      <c r="G360" s="144"/>
    </row>
    <row r="361" spans="5:7" ht="12.75" customHeight="1" x14ac:dyDescent="0.25">
      <c r="E361" s="19"/>
      <c r="G361" s="144"/>
    </row>
    <row r="362" spans="5:7" ht="12.75" customHeight="1" x14ac:dyDescent="0.25">
      <c r="E362" s="19"/>
      <c r="G362" s="144"/>
    </row>
    <row r="363" spans="5:7" ht="12.75" customHeight="1" x14ac:dyDescent="0.25">
      <c r="E363" s="19"/>
      <c r="G363" s="144"/>
    </row>
    <row r="364" spans="5:7" ht="12.75" customHeight="1" x14ac:dyDescent="0.25">
      <c r="E364" s="19"/>
      <c r="G364" s="144"/>
    </row>
    <row r="365" spans="5:7" ht="12.75" customHeight="1" x14ac:dyDescent="0.25">
      <c r="E365" s="19"/>
      <c r="G365" s="144"/>
    </row>
    <row r="366" spans="5:7" ht="12.75" customHeight="1" x14ac:dyDescent="0.25">
      <c r="E366" s="19"/>
      <c r="G366" s="144"/>
    </row>
    <row r="367" spans="5:7" ht="12.75" customHeight="1" x14ac:dyDescent="0.25">
      <c r="E367" s="19"/>
      <c r="G367" s="144"/>
    </row>
    <row r="368" spans="5:7" ht="12.75" customHeight="1" x14ac:dyDescent="0.25">
      <c r="E368" s="19"/>
      <c r="G368" s="144"/>
    </row>
    <row r="369" spans="5:7" ht="12.75" customHeight="1" x14ac:dyDescent="0.25">
      <c r="E369" s="19"/>
      <c r="G369" s="144"/>
    </row>
    <row r="370" spans="5:7" ht="12.75" customHeight="1" x14ac:dyDescent="0.25">
      <c r="E370" s="19"/>
      <c r="G370" s="144"/>
    </row>
    <row r="371" spans="5:7" ht="12.75" customHeight="1" x14ac:dyDescent="0.25">
      <c r="E371" s="19"/>
      <c r="G371" s="144"/>
    </row>
    <row r="372" spans="5:7" ht="12.75" customHeight="1" x14ac:dyDescent="0.25">
      <c r="E372" s="19"/>
      <c r="G372" s="144"/>
    </row>
    <row r="373" spans="5:7" ht="12.75" customHeight="1" x14ac:dyDescent="0.25">
      <c r="E373" s="19"/>
      <c r="G373" s="144"/>
    </row>
    <row r="374" spans="5:7" ht="12.75" customHeight="1" x14ac:dyDescent="0.25">
      <c r="E374" s="19"/>
      <c r="G374" s="144"/>
    </row>
    <row r="375" spans="5:7" ht="12.75" customHeight="1" x14ac:dyDescent="0.25">
      <c r="E375" s="19"/>
      <c r="G375" s="144"/>
    </row>
    <row r="376" spans="5:7" ht="12.75" customHeight="1" x14ac:dyDescent="0.25">
      <c r="E376" s="19"/>
      <c r="G376" s="144"/>
    </row>
    <row r="377" spans="5:7" ht="12.75" customHeight="1" x14ac:dyDescent="0.25">
      <c r="E377" s="19"/>
      <c r="G377" s="144"/>
    </row>
    <row r="378" spans="5:7" ht="12.75" customHeight="1" x14ac:dyDescent="0.25">
      <c r="E378" s="19"/>
      <c r="G378" s="144"/>
    </row>
    <row r="379" spans="5:7" ht="12.75" customHeight="1" x14ac:dyDescent="0.25">
      <c r="E379" s="19"/>
      <c r="G379" s="144"/>
    </row>
    <row r="380" spans="5:7" ht="12.75" customHeight="1" x14ac:dyDescent="0.25">
      <c r="E380" s="19"/>
      <c r="G380" s="144"/>
    </row>
    <row r="381" spans="5:7" ht="12.75" customHeight="1" x14ac:dyDescent="0.25">
      <c r="E381" s="19"/>
      <c r="G381" s="144"/>
    </row>
    <row r="382" spans="5:7" ht="12.75" customHeight="1" x14ac:dyDescent="0.25">
      <c r="E382" s="19"/>
      <c r="G382" s="144"/>
    </row>
    <row r="383" spans="5:7" ht="12.75" customHeight="1" x14ac:dyDescent="0.25">
      <c r="E383" s="19"/>
      <c r="G383" s="144"/>
    </row>
    <row r="384" spans="5:7" ht="12.75" customHeight="1" x14ac:dyDescent="0.25">
      <c r="E384" s="19"/>
      <c r="G384" s="144"/>
    </row>
    <row r="385" spans="5:7" ht="12.75" customHeight="1" x14ac:dyDescent="0.25">
      <c r="E385" s="19"/>
      <c r="G385" s="144"/>
    </row>
    <row r="386" spans="5:7" ht="12.75" customHeight="1" x14ac:dyDescent="0.25">
      <c r="E386" s="19"/>
      <c r="G386" s="144"/>
    </row>
    <row r="387" spans="5:7" ht="12.75" customHeight="1" x14ac:dyDescent="0.25">
      <c r="E387" s="19"/>
      <c r="G387" s="144"/>
    </row>
    <row r="388" spans="5:7" ht="12.75" customHeight="1" x14ac:dyDescent="0.25">
      <c r="E388" s="19"/>
      <c r="G388" s="144"/>
    </row>
    <row r="389" spans="5:7" ht="12.75" customHeight="1" x14ac:dyDescent="0.25">
      <c r="E389" s="19"/>
      <c r="G389" s="144"/>
    </row>
    <row r="390" spans="5:7" ht="12.75" customHeight="1" x14ac:dyDescent="0.25">
      <c r="E390" s="19"/>
      <c r="G390" s="144"/>
    </row>
    <row r="391" spans="5:7" ht="12.75" customHeight="1" x14ac:dyDescent="0.25">
      <c r="E391" s="19"/>
      <c r="G391" s="144"/>
    </row>
    <row r="392" spans="5:7" ht="12.75" customHeight="1" x14ac:dyDescent="0.25">
      <c r="E392" s="19"/>
      <c r="G392" s="144"/>
    </row>
    <row r="393" spans="5:7" ht="12.75" customHeight="1" x14ac:dyDescent="0.25">
      <c r="E393" s="19"/>
      <c r="G393" s="144"/>
    </row>
    <row r="394" spans="5:7" ht="12.75" customHeight="1" x14ac:dyDescent="0.25">
      <c r="E394" s="19"/>
      <c r="G394" s="144"/>
    </row>
    <row r="395" spans="5:7" ht="12.75" customHeight="1" x14ac:dyDescent="0.25">
      <c r="E395" s="19"/>
      <c r="G395" s="144"/>
    </row>
    <row r="396" spans="5:7" ht="12.75" customHeight="1" x14ac:dyDescent="0.25">
      <c r="E396" s="19"/>
      <c r="G396" s="144"/>
    </row>
    <row r="397" spans="5:7" ht="12.75" customHeight="1" x14ac:dyDescent="0.25">
      <c r="E397" s="19"/>
      <c r="G397" s="144"/>
    </row>
    <row r="398" spans="5:7" ht="12.75" customHeight="1" x14ac:dyDescent="0.25">
      <c r="E398" s="19"/>
      <c r="G398" s="144"/>
    </row>
    <row r="399" spans="5:7" ht="12.75" customHeight="1" x14ac:dyDescent="0.25">
      <c r="E399" s="19"/>
      <c r="G399" s="144"/>
    </row>
    <row r="400" spans="5:7" ht="12.75" customHeight="1" x14ac:dyDescent="0.25">
      <c r="E400" s="19"/>
      <c r="G400" s="144"/>
    </row>
    <row r="401" spans="5:7" ht="12.75" customHeight="1" x14ac:dyDescent="0.25">
      <c r="E401" s="19"/>
      <c r="G401" s="144"/>
    </row>
    <row r="402" spans="5:7" ht="12.75" customHeight="1" x14ac:dyDescent="0.25">
      <c r="E402" s="19"/>
      <c r="G402" s="144"/>
    </row>
    <row r="403" spans="5:7" ht="12.75" customHeight="1" x14ac:dyDescent="0.25">
      <c r="E403" s="19"/>
      <c r="G403" s="144"/>
    </row>
    <row r="404" spans="5:7" ht="12.75" customHeight="1" x14ac:dyDescent="0.25">
      <c r="E404" s="19"/>
      <c r="G404" s="144"/>
    </row>
    <row r="405" spans="5:7" ht="12.75" customHeight="1" x14ac:dyDescent="0.25">
      <c r="E405" s="19"/>
      <c r="G405" s="144"/>
    </row>
    <row r="406" spans="5:7" ht="12.75" customHeight="1" x14ac:dyDescent="0.25">
      <c r="E406" s="19"/>
      <c r="G406" s="144"/>
    </row>
    <row r="407" spans="5:7" ht="12.75" customHeight="1" x14ac:dyDescent="0.25">
      <c r="E407" s="19"/>
      <c r="G407" s="144"/>
    </row>
    <row r="408" spans="5:7" ht="12.75" customHeight="1" x14ac:dyDescent="0.25">
      <c r="E408" s="19"/>
      <c r="G408" s="144"/>
    </row>
    <row r="409" spans="5:7" ht="12.75" customHeight="1" x14ac:dyDescent="0.25">
      <c r="E409" s="19"/>
      <c r="G409" s="144"/>
    </row>
    <row r="410" spans="5:7" ht="12.75" customHeight="1" x14ac:dyDescent="0.25">
      <c r="E410" s="19"/>
      <c r="G410" s="144"/>
    </row>
    <row r="411" spans="5:7" ht="12.75" customHeight="1" x14ac:dyDescent="0.25">
      <c r="E411" s="19"/>
      <c r="G411" s="144"/>
    </row>
    <row r="412" spans="5:7" ht="12.75" customHeight="1" x14ac:dyDescent="0.25">
      <c r="E412" s="19"/>
      <c r="G412" s="144"/>
    </row>
    <row r="413" spans="5:7" ht="12.75" customHeight="1" x14ac:dyDescent="0.25">
      <c r="E413" s="19"/>
      <c r="G413" s="144"/>
    </row>
    <row r="414" spans="5:7" ht="12.75" customHeight="1" x14ac:dyDescent="0.25">
      <c r="E414" s="19"/>
      <c r="G414" s="144"/>
    </row>
    <row r="415" spans="5:7" ht="12.75" customHeight="1" x14ac:dyDescent="0.25">
      <c r="E415" s="19"/>
      <c r="G415" s="144"/>
    </row>
    <row r="416" spans="5:7" ht="12.75" customHeight="1" x14ac:dyDescent="0.25">
      <c r="E416" s="19"/>
      <c r="G416" s="144"/>
    </row>
    <row r="417" spans="5:7" ht="12.75" customHeight="1" x14ac:dyDescent="0.25">
      <c r="E417" s="19"/>
      <c r="G417" s="144"/>
    </row>
    <row r="418" spans="5:7" ht="12.75" customHeight="1" x14ac:dyDescent="0.25">
      <c r="E418" s="19"/>
      <c r="G418" s="144"/>
    </row>
    <row r="419" spans="5:7" ht="12.75" customHeight="1" x14ac:dyDescent="0.25">
      <c r="E419" s="19"/>
      <c r="G419" s="144"/>
    </row>
    <row r="420" spans="5:7" ht="12.75" customHeight="1" x14ac:dyDescent="0.25">
      <c r="E420" s="19"/>
      <c r="G420" s="144"/>
    </row>
    <row r="421" spans="5:7" ht="12.75" customHeight="1" x14ac:dyDescent="0.25">
      <c r="E421" s="19"/>
      <c r="G421" s="144"/>
    </row>
    <row r="422" spans="5:7" ht="12.75" customHeight="1" x14ac:dyDescent="0.25">
      <c r="E422" s="19"/>
      <c r="G422" s="144"/>
    </row>
    <row r="423" spans="5:7" ht="12.75" customHeight="1" x14ac:dyDescent="0.25">
      <c r="E423" s="19"/>
      <c r="G423" s="144"/>
    </row>
    <row r="424" spans="5:7" ht="12.75" customHeight="1" x14ac:dyDescent="0.25">
      <c r="E424" s="19"/>
      <c r="G424" s="144"/>
    </row>
    <row r="425" spans="5:7" ht="12.75" customHeight="1" x14ac:dyDescent="0.25">
      <c r="E425" s="19"/>
      <c r="G425" s="144"/>
    </row>
    <row r="426" spans="5:7" ht="12.75" customHeight="1" x14ac:dyDescent="0.25">
      <c r="E426" s="19"/>
      <c r="G426" s="144"/>
    </row>
    <row r="427" spans="5:7" ht="12.75" customHeight="1" x14ac:dyDescent="0.25">
      <c r="E427" s="19"/>
      <c r="G427" s="144"/>
    </row>
    <row r="428" spans="5:7" ht="12.75" customHeight="1" x14ac:dyDescent="0.25">
      <c r="E428" s="19"/>
      <c r="G428" s="144"/>
    </row>
    <row r="429" spans="5:7" ht="12.75" customHeight="1" x14ac:dyDescent="0.25">
      <c r="E429" s="19"/>
      <c r="G429" s="144"/>
    </row>
    <row r="430" spans="5:7" ht="12.75" customHeight="1" x14ac:dyDescent="0.25">
      <c r="E430" s="19"/>
      <c r="G430" s="144"/>
    </row>
    <row r="431" spans="5:7" ht="12.75" customHeight="1" x14ac:dyDescent="0.25">
      <c r="E431" s="19"/>
      <c r="G431" s="144"/>
    </row>
    <row r="432" spans="5:7" ht="12.75" customHeight="1" x14ac:dyDescent="0.25">
      <c r="E432" s="19"/>
      <c r="G432" s="144"/>
    </row>
    <row r="433" spans="5:7" ht="12.75" customHeight="1" x14ac:dyDescent="0.25">
      <c r="E433" s="19"/>
      <c r="G433" s="144"/>
    </row>
    <row r="434" spans="5:7" ht="12.75" customHeight="1" x14ac:dyDescent="0.25">
      <c r="E434" s="19"/>
      <c r="G434" s="144"/>
    </row>
    <row r="435" spans="5:7" ht="12.75" customHeight="1" x14ac:dyDescent="0.25">
      <c r="E435" s="19"/>
      <c r="G435" s="144"/>
    </row>
    <row r="436" spans="5:7" ht="12.75" customHeight="1" x14ac:dyDescent="0.25">
      <c r="E436" s="19"/>
      <c r="G436" s="144"/>
    </row>
    <row r="437" spans="5:7" ht="12.75" customHeight="1" x14ac:dyDescent="0.25">
      <c r="E437" s="19"/>
      <c r="G437" s="144"/>
    </row>
    <row r="438" spans="5:7" ht="12.75" customHeight="1" x14ac:dyDescent="0.25">
      <c r="E438" s="19"/>
      <c r="G438" s="144"/>
    </row>
    <row r="439" spans="5:7" ht="12.75" customHeight="1" x14ac:dyDescent="0.25">
      <c r="E439" s="19"/>
      <c r="G439" s="144"/>
    </row>
    <row r="440" spans="5:7" ht="12.75" customHeight="1" x14ac:dyDescent="0.25">
      <c r="E440" s="19"/>
      <c r="G440" s="144"/>
    </row>
    <row r="441" spans="5:7" ht="12.75" customHeight="1" x14ac:dyDescent="0.25">
      <c r="E441" s="19"/>
      <c r="G441" s="144"/>
    </row>
    <row r="442" spans="5:7" ht="12.75" customHeight="1" x14ac:dyDescent="0.25">
      <c r="E442" s="19"/>
      <c r="G442" s="144"/>
    </row>
    <row r="443" spans="5:7" ht="12.75" customHeight="1" x14ac:dyDescent="0.25">
      <c r="E443" s="19"/>
      <c r="G443" s="144"/>
    </row>
    <row r="444" spans="5:7" ht="12.75" customHeight="1" x14ac:dyDescent="0.25">
      <c r="E444" s="19"/>
      <c r="G444" s="144"/>
    </row>
    <row r="445" spans="5:7" ht="12.75" customHeight="1" x14ac:dyDescent="0.25">
      <c r="E445" s="19"/>
      <c r="G445" s="144"/>
    </row>
    <row r="446" spans="5:7" ht="12.75" customHeight="1" x14ac:dyDescent="0.25">
      <c r="E446" s="19"/>
      <c r="G446" s="144"/>
    </row>
    <row r="447" spans="5:7" ht="12.75" customHeight="1" x14ac:dyDescent="0.25">
      <c r="E447" s="19"/>
      <c r="G447" s="144"/>
    </row>
    <row r="448" spans="5:7" ht="12.75" customHeight="1" x14ac:dyDescent="0.25">
      <c r="E448" s="19"/>
      <c r="G448" s="144"/>
    </row>
    <row r="449" spans="5:7" ht="12.75" customHeight="1" x14ac:dyDescent="0.25">
      <c r="E449" s="19"/>
      <c r="G449" s="144"/>
    </row>
    <row r="450" spans="5:7" ht="12.75" customHeight="1" x14ac:dyDescent="0.25">
      <c r="E450" s="19"/>
      <c r="G450" s="144"/>
    </row>
    <row r="451" spans="5:7" ht="12.75" customHeight="1" x14ac:dyDescent="0.25">
      <c r="E451" s="19"/>
      <c r="G451" s="144"/>
    </row>
    <row r="452" spans="5:7" ht="12.75" customHeight="1" x14ac:dyDescent="0.25">
      <c r="E452" s="19"/>
      <c r="G452" s="144"/>
    </row>
    <row r="453" spans="5:7" ht="12.75" customHeight="1" x14ac:dyDescent="0.25">
      <c r="E453" s="19"/>
      <c r="G453" s="144"/>
    </row>
    <row r="454" spans="5:7" ht="12.75" customHeight="1" x14ac:dyDescent="0.25">
      <c r="E454" s="19"/>
      <c r="G454" s="144"/>
    </row>
    <row r="455" spans="5:7" ht="12.75" customHeight="1" x14ac:dyDescent="0.25">
      <c r="E455" s="19"/>
      <c r="G455" s="144"/>
    </row>
    <row r="456" spans="5:7" ht="12.75" customHeight="1" x14ac:dyDescent="0.25">
      <c r="E456" s="19"/>
      <c r="G456" s="144"/>
    </row>
    <row r="457" spans="5:7" ht="12.75" customHeight="1" x14ac:dyDescent="0.25">
      <c r="E457" s="19"/>
      <c r="G457" s="144"/>
    </row>
    <row r="458" spans="5:7" ht="12.75" customHeight="1" x14ac:dyDescent="0.25">
      <c r="E458" s="19"/>
      <c r="G458" s="144"/>
    </row>
    <row r="459" spans="5:7" ht="12.75" customHeight="1" x14ac:dyDescent="0.25">
      <c r="E459" s="19"/>
      <c r="G459" s="144"/>
    </row>
    <row r="460" spans="5:7" ht="12.75" customHeight="1" x14ac:dyDescent="0.25">
      <c r="E460" s="19"/>
      <c r="G460" s="144"/>
    </row>
    <row r="461" spans="5:7" ht="12.75" customHeight="1" x14ac:dyDescent="0.25">
      <c r="E461" s="19"/>
      <c r="G461" s="144"/>
    </row>
    <row r="462" spans="5:7" ht="12.75" customHeight="1" x14ac:dyDescent="0.25">
      <c r="E462" s="19"/>
      <c r="G462" s="144"/>
    </row>
    <row r="463" spans="5:7" ht="12.75" customHeight="1" x14ac:dyDescent="0.25">
      <c r="E463" s="19"/>
      <c r="G463" s="144"/>
    </row>
    <row r="464" spans="5:7" ht="12.75" customHeight="1" x14ac:dyDescent="0.25">
      <c r="E464" s="19"/>
      <c r="G464" s="144"/>
    </row>
    <row r="465" spans="5:7" ht="12.75" customHeight="1" x14ac:dyDescent="0.25">
      <c r="E465" s="19"/>
      <c r="G465" s="144"/>
    </row>
    <row r="466" spans="5:7" ht="12.75" customHeight="1" x14ac:dyDescent="0.25">
      <c r="E466" s="19"/>
      <c r="G466" s="144"/>
    </row>
    <row r="467" spans="5:7" ht="12.75" customHeight="1" x14ac:dyDescent="0.25">
      <c r="E467" s="19"/>
      <c r="G467" s="144"/>
    </row>
    <row r="468" spans="5:7" ht="12.75" customHeight="1" x14ac:dyDescent="0.25">
      <c r="E468" s="19"/>
      <c r="G468" s="144"/>
    </row>
    <row r="469" spans="5:7" ht="12.75" customHeight="1" x14ac:dyDescent="0.25">
      <c r="E469" s="19"/>
      <c r="G469" s="144"/>
    </row>
    <row r="470" spans="5:7" ht="12.75" customHeight="1" x14ac:dyDescent="0.25">
      <c r="E470" s="19"/>
      <c r="G470" s="144"/>
    </row>
    <row r="471" spans="5:7" ht="12.75" customHeight="1" x14ac:dyDescent="0.25">
      <c r="E471" s="19"/>
      <c r="G471" s="144"/>
    </row>
    <row r="472" spans="5:7" ht="12.75" customHeight="1" x14ac:dyDescent="0.25">
      <c r="E472" s="19"/>
      <c r="G472" s="144"/>
    </row>
    <row r="473" spans="5:7" ht="12.75" customHeight="1" x14ac:dyDescent="0.25">
      <c r="E473" s="19"/>
      <c r="G473" s="144"/>
    </row>
    <row r="474" spans="5:7" ht="12.75" customHeight="1" x14ac:dyDescent="0.25">
      <c r="E474" s="19"/>
      <c r="G474" s="144"/>
    </row>
    <row r="475" spans="5:7" ht="12.75" customHeight="1" x14ac:dyDescent="0.25">
      <c r="E475" s="19"/>
      <c r="G475" s="144"/>
    </row>
    <row r="476" spans="5:7" ht="12.75" customHeight="1" x14ac:dyDescent="0.25">
      <c r="E476" s="19"/>
      <c r="G476" s="144"/>
    </row>
    <row r="477" spans="5:7" ht="12.75" customHeight="1" x14ac:dyDescent="0.25">
      <c r="E477" s="19"/>
      <c r="G477" s="144"/>
    </row>
    <row r="478" spans="5:7" ht="12.75" customHeight="1" x14ac:dyDescent="0.25">
      <c r="E478" s="19"/>
      <c r="G478" s="144"/>
    </row>
    <row r="479" spans="5:7" ht="12.75" customHeight="1" x14ac:dyDescent="0.25">
      <c r="E479" s="19"/>
      <c r="G479" s="144"/>
    </row>
    <row r="480" spans="5:7" ht="12.75" customHeight="1" x14ac:dyDescent="0.25">
      <c r="E480" s="19"/>
      <c r="G480" s="144"/>
    </row>
    <row r="481" spans="5:7" ht="12.75" customHeight="1" x14ac:dyDescent="0.25">
      <c r="E481" s="19"/>
      <c r="G481" s="144"/>
    </row>
    <row r="482" spans="5:7" ht="12.75" customHeight="1" x14ac:dyDescent="0.25">
      <c r="E482" s="19"/>
      <c r="G482" s="144"/>
    </row>
    <row r="483" spans="5:7" ht="12.75" customHeight="1" x14ac:dyDescent="0.25">
      <c r="E483" s="19"/>
      <c r="G483" s="144"/>
    </row>
    <row r="484" spans="5:7" ht="12.75" customHeight="1" x14ac:dyDescent="0.25">
      <c r="E484" s="19"/>
      <c r="G484" s="144"/>
    </row>
    <row r="485" spans="5:7" ht="12.75" customHeight="1" x14ac:dyDescent="0.25">
      <c r="E485" s="19"/>
      <c r="G485" s="144"/>
    </row>
    <row r="486" spans="5:7" ht="12.75" customHeight="1" x14ac:dyDescent="0.25">
      <c r="E486" s="19"/>
      <c r="G486" s="144"/>
    </row>
    <row r="487" spans="5:7" ht="12.75" customHeight="1" x14ac:dyDescent="0.25">
      <c r="E487" s="19"/>
      <c r="G487" s="144"/>
    </row>
    <row r="488" spans="5:7" ht="12.75" customHeight="1" x14ac:dyDescent="0.25">
      <c r="E488" s="19"/>
      <c r="G488" s="144"/>
    </row>
    <row r="489" spans="5:7" ht="12.75" customHeight="1" x14ac:dyDescent="0.25">
      <c r="E489" s="19"/>
      <c r="G489" s="144"/>
    </row>
    <row r="490" spans="5:7" ht="12.75" customHeight="1" x14ac:dyDescent="0.25">
      <c r="E490" s="19"/>
      <c r="G490" s="144"/>
    </row>
    <row r="491" spans="5:7" ht="12.75" customHeight="1" x14ac:dyDescent="0.25">
      <c r="E491" s="19"/>
      <c r="G491" s="144"/>
    </row>
    <row r="492" spans="5:7" ht="12.75" customHeight="1" x14ac:dyDescent="0.25">
      <c r="E492" s="19"/>
      <c r="G492" s="144"/>
    </row>
    <row r="493" spans="5:7" ht="12.75" customHeight="1" x14ac:dyDescent="0.25">
      <c r="E493" s="19"/>
      <c r="G493" s="144"/>
    </row>
    <row r="494" spans="5:7" ht="12.75" customHeight="1" x14ac:dyDescent="0.25">
      <c r="E494" s="19"/>
      <c r="G494" s="144"/>
    </row>
    <row r="495" spans="5:7" ht="12.75" customHeight="1" x14ac:dyDescent="0.25">
      <c r="E495" s="19"/>
      <c r="G495" s="144"/>
    </row>
    <row r="496" spans="5:7" ht="12.75" customHeight="1" x14ac:dyDescent="0.25">
      <c r="E496" s="19"/>
      <c r="G496" s="144"/>
    </row>
    <row r="497" spans="5:7" ht="12.75" customHeight="1" x14ac:dyDescent="0.25">
      <c r="E497" s="19"/>
      <c r="G497" s="144"/>
    </row>
    <row r="498" spans="5:7" ht="12.75" customHeight="1" x14ac:dyDescent="0.25">
      <c r="E498" s="19"/>
      <c r="G498" s="144"/>
    </row>
    <row r="499" spans="5:7" ht="12.75" customHeight="1" x14ac:dyDescent="0.25">
      <c r="E499" s="19"/>
      <c r="G499" s="144"/>
    </row>
    <row r="500" spans="5:7" ht="12.75" customHeight="1" x14ac:dyDescent="0.25">
      <c r="E500" s="19"/>
      <c r="G500" s="144"/>
    </row>
    <row r="501" spans="5:7" ht="12.75" customHeight="1" x14ac:dyDescent="0.25">
      <c r="E501" s="19"/>
      <c r="G501" s="144"/>
    </row>
    <row r="502" spans="5:7" ht="12.75" customHeight="1" x14ac:dyDescent="0.25">
      <c r="E502" s="19"/>
      <c r="G502" s="144"/>
    </row>
    <row r="503" spans="5:7" ht="12.75" customHeight="1" x14ac:dyDescent="0.25">
      <c r="E503" s="19"/>
      <c r="G503" s="144"/>
    </row>
    <row r="504" spans="5:7" ht="12.75" customHeight="1" x14ac:dyDescent="0.25">
      <c r="E504" s="19"/>
      <c r="G504" s="144"/>
    </row>
    <row r="505" spans="5:7" ht="12.75" customHeight="1" x14ac:dyDescent="0.25">
      <c r="E505" s="19"/>
      <c r="G505" s="144"/>
    </row>
    <row r="506" spans="5:7" ht="12.75" customHeight="1" x14ac:dyDescent="0.25">
      <c r="E506" s="19"/>
      <c r="G506" s="144"/>
    </row>
    <row r="507" spans="5:7" ht="12.75" customHeight="1" x14ac:dyDescent="0.25">
      <c r="E507" s="19"/>
      <c r="G507" s="144"/>
    </row>
    <row r="508" spans="5:7" ht="12.75" customHeight="1" x14ac:dyDescent="0.25">
      <c r="E508" s="19"/>
      <c r="G508" s="144"/>
    </row>
    <row r="509" spans="5:7" ht="12.75" customHeight="1" x14ac:dyDescent="0.25">
      <c r="E509" s="19"/>
      <c r="G509" s="144"/>
    </row>
    <row r="510" spans="5:7" ht="12.75" customHeight="1" x14ac:dyDescent="0.25">
      <c r="E510" s="19"/>
      <c r="G510" s="144"/>
    </row>
    <row r="511" spans="5:7" ht="12.75" customHeight="1" x14ac:dyDescent="0.25">
      <c r="E511" s="19"/>
      <c r="G511" s="144"/>
    </row>
    <row r="512" spans="5:7" ht="12.75" customHeight="1" x14ac:dyDescent="0.25">
      <c r="E512" s="19"/>
      <c r="G512" s="144"/>
    </row>
    <row r="513" spans="5:7" ht="12.75" customHeight="1" x14ac:dyDescent="0.25">
      <c r="E513" s="19"/>
      <c r="G513" s="144"/>
    </row>
    <row r="514" spans="5:7" ht="12.75" customHeight="1" x14ac:dyDescent="0.25">
      <c r="E514" s="19"/>
      <c r="G514" s="144"/>
    </row>
    <row r="515" spans="5:7" ht="12.75" customHeight="1" x14ac:dyDescent="0.25">
      <c r="E515" s="19"/>
      <c r="G515" s="144"/>
    </row>
    <row r="516" spans="5:7" ht="12.75" customHeight="1" x14ac:dyDescent="0.25">
      <c r="E516" s="19"/>
      <c r="G516" s="144"/>
    </row>
    <row r="517" spans="5:7" ht="12.75" customHeight="1" x14ac:dyDescent="0.25">
      <c r="E517" s="19"/>
      <c r="G517" s="144"/>
    </row>
    <row r="518" spans="5:7" ht="12.75" customHeight="1" x14ac:dyDescent="0.25">
      <c r="E518" s="19"/>
      <c r="G518" s="144"/>
    </row>
    <row r="519" spans="5:7" ht="12.75" customHeight="1" x14ac:dyDescent="0.25">
      <c r="E519" s="19"/>
      <c r="G519" s="144"/>
    </row>
    <row r="520" spans="5:7" ht="12.75" customHeight="1" x14ac:dyDescent="0.25">
      <c r="E520" s="19"/>
      <c r="G520" s="144"/>
    </row>
    <row r="521" spans="5:7" ht="12.75" customHeight="1" x14ac:dyDescent="0.25">
      <c r="E521" s="19"/>
      <c r="G521" s="144"/>
    </row>
    <row r="522" spans="5:7" ht="12.75" customHeight="1" x14ac:dyDescent="0.25">
      <c r="E522" s="19"/>
      <c r="G522" s="144"/>
    </row>
    <row r="523" spans="5:7" ht="12.75" customHeight="1" x14ac:dyDescent="0.25">
      <c r="E523" s="19"/>
      <c r="G523" s="144"/>
    </row>
    <row r="524" spans="5:7" ht="12.75" customHeight="1" x14ac:dyDescent="0.25">
      <c r="E524" s="19"/>
      <c r="G524" s="144"/>
    </row>
    <row r="525" spans="5:7" ht="12.75" customHeight="1" x14ac:dyDescent="0.25">
      <c r="E525" s="19"/>
      <c r="G525" s="144"/>
    </row>
    <row r="526" spans="5:7" ht="12.75" customHeight="1" x14ac:dyDescent="0.25">
      <c r="E526" s="19"/>
      <c r="G526" s="144"/>
    </row>
    <row r="527" spans="5:7" ht="12.75" customHeight="1" x14ac:dyDescent="0.25">
      <c r="E527" s="19"/>
      <c r="G527" s="144"/>
    </row>
    <row r="528" spans="5:7" ht="12.75" customHeight="1" x14ac:dyDescent="0.25">
      <c r="E528" s="19"/>
      <c r="G528" s="144"/>
    </row>
    <row r="529" spans="5:7" ht="12.75" customHeight="1" x14ac:dyDescent="0.25">
      <c r="E529" s="19"/>
      <c r="G529" s="144"/>
    </row>
    <row r="530" spans="5:7" ht="12.75" customHeight="1" x14ac:dyDescent="0.25">
      <c r="E530" s="19"/>
      <c r="G530" s="144"/>
    </row>
    <row r="531" spans="5:7" ht="12.75" customHeight="1" x14ac:dyDescent="0.25">
      <c r="E531" s="19"/>
      <c r="G531" s="144"/>
    </row>
    <row r="532" spans="5:7" ht="12.75" customHeight="1" x14ac:dyDescent="0.25">
      <c r="E532" s="19"/>
      <c r="G532" s="144"/>
    </row>
    <row r="533" spans="5:7" ht="12.75" customHeight="1" x14ac:dyDescent="0.25">
      <c r="E533" s="19"/>
      <c r="G533" s="144"/>
    </row>
    <row r="534" spans="5:7" ht="12.75" customHeight="1" x14ac:dyDescent="0.25">
      <c r="E534" s="19"/>
      <c r="G534" s="144"/>
    </row>
    <row r="535" spans="5:7" ht="12.75" customHeight="1" x14ac:dyDescent="0.25">
      <c r="E535" s="19"/>
      <c r="G535" s="144"/>
    </row>
    <row r="536" spans="5:7" ht="12.75" customHeight="1" x14ac:dyDescent="0.25">
      <c r="E536" s="19"/>
      <c r="G536" s="144"/>
    </row>
    <row r="537" spans="5:7" ht="12.75" customHeight="1" x14ac:dyDescent="0.25">
      <c r="E537" s="19"/>
      <c r="G537" s="144"/>
    </row>
    <row r="538" spans="5:7" ht="12.75" customHeight="1" x14ac:dyDescent="0.25">
      <c r="E538" s="19"/>
      <c r="G538" s="144"/>
    </row>
    <row r="539" spans="5:7" ht="12.75" customHeight="1" x14ac:dyDescent="0.25">
      <c r="E539" s="19"/>
      <c r="G539" s="144"/>
    </row>
    <row r="540" spans="5:7" ht="12.75" customHeight="1" x14ac:dyDescent="0.25">
      <c r="E540" s="19"/>
      <c r="G540" s="144"/>
    </row>
    <row r="541" spans="5:7" ht="12.75" customHeight="1" x14ac:dyDescent="0.25">
      <c r="E541" s="19"/>
      <c r="G541" s="144"/>
    </row>
    <row r="542" spans="5:7" ht="12.75" customHeight="1" x14ac:dyDescent="0.25">
      <c r="E542" s="19"/>
      <c r="G542" s="144"/>
    </row>
    <row r="543" spans="5:7" ht="12.75" customHeight="1" x14ac:dyDescent="0.25">
      <c r="E543" s="19"/>
      <c r="G543" s="144"/>
    </row>
    <row r="544" spans="5:7" ht="12.75" customHeight="1" x14ac:dyDescent="0.25">
      <c r="E544" s="19"/>
      <c r="G544" s="144"/>
    </row>
    <row r="545" spans="5:7" ht="12.75" customHeight="1" x14ac:dyDescent="0.25">
      <c r="E545" s="19"/>
      <c r="G545" s="144"/>
    </row>
    <row r="546" spans="5:7" ht="12.75" customHeight="1" x14ac:dyDescent="0.25">
      <c r="E546" s="19"/>
      <c r="G546" s="144"/>
    </row>
    <row r="547" spans="5:7" ht="12.75" customHeight="1" x14ac:dyDescent="0.25">
      <c r="E547" s="19"/>
      <c r="G547" s="144"/>
    </row>
    <row r="548" spans="5:7" ht="12.75" customHeight="1" x14ac:dyDescent="0.25">
      <c r="E548" s="19"/>
      <c r="G548" s="144"/>
    </row>
    <row r="549" spans="5:7" ht="12.75" customHeight="1" x14ac:dyDescent="0.25">
      <c r="E549" s="19"/>
      <c r="G549" s="144"/>
    </row>
    <row r="550" spans="5:7" ht="12.75" customHeight="1" x14ac:dyDescent="0.25">
      <c r="E550" s="19"/>
      <c r="G550" s="144"/>
    </row>
    <row r="551" spans="5:7" ht="12.75" customHeight="1" x14ac:dyDescent="0.25">
      <c r="E551" s="19"/>
      <c r="G551" s="144"/>
    </row>
    <row r="552" spans="5:7" ht="12.75" customHeight="1" x14ac:dyDescent="0.25">
      <c r="E552" s="19"/>
      <c r="G552" s="144"/>
    </row>
    <row r="553" spans="5:7" ht="12.75" customHeight="1" x14ac:dyDescent="0.25">
      <c r="E553" s="19"/>
      <c r="G553" s="144"/>
    </row>
    <row r="554" spans="5:7" ht="12.75" customHeight="1" x14ac:dyDescent="0.25">
      <c r="E554" s="19"/>
      <c r="G554" s="144"/>
    </row>
    <row r="555" spans="5:7" ht="12.75" customHeight="1" x14ac:dyDescent="0.25">
      <c r="E555" s="19"/>
      <c r="G555" s="144"/>
    </row>
    <row r="556" spans="5:7" ht="12.75" customHeight="1" x14ac:dyDescent="0.25">
      <c r="E556" s="19"/>
      <c r="G556" s="144"/>
    </row>
    <row r="557" spans="5:7" ht="12.75" customHeight="1" x14ac:dyDescent="0.25">
      <c r="E557" s="19"/>
      <c r="G557" s="144"/>
    </row>
    <row r="558" spans="5:7" ht="12.75" customHeight="1" x14ac:dyDescent="0.25">
      <c r="E558" s="19"/>
      <c r="G558" s="144"/>
    </row>
    <row r="559" spans="5:7" ht="12.75" customHeight="1" x14ac:dyDescent="0.25">
      <c r="E559" s="19"/>
      <c r="G559" s="144"/>
    </row>
    <row r="560" spans="5:7" ht="12.75" customHeight="1" x14ac:dyDescent="0.25">
      <c r="E560" s="19"/>
      <c r="G560" s="144"/>
    </row>
    <row r="561" spans="5:7" ht="12.75" customHeight="1" x14ac:dyDescent="0.25">
      <c r="E561" s="19"/>
      <c r="G561" s="144"/>
    </row>
    <row r="562" spans="5:7" ht="12.75" customHeight="1" x14ac:dyDescent="0.25">
      <c r="E562" s="19"/>
      <c r="G562" s="144"/>
    </row>
    <row r="563" spans="5:7" ht="12.75" customHeight="1" x14ac:dyDescent="0.25">
      <c r="E563" s="19"/>
      <c r="G563" s="144"/>
    </row>
    <row r="564" spans="5:7" ht="12.75" customHeight="1" x14ac:dyDescent="0.25">
      <c r="E564" s="19"/>
      <c r="G564" s="144"/>
    </row>
    <row r="565" spans="5:7" ht="12.75" customHeight="1" x14ac:dyDescent="0.25">
      <c r="E565" s="19"/>
      <c r="G565" s="144"/>
    </row>
    <row r="566" spans="5:7" ht="12.75" customHeight="1" x14ac:dyDescent="0.25">
      <c r="E566" s="19"/>
      <c r="G566" s="144"/>
    </row>
    <row r="567" spans="5:7" ht="12.75" customHeight="1" x14ac:dyDescent="0.25">
      <c r="E567" s="19"/>
      <c r="G567" s="144"/>
    </row>
    <row r="568" spans="5:7" ht="12.75" customHeight="1" x14ac:dyDescent="0.25">
      <c r="E568" s="19"/>
      <c r="G568" s="144"/>
    </row>
    <row r="569" spans="5:7" ht="12.75" customHeight="1" x14ac:dyDescent="0.25">
      <c r="E569" s="19"/>
      <c r="G569" s="144"/>
    </row>
    <row r="570" spans="5:7" ht="12.75" customHeight="1" x14ac:dyDescent="0.25">
      <c r="E570" s="19"/>
      <c r="G570" s="144"/>
    </row>
    <row r="571" spans="5:7" ht="12.75" customHeight="1" x14ac:dyDescent="0.25">
      <c r="E571" s="19"/>
      <c r="G571" s="144"/>
    </row>
    <row r="572" spans="5:7" ht="12.75" customHeight="1" x14ac:dyDescent="0.25">
      <c r="E572" s="19"/>
      <c r="G572" s="144"/>
    </row>
    <row r="573" spans="5:7" ht="12.75" customHeight="1" x14ac:dyDescent="0.25">
      <c r="E573" s="19"/>
      <c r="G573" s="144"/>
    </row>
    <row r="574" spans="5:7" ht="12.75" customHeight="1" x14ac:dyDescent="0.25">
      <c r="E574" s="19"/>
      <c r="G574" s="144"/>
    </row>
    <row r="575" spans="5:7" ht="12.75" customHeight="1" x14ac:dyDescent="0.25">
      <c r="E575" s="19"/>
      <c r="G575" s="144"/>
    </row>
    <row r="576" spans="5:7" ht="12.75" customHeight="1" x14ac:dyDescent="0.25">
      <c r="E576" s="19"/>
      <c r="G576" s="144"/>
    </row>
    <row r="577" spans="5:7" ht="12.75" customHeight="1" x14ac:dyDescent="0.25">
      <c r="E577" s="19"/>
      <c r="G577" s="144"/>
    </row>
    <row r="578" spans="5:7" ht="12.75" customHeight="1" x14ac:dyDescent="0.25">
      <c r="E578" s="19"/>
      <c r="G578" s="144"/>
    </row>
    <row r="579" spans="5:7" ht="12.75" customHeight="1" x14ac:dyDescent="0.25">
      <c r="E579" s="19"/>
      <c r="G579" s="144"/>
    </row>
    <row r="580" spans="5:7" ht="12.75" customHeight="1" x14ac:dyDescent="0.25">
      <c r="E580" s="19"/>
      <c r="G580" s="144"/>
    </row>
    <row r="581" spans="5:7" ht="12.75" customHeight="1" x14ac:dyDescent="0.25">
      <c r="E581" s="19"/>
      <c r="G581" s="144"/>
    </row>
    <row r="582" spans="5:7" ht="12.75" customHeight="1" x14ac:dyDescent="0.25">
      <c r="E582" s="19"/>
      <c r="G582" s="144"/>
    </row>
    <row r="583" spans="5:7" ht="12.75" customHeight="1" x14ac:dyDescent="0.25">
      <c r="E583" s="19"/>
      <c r="G583" s="144"/>
    </row>
    <row r="584" spans="5:7" ht="12.75" customHeight="1" x14ac:dyDescent="0.25">
      <c r="E584" s="19"/>
      <c r="G584" s="144"/>
    </row>
    <row r="585" spans="5:7" ht="12.75" customHeight="1" x14ac:dyDescent="0.25">
      <c r="E585" s="19"/>
      <c r="G585" s="144"/>
    </row>
    <row r="586" spans="5:7" ht="12.75" customHeight="1" x14ac:dyDescent="0.25">
      <c r="E586" s="19"/>
      <c r="G586" s="144"/>
    </row>
    <row r="587" spans="5:7" ht="12.75" customHeight="1" x14ac:dyDescent="0.25">
      <c r="E587" s="19"/>
      <c r="G587" s="144"/>
    </row>
    <row r="588" spans="5:7" ht="12.75" customHeight="1" x14ac:dyDescent="0.25">
      <c r="E588" s="19"/>
      <c r="G588" s="144"/>
    </row>
    <row r="589" spans="5:7" ht="12.75" customHeight="1" x14ac:dyDescent="0.25">
      <c r="E589" s="19"/>
      <c r="G589" s="144"/>
    </row>
    <row r="590" spans="5:7" ht="12.75" customHeight="1" x14ac:dyDescent="0.25">
      <c r="E590" s="19"/>
      <c r="G590" s="144"/>
    </row>
    <row r="591" spans="5:7" ht="12.75" customHeight="1" x14ac:dyDescent="0.25">
      <c r="E591" s="19"/>
      <c r="G591" s="144"/>
    </row>
    <row r="592" spans="5:7" ht="12.75" customHeight="1" x14ac:dyDescent="0.25">
      <c r="E592" s="19"/>
      <c r="G592" s="144"/>
    </row>
    <row r="593" spans="5:7" ht="12.75" customHeight="1" x14ac:dyDescent="0.25">
      <c r="E593" s="19"/>
      <c r="G593" s="144"/>
    </row>
    <row r="594" spans="5:7" ht="12.75" customHeight="1" x14ac:dyDescent="0.25">
      <c r="E594" s="19"/>
      <c r="G594" s="144"/>
    </row>
    <row r="595" spans="5:7" ht="12.75" customHeight="1" x14ac:dyDescent="0.25">
      <c r="E595" s="19"/>
      <c r="G595" s="144"/>
    </row>
    <row r="596" spans="5:7" ht="12.75" customHeight="1" x14ac:dyDescent="0.25">
      <c r="E596" s="19"/>
      <c r="G596" s="144"/>
    </row>
    <row r="597" spans="5:7" ht="12.75" customHeight="1" x14ac:dyDescent="0.25">
      <c r="E597" s="19"/>
      <c r="G597" s="144"/>
    </row>
    <row r="598" spans="5:7" ht="12.75" customHeight="1" x14ac:dyDescent="0.25">
      <c r="E598" s="19"/>
      <c r="G598" s="144"/>
    </row>
    <row r="599" spans="5:7" ht="12.75" customHeight="1" x14ac:dyDescent="0.25">
      <c r="E599" s="19"/>
      <c r="G599" s="144"/>
    </row>
    <row r="600" spans="5:7" ht="12.75" customHeight="1" x14ac:dyDescent="0.25">
      <c r="E600" s="19"/>
      <c r="G600" s="144"/>
    </row>
    <row r="601" spans="5:7" ht="12.75" customHeight="1" x14ac:dyDescent="0.25">
      <c r="E601" s="19"/>
      <c r="G601" s="144"/>
    </row>
    <row r="602" spans="5:7" ht="12.75" customHeight="1" x14ac:dyDescent="0.25">
      <c r="E602" s="19"/>
      <c r="G602" s="144"/>
    </row>
    <row r="603" spans="5:7" ht="12.75" customHeight="1" x14ac:dyDescent="0.25">
      <c r="E603" s="19"/>
      <c r="G603" s="144"/>
    </row>
    <row r="604" spans="5:7" ht="12.75" customHeight="1" x14ac:dyDescent="0.25">
      <c r="E604" s="19"/>
      <c r="G604" s="144"/>
    </row>
    <row r="605" spans="5:7" ht="12.75" customHeight="1" x14ac:dyDescent="0.25">
      <c r="E605" s="19"/>
      <c r="G605" s="144"/>
    </row>
    <row r="606" spans="5:7" ht="12.75" customHeight="1" x14ac:dyDescent="0.25">
      <c r="E606" s="19"/>
      <c r="G606" s="144"/>
    </row>
    <row r="607" spans="5:7" ht="12.75" customHeight="1" x14ac:dyDescent="0.25">
      <c r="E607" s="19"/>
      <c r="G607" s="144"/>
    </row>
    <row r="608" spans="5:7" ht="12.75" customHeight="1" x14ac:dyDescent="0.25">
      <c r="E608" s="19"/>
      <c r="G608" s="144"/>
    </row>
    <row r="609" spans="5:7" ht="12.75" customHeight="1" x14ac:dyDescent="0.25">
      <c r="E609" s="19"/>
      <c r="G609" s="144"/>
    </row>
    <row r="610" spans="5:7" ht="12.75" customHeight="1" x14ac:dyDescent="0.25">
      <c r="E610" s="19"/>
      <c r="G610" s="144"/>
    </row>
    <row r="611" spans="5:7" ht="12.75" customHeight="1" x14ac:dyDescent="0.25">
      <c r="E611" s="19"/>
      <c r="G611" s="144"/>
    </row>
    <row r="612" spans="5:7" ht="12.75" customHeight="1" x14ac:dyDescent="0.25">
      <c r="E612" s="19"/>
      <c r="G612" s="144"/>
    </row>
    <row r="613" spans="5:7" ht="12.75" customHeight="1" x14ac:dyDescent="0.25">
      <c r="E613" s="19"/>
      <c r="G613" s="144"/>
    </row>
    <row r="614" spans="5:7" ht="12.75" customHeight="1" x14ac:dyDescent="0.25">
      <c r="E614" s="19"/>
      <c r="G614" s="144"/>
    </row>
    <row r="615" spans="5:7" ht="12.75" customHeight="1" x14ac:dyDescent="0.25">
      <c r="E615" s="19"/>
      <c r="G615" s="144"/>
    </row>
    <row r="616" spans="5:7" ht="12.75" customHeight="1" x14ac:dyDescent="0.25">
      <c r="E616" s="19"/>
      <c r="G616" s="144"/>
    </row>
    <row r="617" spans="5:7" ht="12.75" customHeight="1" x14ac:dyDescent="0.25">
      <c r="E617" s="19"/>
      <c r="G617" s="144"/>
    </row>
    <row r="618" spans="5:7" ht="12.75" customHeight="1" x14ac:dyDescent="0.25">
      <c r="E618" s="19"/>
      <c r="G618" s="144"/>
    </row>
    <row r="619" spans="5:7" ht="12.75" customHeight="1" x14ac:dyDescent="0.25">
      <c r="E619" s="19"/>
      <c r="G619" s="144"/>
    </row>
    <row r="620" spans="5:7" ht="12.75" customHeight="1" x14ac:dyDescent="0.25">
      <c r="E620" s="19"/>
      <c r="G620" s="144"/>
    </row>
    <row r="621" spans="5:7" ht="12.75" customHeight="1" x14ac:dyDescent="0.25">
      <c r="E621" s="19"/>
      <c r="G621" s="144"/>
    </row>
    <row r="622" spans="5:7" ht="12.75" customHeight="1" x14ac:dyDescent="0.25">
      <c r="E622" s="19"/>
      <c r="G622" s="144"/>
    </row>
    <row r="623" spans="5:7" ht="12.75" customHeight="1" x14ac:dyDescent="0.25">
      <c r="E623" s="19"/>
      <c r="G623" s="144"/>
    </row>
    <row r="624" spans="5:7" ht="12.75" customHeight="1" x14ac:dyDescent="0.25">
      <c r="E624" s="19"/>
      <c r="G624" s="144"/>
    </row>
    <row r="625" spans="5:7" ht="12.75" customHeight="1" x14ac:dyDescent="0.25">
      <c r="E625" s="19"/>
      <c r="G625" s="144"/>
    </row>
    <row r="626" spans="5:7" ht="12.75" customHeight="1" x14ac:dyDescent="0.25">
      <c r="E626" s="19"/>
      <c r="G626" s="144"/>
    </row>
    <row r="627" spans="5:7" ht="12.75" customHeight="1" x14ac:dyDescent="0.25">
      <c r="E627" s="19"/>
      <c r="G627" s="144"/>
    </row>
    <row r="628" spans="5:7" ht="12.75" customHeight="1" x14ac:dyDescent="0.25">
      <c r="E628" s="19"/>
      <c r="G628" s="144"/>
    </row>
    <row r="629" spans="5:7" ht="12.75" customHeight="1" x14ac:dyDescent="0.25">
      <c r="E629" s="19"/>
      <c r="G629" s="144"/>
    </row>
    <row r="630" spans="5:7" ht="12.75" customHeight="1" x14ac:dyDescent="0.25">
      <c r="E630" s="19"/>
      <c r="G630" s="144"/>
    </row>
    <row r="631" spans="5:7" ht="12.75" customHeight="1" x14ac:dyDescent="0.25">
      <c r="E631" s="19"/>
      <c r="G631" s="144"/>
    </row>
    <row r="632" spans="5:7" ht="12.75" customHeight="1" x14ac:dyDescent="0.25">
      <c r="E632" s="19"/>
      <c r="G632" s="144"/>
    </row>
    <row r="633" spans="5:7" ht="12.75" customHeight="1" x14ac:dyDescent="0.25">
      <c r="E633" s="19"/>
      <c r="G633" s="144"/>
    </row>
    <row r="634" spans="5:7" ht="12.75" customHeight="1" x14ac:dyDescent="0.25">
      <c r="E634" s="19"/>
      <c r="G634" s="144"/>
    </row>
    <row r="635" spans="5:7" ht="12.75" customHeight="1" x14ac:dyDescent="0.25">
      <c r="E635" s="19"/>
      <c r="G635" s="144"/>
    </row>
    <row r="636" spans="5:7" ht="12.75" customHeight="1" x14ac:dyDescent="0.25">
      <c r="E636" s="19"/>
      <c r="G636" s="144"/>
    </row>
    <row r="637" spans="5:7" ht="12.75" customHeight="1" x14ac:dyDescent="0.25">
      <c r="E637" s="19"/>
      <c r="G637" s="144"/>
    </row>
    <row r="638" spans="5:7" ht="12.75" customHeight="1" x14ac:dyDescent="0.25">
      <c r="E638" s="19"/>
      <c r="G638" s="144"/>
    </row>
    <row r="639" spans="5:7" ht="12.75" customHeight="1" x14ac:dyDescent="0.25">
      <c r="E639" s="19"/>
      <c r="G639" s="144"/>
    </row>
    <row r="640" spans="5:7" ht="12.75" customHeight="1" x14ac:dyDescent="0.25">
      <c r="E640" s="19"/>
      <c r="G640" s="144"/>
    </row>
    <row r="641" spans="5:7" ht="12.75" customHeight="1" x14ac:dyDescent="0.25">
      <c r="E641" s="19"/>
      <c r="G641" s="144"/>
    </row>
    <row r="642" spans="5:7" ht="12.75" customHeight="1" x14ac:dyDescent="0.25">
      <c r="E642" s="19"/>
      <c r="G642" s="144"/>
    </row>
    <row r="643" spans="5:7" ht="12.75" customHeight="1" x14ac:dyDescent="0.25">
      <c r="E643" s="19"/>
      <c r="G643" s="144"/>
    </row>
    <row r="644" spans="5:7" ht="12.75" customHeight="1" x14ac:dyDescent="0.25">
      <c r="E644" s="19"/>
      <c r="G644" s="144"/>
    </row>
    <row r="645" spans="5:7" ht="12.75" customHeight="1" x14ac:dyDescent="0.25">
      <c r="E645" s="19"/>
      <c r="G645" s="144"/>
    </row>
    <row r="646" spans="5:7" ht="12.75" customHeight="1" x14ac:dyDescent="0.25">
      <c r="E646" s="19"/>
      <c r="G646" s="144"/>
    </row>
    <row r="647" spans="5:7" ht="12.75" customHeight="1" x14ac:dyDescent="0.25">
      <c r="E647" s="19"/>
      <c r="G647" s="144"/>
    </row>
    <row r="648" spans="5:7" ht="12.75" customHeight="1" x14ac:dyDescent="0.25">
      <c r="E648" s="19"/>
      <c r="G648" s="144"/>
    </row>
    <row r="649" spans="5:7" ht="12.75" customHeight="1" x14ac:dyDescent="0.25">
      <c r="E649" s="19"/>
      <c r="G649" s="144"/>
    </row>
    <row r="650" spans="5:7" ht="12.75" customHeight="1" x14ac:dyDescent="0.25">
      <c r="E650" s="19"/>
      <c r="G650" s="144"/>
    </row>
    <row r="651" spans="5:7" ht="12.75" customHeight="1" x14ac:dyDescent="0.25">
      <c r="E651" s="19"/>
      <c r="G651" s="144"/>
    </row>
    <row r="652" spans="5:7" ht="12.75" customHeight="1" x14ac:dyDescent="0.25">
      <c r="E652" s="19"/>
      <c r="G652" s="144"/>
    </row>
    <row r="653" spans="5:7" ht="12.75" customHeight="1" x14ac:dyDescent="0.25">
      <c r="E653" s="19"/>
      <c r="G653" s="144"/>
    </row>
    <row r="654" spans="5:7" ht="12.75" customHeight="1" x14ac:dyDescent="0.25">
      <c r="E654" s="19"/>
      <c r="G654" s="144"/>
    </row>
    <row r="655" spans="5:7" ht="12.75" customHeight="1" x14ac:dyDescent="0.25">
      <c r="E655" s="19"/>
      <c r="G655" s="144"/>
    </row>
    <row r="656" spans="5:7" ht="12.75" customHeight="1" x14ac:dyDescent="0.25">
      <c r="E656" s="19"/>
      <c r="G656" s="144"/>
    </row>
    <row r="657" spans="5:7" ht="12.75" customHeight="1" x14ac:dyDescent="0.25">
      <c r="E657" s="19"/>
      <c r="G657" s="144"/>
    </row>
    <row r="658" spans="5:7" ht="12.75" customHeight="1" x14ac:dyDescent="0.25">
      <c r="E658" s="19"/>
      <c r="G658" s="144"/>
    </row>
    <row r="659" spans="5:7" ht="12.75" customHeight="1" x14ac:dyDescent="0.25">
      <c r="E659" s="19"/>
      <c r="G659" s="144"/>
    </row>
    <row r="660" spans="5:7" ht="12.75" customHeight="1" x14ac:dyDescent="0.25">
      <c r="E660" s="19"/>
      <c r="G660" s="144"/>
    </row>
    <row r="661" spans="5:7" ht="12.75" customHeight="1" x14ac:dyDescent="0.25">
      <c r="E661" s="19"/>
      <c r="G661" s="144"/>
    </row>
    <row r="662" spans="5:7" ht="12.75" customHeight="1" x14ac:dyDescent="0.25">
      <c r="E662" s="19"/>
      <c r="G662" s="144"/>
    </row>
    <row r="663" spans="5:7" ht="12.75" customHeight="1" x14ac:dyDescent="0.25">
      <c r="E663" s="19"/>
      <c r="G663" s="144"/>
    </row>
    <row r="664" spans="5:7" ht="12.75" customHeight="1" x14ac:dyDescent="0.25">
      <c r="E664" s="19"/>
      <c r="G664" s="144"/>
    </row>
    <row r="665" spans="5:7" ht="12.75" customHeight="1" x14ac:dyDescent="0.25">
      <c r="E665" s="19"/>
      <c r="G665" s="144"/>
    </row>
    <row r="666" spans="5:7" ht="12.75" customHeight="1" x14ac:dyDescent="0.25">
      <c r="E666" s="19"/>
      <c r="G666" s="144"/>
    </row>
    <row r="667" spans="5:7" ht="12.75" customHeight="1" x14ac:dyDescent="0.25">
      <c r="E667" s="19"/>
      <c r="G667" s="144"/>
    </row>
    <row r="668" spans="5:7" ht="12.75" customHeight="1" x14ac:dyDescent="0.25">
      <c r="E668" s="19"/>
      <c r="G668" s="144"/>
    </row>
    <row r="669" spans="5:7" ht="12.75" customHeight="1" x14ac:dyDescent="0.25">
      <c r="E669" s="19"/>
      <c r="G669" s="144"/>
    </row>
    <row r="670" spans="5:7" ht="12.75" customHeight="1" x14ac:dyDescent="0.25">
      <c r="E670" s="19"/>
      <c r="G670" s="144"/>
    </row>
    <row r="671" spans="5:7" ht="12.75" customHeight="1" x14ac:dyDescent="0.25">
      <c r="E671" s="19"/>
      <c r="G671" s="144"/>
    </row>
    <row r="672" spans="5:7" ht="12.75" customHeight="1" x14ac:dyDescent="0.25">
      <c r="E672" s="19"/>
      <c r="G672" s="144"/>
    </row>
    <row r="673" spans="5:7" ht="12.75" customHeight="1" x14ac:dyDescent="0.25">
      <c r="E673" s="19"/>
      <c r="G673" s="144"/>
    </row>
    <row r="674" spans="5:7" ht="12.75" customHeight="1" x14ac:dyDescent="0.25">
      <c r="E674" s="19"/>
      <c r="G674" s="144"/>
    </row>
    <row r="675" spans="5:7" ht="12.75" customHeight="1" x14ac:dyDescent="0.25">
      <c r="E675" s="19"/>
      <c r="G675" s="144"/>
    </row>
    <row r="676" spans="5:7" ht="12.75" customHeight="1" x14ac:dyDescent="0.25">
      <c r="E676" s="19"/>
      <c r="G676" s="144"/>
    </row>
    <row r="677" spans="5:7" ht="12.75" customHeight="1" x14ac:dyDescent="0.25">
      <c r="E677" s="19"/>
      <c r="G677" s="144"/>
    </row>
    <row r="678" spans="5:7" ht="12.75" customHeight="1" x14ac:dyDescent="0.25">
      <c r="E678" s="19"/>
      <c r="G678" s="144"/>
    </row>
    <row r="679" spans="5:7" ht="12.75" customHeight="1" x14ac:dyDescent="0.25">
      <c r="E679" s="19"/>
      <c r="G679" s="144"/>
    </row>
    <row r="680" spans="5:7" ht="12.75" customHeight="1" x14ac:dyDescent="0.25">
      <c r="E680" s="19"/>
      <c r="G680" s="144"/>
    </row>
    <row r="681" spans="5:7" ht="12.75" customHeight="1" x14ac:dyDescent="0.25">
      <c r="E681" s="19"/>
      <c r="G681" s="144"/>
    </row>
    <row r="682" spans="5:7" ht="12.75" customHeight="1" x14ac:dyDescent="0.25">
      <c r="E682" s="19"/>
      <c r="G682" s="144"/>
    </row>
    <row r="683" spans="5:7" ht="12.75" customHeight="1" x14ac:dyDescent="0.25">
      <c r="E683" s="19"/>
      <c r="G683" s="144"/>
    </row>
    <row r="684" spans="5:7" ht="12.75" customHeight="1" x14ac:dyDescent="0.25">
      <c r="E684" s="19"/>
      <c r="G684" s="144"/>
    </row>
    <row r="685" spans="5:7" ht="12.75" customHeight="1" x14ac:dyDescent="0.25">
      <c r="E685" s="19"/>
      <c r="G685" s="144"/>
    </row>
    <row r="686" spans="5:7" ht="12.75" customHeight="1" x14ac:dyDescent="0.25">
      <c r="E686" s="19"/>
      <c r="G686" s="144"/>
    </row>
    <row r="687" spans="5:7" ht="12.75" customHeight="1" x14ac:dyDescent="0.25">
      <c r="E687" s="19"/>
      <c r="G687" s="144"/>
    </row>
    <row r="688" spans="5:7" ht="12.75" customHeight="1" x14ac:dyDescent="0.25">
      <c r="E688" s="19"/>
      <c r="G688" s="144"/>
    </row>
    <row r="689" spans="5:7" ht="12.75" customHeight="1" x14ac:dyDescent="0.25">
      <c r="E689" s="19"/>
      <c r="G689" s="144"/>
    </row>
    <row r="690" spans="5:7" ht="12.75" customHeight="1" x14ac:dyDescent="0.25">
      <c r="E690" s="19"/>
      <c r="G690" s="144"/>
    </row>
    <row r="691" spans="5:7" ht="12.75" customHeight="1" x14ac:dyDescent="0.25">
      <c r="E691" s="19"/>
      <c r="G691" s="144"/>
    </row>
    <row r="692" spans="5:7" ht="12.75" customHeight="1" x14ac:dyDescent="0.25">
      <c r="E692" s="19"/>
      <c r="G692" s="144"/>
    </row>
    <row r="693" spans="5:7" ht="12.75" customHeight="1" x14ac:dyDescent="0.25">
      <c r="E693" s="19"/>
      <c r="G693" s="144"/>
    </row>
    <row r="694" spans="5:7" ht="12.75" customHeight="1" x14ac:dyDescent="0.25">
      <c r="E694" s="19"/>
      <c r="G694" s="144"/>
    </row>
    <row r="695" spans="5:7" ht="12.75" customHeight="1" x14ac:dyDescent="0.25">
      <c r="E695" s="19"/>
      <c r="G695" s="144"/>
    </row>
    <row r="696" spans="5:7" ht="12.75" customHeight="1" x14ac:dyDescent="0.25">
      <c r="E696" s="19"/>
      <c r="G696" s="144"/>
    </row>
    <row r="697" spans="5:7" ht="12.75" customHeight="1" x14ac:dyDescent="0.25">
      <c r="E697" s="19"/>
      <c r="G697" s="144"/>
    </row>
    <row r="698" spans="5:7" ht="12.75" customHeight="1" x14ac:dyDescent="0.25">
      <c r="E698" s="19"/>
      <c r="G698" s="144"/>
    </row>
    <row r="699" spans="5:7" ht="12.75" customHeight="1" x14ac:dyDescent="0.25">
      <c r="E699" s="19"/>
      <c r="G699" s="144"/>
    </row>
    <row r="700" spans="5:7" ht="12.75" customHeight="1" x14ac:dyDescent="0.25">
      <c r="E700" s="19"/>
      <c r="G700" s="144"/>
    </row>
    <row r="701" spans="5:7" ht="12.75" customHeight="1" x14ac:dyDescent="0.25">
      <c r="E701" s="19"/>
      <c r="G701" s="144"/>
    </row>
    <row r="702" spans="5:7" ht="12.75" customHeight="1" x14ac:dyDescent="0.25">
      <c r="E702" s="19"/>
      <c r="G702" s="144"/>
    </row>
    <row r="703" spans="5:7" ht="12.75" customHeight="1" x14ac:dyDescent="0.25">
      <c r="E703" s="19"/>
      <c r="G703" s="144"/>
    </row>
    <row r="704" spans="5:7" ht="12.75" customHeight="1" x14ac:dyDescent="0.25">
      <c r="E704" s="19"/>
      <c r="G704" s="144"/>
    </row>
    <row r="705" spans="5:7" ht="12.75" customHeight="1" x14ac:dyDescent="0.25">
      <c r="E705" s="19"/>
      <c r="G705" s="144"/>
    </row>
    <row r="706" spans="5:7" ht="12.75" customHeight="1" x14ac:dyDescent="0.25">
      <c r="E706" s="19"/>
      <c r="G706" s="144"/>
    </row>
    <row r="707" spans="5:7" ht="12.75" customHeight="1" x14ac:dyDescent="0.25">
      <c r="E707" s="19"/>
      <c r="G707" s="144"/>
    </row>
    <row r="708" spans="5:7" ht="12.75" customHeight="1" x14ac:dyDescent="0.25">
      <c r="E708" s="19"/>
      <c r="G708" s="144"/>
    </row>
    <row r="709" spans="5:7" ht="12.75" customHeight="1" x14ac:dyDescent="0.25">
      <c r="E709" s="19"/>
      <c r="G709" s="144"/>
    </row>
    <row r="710" spans="5:7" ht="12.75" customHeight="1" x14ac:dyDescent="0.25">
      <c r="E710" s="19"/>
      <c r="G710" s="144"/>
    </row>
    <row r="711" spans="5:7" ht="12.75" customHeight="1" x14ac:dyDescent="0.25">
      <c r="E711" s="19"/>
      <c r="G711" s="144"/>
    </row>
    <row r="712" spans="5:7" ht="12.75" customHeight="1" x14ac:dyDescent="0.25">
      <c r="E712" s="19"/>
      <c r="G712" s="144"/>
    </row>
    <row r="713" spans="5:7" ht="12.75" customHeight="1" x14ac:dyDescent="0.25">
      <c r="E713" s="19"/>
      <c r="G713" s="144"/>
    </row>
    <row r="714" spans="5:7" ht="12.75" customHeight="1" x14ac:dyDescent="0.25">
      <c r="E714" s="19"/>
      <c r="G714" s="144"/>
    </row>
    <row r="715" spans="5:7" ht="12.75" customHeight="1" x14ac:dyDescent="0.25">
      <c r="E715" s="19"/>
      <c r="G715" s="144"/>
    </row>
    <row r="716" spans="5:7" ht="12.75" customHeight="1" x14ac:dyDescent="0.25">
      <c r="E716" s="19"/>
      <c r="G716" s="144"/>
    </row>
    <row r="717" spans="5:7" ht="12.75" customHeight="1" x14ac:dyDescent="0.25">
      <c r="E717" s="19"/>
      <c r="G717" s="144"/>
    </row>
    <row r="718" spans="5:7" ht="12.75" customHeight="1" x14ac:dyDescent="0.25">
      <c r="E718" s="19"/>
      <c r="G718" s="144"/>
    </row>
    <row r="719" spans="5:7" ht="12.75" customHeight="1" x14ac:dyDescent="0.25">
      <c r="E719" s="19"/>
      <c r="G719" s="144"/>
    </row>
    <row r="720" spans="5:7" ht="12.75" customHeight="1" x14ac:dyDescent="0.25">
      <c r="E720" s="19"/>
      <c r="G720" s="144"/>
    </row>
    <row r="721" spans="5:7" ht="12.75" customHeight="1" x14ac:dyDescent="0.25">
      <c r="E721" s="19"/>
      <c r="G721" s="144"/>
    </row>
    <row r="722" spans="5:7" ht="12.75" customHeight="1" x14ac:dyDescent="0.25">
      <c r="E722" s="19"/>
      <c r="G722" s="144"/>
    </row>
    <row r="723" spans="5:7" ht="12.75" customHeight="1" x14ac:dyDescent="0.25">
      <c r="E723" s="19"/>
      <c r="G723" s="144"/>
    </row>
    <row r="724" spans="5:7" ht="12.75" customHeight="1" x14ac:dyDescent="0.25">
      <c r="E724" s="19"/>
      <c r="G724" s="144"/>
    </row>
    <row r="725" spans="5:7" ht="12.75" customHeight="1" x14ac:dyDescent="0.25">
      <c r="E725" s="19"/>
      <c r="G725" s="144"/>
    </row>
    <row r="726" spans="5:7" ht="12.75" customHeight="1" x14ac:dyDescent="0.25">
      <c r="E726" s="19"/>
      <c r="G726" s="144"/>
    </row>
    <row r="727" spans="5:7" ht="12.75" customHeight="1" x14ac:dyDescent="0.25">
      <c r="E727" s="19"/>
      <c r="G727" s="144"/>
    </row>
    <row r="728" spans="5:7" ht="12.75" customHeight="1" x14ac:dyDescent="0.25">
      <c r="E728" s="19"/>
      <c r="G728" s="144"/>
    </row>
    <row r="729" spans="5:7" ht="12.75" customHeight="1" x14ac:dyDescent="0.25">
      <c r="E729" s="19"/>
      <c r="G729" s="144"/>
    </row>
    <row r="730" spans="5:7" ht="12.75" customHeight="1" x14ac:dyDescent="0.25">
      <c r="E730" s="19"/>
      <c r="G730" s="144"/>
    </row>
    <row r="731" spans="5:7" ht="12.75" customHeight="1" x14ac:dyDescent="0.25">
      <c r="E731" s="19"/>
      <c r="G731" s="144"/>
    </row>
    <row r="732" spans="5:7" ht="12.75" customHeight="1" x14ac:dyDescent="0.25">
      <c r="E732" s="19"/>
      <c r="G732" s="144"/>
    </row>
    <row r="733" spans="5:7" ht="12.75" customHeight="1" x14ac:dyDescent="0.25">
      <c r="E733" s="19"/>
      <c r="G733" s="144"/>
    </row>
    <row r="734" spans="5:7" ht="12.75" customHeight="1" x14ac:dyDescent="0.25">
      <c r="E734" s="19"/>
      <c r="G734" s="144"/>
    </row>
    <row r="735" spans="5:7" ht="12.75" customHeight="1" x14ac:dyDescent="0.25">
      <c r="E735" s="19"/>
      <c r="G735" s="144"/>
    </row>
    <row r="736" spans="5:7" ht="12.75" customHeight="1" x14ac:dyDescent="0.25">
      <c r="E736" s="19"/>
      <c r="G736" s="144"/>
    </row>
    <row r="737" spans="5:7" ht="12.75" customHeight="1" x14ac:dyDescent="0.25">
      <c r="E737" s="19"/>
      <c r="G737" s="144"/>
    </row>
    <row r="738" spans="5:7" ht="12.75" customHeight="1" x14ac:dyDescent="0.25">
      <c r="E738" s="19"/>
      <c r="G738" s="144"/>
    </row>
    <row r="739" spans="5:7" ht="12.75" customHeight="1" x14ac:dyDescent="0.25">
      <c r="E739" s="19"/>
      <c r="G739" s="144"/>
    </row>
    <row r="740" spans="5:7" ht="12.75" customHeight="1" x14ac:dyDescent="0.25">
      <c r="E740" s="19"/>
      <c r="G740" s="144"/>
    </row>
    <row r="741" spans="5:7" ht="12.75" customHeight="1" x14ac:dyDescent="0.25">
      <c r="E741" s="19"/>
      <c r="G741" s="144"/>
    </row>
    <row r="742" spans="5:7" ht="12.75" customHeight="1" x14ac:dyDescent="0.25">
      <c r="E742" s="19"/>
      <c r="G742" s="144"/>
    </row>
    <row r="743" spans="5:7" ht="12.75" customHeight="1" x14ac:dyDescent="0.25">
      <c r="E743" s="19"/>
      <c r="G743" s="144"/>
    </row>
    <row r="744" spans="5:7" ht="12.75" customHeight="1" x14ac:dyDescent="0.25">
      <c r="E744" s="19"/>
      <c r="G744" s="144"/>
    </row>
    <row r="745" spans="5:7" ht="12.75" customHeight="1" x14ac:dyDescent="0.25">
      <c r="E745" s="19"/>
      <c r="G745" s="144"/>
    </row>
    <row r="746" spans="5:7" ht="12.75" customHeight="1" x14ac:dyDescent="0.25">
      <c r="E746" s="19"/>
      <c r="G746" s="144"/>
    </row>
    <row r="747" spans="5:7" ht="12.75" customHeight="1" x14ac:dyDescent="0.25">
      <c r="E747" s="19"/>
      <c r="G747" s="144"/>
    </row>
    <row r="748" spans="5:7" ht="12.75" customHeight="1" x14ac:dyDescent="0.25">
      <c r="E748" s="19"/>
      <c r="G748" s="144"/>
    </row>
    <row r="749" spans="5:7" ht="12.75" customHeight="1" x14ac:dyDescent="0.25">
      <c r="E749" s="19"/>
      <c r="G749" s="144"/>
    </row>
    <row r="750" spans="5:7" ht="12.75" customHeight="1" x14ac:dyDescent="0.25">
      <c r="E750" s="19"/>
      <c r="G750" s="144"/>
    </row>
    <row r="751" spans="5:7" ht="12.75" customHeight="1" x14ac:dyDescent="0.25">
      <c r="E751" s="19"/>
      <c r="G751" s="144"/>
    </row>
    <row r="752" spans="5:7" ht="12.75" customHeight="1" x14ac:dyDescent="0.25">
      <c r="E752" s="19"/>
      <c r="G752" s="144"/>
    </row>
    <row r="753" spans="5:7" ht="12.75" customHeight="1" x14ac:dyDescent="0.25">
      <c r="E753" s="19"/>
      <c r="G753" s="144"/>
    </row>
    <row r="754" spans="5:7" ht="12.75" customHeight="1" x14ac:dyDescent="0.25">
      <c r="E754" s="19"/>
      <c r="G754" s="144"/>
    </row>
    <row r="755" spans="5:7" ht="12.75" customHeight="1" x14ac:dyDescent="0.25">
      <c r="E755" s="19"/>
      <c r="G755" s="144"/>
    </row>
    <row r="756" spans="5:7" ht="12.75" customHeight="1" x14ac:dyDescent="0.25">
      <c r="E756" s="19"/>
      <c r="G756" s="144"/>
    </row>
    <row r="757" spans="5:7" ht="12.75" customHeight="1" x14ac:dyDescent="0.25">
      <c r="E757" s="19"/>
      <c r="G757" s="144"/>
    </row>
    <row r="758" spans="5:7" ht="12.75" customHeight="1" x14ac:dyDescent="0.25">
      <c r="E758" s="19"/>
      <c r="G758" s="144"/>
    </row>
    <row r="759" spans="5:7" ht="12.75" customHeight="1" x14ac:dyDescent="0.25">
      <c r="E759" s="19"/>
      <c r="G759" s="144"/>
    </row>
    <row r="760" spans="5:7" ht="12.75" customHeight="1" x14ac:dyDescent="0.25">
      <c r="E760" s="19"/>
      <c r="G760" s="144"/>
    </row>
    <row r="761" spans="5:7" ht="12.75" customHeight="1" x14ac:dyDescent="0.25">
      <c r="E761" s="19"/>
      <c r="G761" s="144"/>
    </row>
    <row r="762" spans="5:7" ht="12.75" customHeight="1" x14ac:dyDescent="0.25">
      <c r="E762" s="19"/>
      <c r="G762" s="144"/>
    </row>
    <row r="763" spans="5:7" ht="12.75" customHeight="1" x14ac:dyDescent="0.25">
      <c r="E763" s="19"/>
      <c r="G763" s="144"/>
    </row>
    <row r="764" spans="5:7" ht="12.75" customHeight="1" x14ac:dyDescent="0.25">
      <c r="E764" s="19"/>
      <c r="G764" s="144"/>
    </row>
    <row r="765" spans="5:7" ht="12.75" customHeight="1" x14ac:dyDescent="0.25">
      <c r="E765" s="19"/>
      <c r="G765" s="144"/>
    </row>
    <row r="766" spans="5:7" ht="12.75" customHeight="1" x14ac:dyDescent="0.25">
      <c r="E766" s="19"/>
      <c r="G766" s="144"/>
    </row>
    <row r="767" spans="5:7" ht="12.75" customHeight="1" x14ac:dyDescent="0.25">
      <c r="E767" s="19"/>
      <c r="G767" s="144"/>
    </row>
    <row r="768" spans="5:7" ht="12.75" customHeight="1" x14ac:dyDescent="0.25">
      <c r="E768" s="19"/>
      <c r="G768" s="144"/>
    </row>
    <row r="769" spans="5:7" ht="12.75" customHeight="1" x14ac:dyDescent="0.25">
      <c r="E769" s="19"/>
      <c r="G769" s="144"/>
    </row>
    <row r="770" spans="5:7" ht="12.75" customHeight="1" x14ac:dyDescent="0.25">
      <c r="E770" s="19"/>
      <c r="G770" s="144"/>
    </row>
    <row r="771" spans="5:7" ht="12.75" customHeight="1" x14ac:dyDescent="0.25">
      <c r="E771" s="19"/>
      <c r="G771" s="144"/>
    </row>
    <row r="772" spans="5:7" ht="12.75" customHeight="1" x14ac:dyDescent="0.25">
      <c r="E772" s="19"/>
      <c r="G772" s="144"/>
    </row>
    <row r="773" spans="5:7" ht="12.75" customHeight="1" x14ac:dyDescent="0.25">
      <c r="E773" s="19"/>
      <c r="G773" s="144"/>
    </row>
    <row r="774" spans="5:7" ht="12.75" customHeight="1" x14ac:dyDescent="0.25">
      <c r="E774" s="19"/>
      <c r="G774" s="144"/>
    </row>
    <row r="775" spans="5:7" ht="12.75" customHeight="1" x14ac:dyDescent="0.25">
      <c r="E775" s="19"/>
      <c r="G775" s="144"/>
    </row>
    <row r="776" spans="5:7" ht="12.75" customHeight="1" x14ac:dyDescent="0.25">
      <c r="E776" s="19"/>
      <c r="G776" s="144"/>
    </row>
    <row r="777" spans="5:7" ht="12.75" customHeight="1" x14ac:dyDescent="0.25">
      <c r="E777" s="19"/>
      <c r="G777" s="144"/>
    </row>
    <row r="778" spans="5:7" ht="12.75" customHeight="1" x14ac:dyDescent="0.25">
      <c r="E778" s="19"/>
      <c r="G778" s="144"/>
    </row>
    <row r="779" spans="5:7" ht="12.75" customHeight="1" x14ac:dyDescent="0.25">
      <c r="E779" s="19"/>
      <c r="G779" s="144"/>
    </row>
    <row r="780" spans="5:7" ht="12.75" customHeight="1" x14ac:dyDescent="0.25">
      <c r="E780" s="19"/>
      <c r="G780" s="144"/>
    </row>
    <row r="781" spans="5:7" ht="12.75" customHeight="1" x14ac:dyDescent="0.25">
      <c r="E781" s="19"/>
      <c r="G781" s="144"/>
    </row>
    <row r="782" spans="5:7" ht="12.75" customHeight="1" x14ac:dyDescent="0.25">
      <c r="E782" s="19"/>
      <c r="G782" s="144"/>
    </row>
    <row r="783" spans="5:7" ht="12.75" customHeight="1" x14ac:dyDescent="0.25">
      <c r="E783" s="19"/>
      <c r="G783" s="144"/>
    </row>
    <row r="784" spans="5:7" ht="12.75" customHeight="1" x14ac:dyDescent="0.25">
      <c r="E784" s="19"/>
      <c r="G784" s="144"/>
    </row>
    <row r="785" spans="5:7" ht="12.75" customHeight="1" x14ac:dyDescent="0.25">
      <c r="E785" s="19"/>
      <c r="G785" s="144"/>
    </row>
    <row r="786" spans="5:7" ht="12.75" customHeight="1" x14ac:dyDescent="0.25">
      <c r="E786" s="19"/>
      <c r="G786" s="144"/>
    </row>
    <row r="787" spans="5:7" ht="12.75" customHeight="1" x14ac:dyDescent="0.25">
      <c r="E787" s="19"/>
      <c r="G787" s="144"/>
    </row>
    <row r="788" spans="5:7" ht="12.75" customHeight="1" x14ac:dyDescent="0.25">
      <c r="E788" s="19"/>
      <c r="G788" s="144"/>
    </row>
    <row r="789" spans="5:7" ht="12.75" customHeight="1" x14ac:dyDescent="0.25">
      <c r="E789" s="19"/>
      <c r="G789" s="144"/>
    </row>
    <row r="790" spans="5:7" ht="12.75" customHeight="1" x14ac:dyDescent="0.25">
      <c r="E790" s="19"/>
      <c r="G790" s="144"/>
    </row>
    <row r="791" spans="5:7" ht="12.75" customHeight="1" x14ac:dyDescent="0.25">
      <c r="E791" s="19"/>
      <c r="G791" s="144"/>
    </row>
    <row r="792" spans="5:7" ht="12.75" customHeight="1" x14ac:dyDescent="0.25">
      <c r="E792" s="19"/>
      <c r="G792" s="144"/>
    </row>
    <row r="793" spans="5:7" ht="12.75" customHeight="1" x14ac:dyDescent="0.25">
      <c r="E793" s="19"/>
      <c r="G793" s="144"/>
    </row>
    <row r="794" spans="5:7" ht="12.75" customHeight="1" x14ac:dyDescent="0.25">
      <c r="E794" s="19"/>
      <c r="G794" s="144"/>
    </row>
    <row r="795" spans="5:7" ht="12.75" customHeight="1" x14ac:dyDescent="0.25">
      <c r="E795" s="19"/>
      <c r="G795" s="144"/>
    </row>
    <row r="796" spans="5:7" ht="12.75" customHeight="1" x14ac:dyDescent="0.25">
      <c r="E796" s="19"/>
      <c r="G796" s="144"/>
    </row>
    <row r="797" spans="5:7" ht="12.75" customHeight="1" x14ac:dyDescent="0.25">
      <c r="E797" s="19"/>
      <c r="G797" s="144"/>
    </row>
    <row r="798" spans="5:7" ht="12.75" customHeight="1" x14ac:dyDescent="0.25">
      <c r="E798" s="19"/>
      <c r="G798" s="144"/>
    </row>
    <row r="799" spans="5:7" ht="12.75" customHeight="1" x14ac:dyDescent="0.25">
      <c r="E799" s="19"/>
      <c r="G799" s="144"/>
    </row>
    <row r="800" spans="5:7" ht="12.75" customHeight="1" x14ac:dyDescent="0.25">
      <c r="E800" s="19"/>
      <c r="G800" s="144"/>
    </row>
    <row r="801" spans="5:7" ht="12.75" customHeight="1" x14ac:dyDescent="0.25">
      <c r="E801" s="19"/>
      <c r="G801" s="144"/>
    </row>
    <row r="802" spans="5:7" ht="12.75" customHeight="1" x14ac:dyDescent="0.25">
      <c r="E802" s="19"/>
      <c r="G802" s="144"/>
    </row>
    <row r="803" spans="5:7" ht="12.75" customHeight="1" x14ac:dyDescent="0.25">
      <c r="E803" s="19"/>
      <c r="G803" s="144"/>
    </row>
    <row r="804" spans="5:7" ht="12.75" customHeight="1" x14ac:dyDescent="0.25">
      <c r="E804" s="19"/>
      <c r="G804" s="144"/>
    </row>
    <row r="805" spans="5:7" ht="12.75" customHeight="1" x14ac:dyDescent="0.25">
      <c r="E805" s="19"/>
      <c r="G805" s="144"/>
    </row>
    <row r="806" spans="5:7" ht="12.75" customHeight="1" x14ac:dyDescent="0.25">
      <c r="E806" s="19"/>
      <c r="G806" s="144"/>
    </row>
    <row r="807" spans="5:7" ht="12.75" customHeight="1" x14ac:dyDescent="0.25">
      <c r="E807" s="19"/>
      <c r="G807" s="144"/>
    </row>
    <row r="808" spans="5:7" ht="12.75" customHeight="1" x14ac:dyDescent="0.25">
      <c r="E808" s="19"/>
      <c r="G808" s="144"/>
    </row>
    <row r="809" spans="5:7" ht="12.75" customHeight="1" x14ac:dyDescent="0.25">
      <c r="E809" s="19"/>
      <c r="G809" s="144"/>
    </row>
    <row r="810" spans="5:7" ht="12.75" customHeight="1" x14ac:dyDescent="0.25">
      <c r="E810" s="19"/>
      <c r="G810" s="144"/>
    </row>
    <row r="811" spans="5:7" ht="12.75" customHeight="1" x14ac:dyDescent="0.25">
      <c r="E811" s="19"/>
      <c r="G811" s="144"/>
    </row>
    <row r="812" spans="5:7" ht="12.75" customHeight="1" x14ac:dyDescent="0.25">
      <c r="E812" s="19"/>
      <c r="G812" s="144"/>
    </row>
    <row r="813" spans="5:7" ht="12.75" customHeight="1" x14ac:dyDescent="0.25">
      <c r="E813" s="19"/>
      <c r="G813" s="144"/>
    </row>
    <row r="814" spans="5:7" ht="12.75" customHeight="1" x14ac:dyDescent="0.25">
      <c r="E814" s="19"/>
      <c r="G814" s="144"/>
    </row>
    <row r="815" spans="5:7" ht="12.75" customHeight="1" x14ac:dyDescent="0.25">
      <c r="E815" s="19"/>
      <c r="G815" s="144"/>
    </row>
    <row r="816" spans="5:7" ht="12.75" customHeight="1" x14ac:dyDescent="0.25">
      <c r="E816" s="19"/>
      <c r="G816" s="144"/>
    </row>
    <row r="817" spans="5:7" ht="12.75" customHeight="1" x14ac:dyDescent="0.25">
      <c r="E817" s="19"/>
      <c r="G817" s="144"/>
    </row>
    <row r="818" spans="5:7" ht="12.75" customHeight="1" x14ac:dyDescent="0.25">
      <c r="E818" s="19"/>
      <c r="G818" s="144"/>
    </row>
    <row r="819" spans="5:7" ht="12.75" customHeight="1" x14ac:dyDescent="0.25">
      <c r="E819" s="19"/>
      <c r="G819" s="144"/>
    </row>
    <row r="820" spans="5:7" ht="12.75" customHeight="1" x14ac:dyDescent="0.25">
      <c r="E820" s="19"/>
      <c r="G820" s="144"/>
    </row>
    <row r="821" spans="5:7" ht="12.75" customHeight="1" x14ac:dyDescent="0.25">
      <c r="E821" s="19"/>
      <c r="G821" s="144"/>
    </row>
    <row r="822" spans="5:7" ht="12.75" customHeight="1" x14ac:dyDescent="0.25">
      <c r="E822" s="19"/>
      <c r="G822" s="144"/>
    </row>
    <row r="823" spans="5:7" ht="12.75" customHeight="1" x14ac:dyDescent="0.25">
      <c r="E823" s="19"/>
      <c r="G823" s="144"/>
    </row>
    <row r="824" spans="5:7" ht="12.75" customHeight="1" x14ac:dyDescent="0.25">
      <c r="E824" s="19"/>
      <c r="G824" s="144"/>
    </row>
    <row r="825" spans="5:7" ht="12.75" customHeight="1" x14ac:dyDescent="0.25">
      <c r="E825" s="19"/>
      <c r="G825" s="144"/>
    </row>
    <row r="826" spans="5:7" ht="12.75" customHeight="1" x14ac:dyDescent="0.25">
      <c r="E826" s="19"/>
      <c r="G826" s="144"/>
    </row>
    <row r="827" spans="5:7" ht="12.75" customHeight="1" x14ac:dyDescent="0.25">
      <c r="E827" s="19"/>
      <c r="G827" s="144"/>
    </row>
    <row r="828" spans="5:7" ht="12.75" customHeight="1" x14ac:dyDescent="0.25">
      <c r="E828" s="19"/>
      <c r="G828" s="144"/>
    </row>
    <row r="829" spans="5:7" ht="12.75" customHeight="1" x14ac:dyDescent="0.25">
      <c r="E829" s="19"/>
      <c r="G829" s="144"/>
    </row>
    <row r="830" spans="5:7" ht="12.75" customHeight="1" x14ac:dyDescent="0.25">
      <c r="E830" s="19"/>
      <c r="G830" s="144"/>
    </row>
    <row r="831" spans="5:7" ht="12.75" customHeight="1" x14ac:dyDescent="0.25">
      <c r="E831" s="19"/>
      <c r="G831" s="144"/>
    </row>
    <row r="832" spans="5:7" ht="12.75" customHeight="1" x14ac:dyDescent="0.25">
      <c r="E832" s="19"/>
      <c r="G832" s="144"/>
    </row>
    <row r="833" spans="5:7" ht="12.75" customHeight="1" x14ac:dyDescent="0.25">
      <c r="E833" s="19"/>
      <c r="G833" s="144"/>
    </row>
    <row r="834" spans="5:7" ht="12.75" customHeight="1" x14ac:dyDescent="0.25">
      <c r="E834" s="19"/>
      <c r="G834" s="144"/>
    </row>
    <row r="835" spans="5:7" ht="12.75" customHeight="1" x14ac:dyDescent="0.25">
      <c r="E835" s="19"/>
      <c r="G835" s="144"/>
    </row>
    <row r="836" spans="5:7" ht="12.75" customHeight="1" x14ac:dyDescent="0.25">
      <c r="E836" s="19"/>
      <c r="G836" s="144"/>
    </row>
    <row r="837" spans="5:7" ht="12.75" customHeight="1" x14ac:dyDescent="0.25">
      <c r="E837" s="19"/>
      <c r="G837" s="144"/>
    </row>
    <row r="838" spans="5:7" ht="12.75" customHeight="1" x14ac:dyDescent="0.25">
      <c r="E838" s="19"/>
      <c r="G838" s="144"/>
    </row>
    <row r="839" spans="5:7" ht="12.75" customHeight="1" x14ac:dyDescent="0.25">
      <c r="E839" s="19"/>
      <c r="G839" s="144"/>
    </row>
    <row r="840" spans="5:7" ht="12.75" customHeight="1" x14ac:dyDescent="0.25">
      <c r="E840" s="19"/>
      <c r="G840" s="144"/>
    </row>
    <row r="841" spans="5:7" ht="12.75" customHeight="1" x14ac:dyDescent="0.25">
      <c r="E841" s="19"/>
      <c r="G841" s="144"/>
    </row>
    <row r="842" spans="5:7" ht="12.75" customHeight="1" x14ac:dyDescent="0.25">
      <c r="E842" s="19"/>
      <c r="G842" s="144"/>
    </row>
    <row r="843" spans="5:7" ht="12.75" customHeight="1" x14ac:dyDescent="0.25">
      <c r="E843" s="19"/>
      <c r="G843" s="144"/>
    </row>
    <row r="844" spans="5:7" ht="12.75" customHeight="1" x14ac:dyDescent="0.25">
      <c r="E844" s="19"/>
      <c r="G844" s="144"/>
    </row>
    <row r="845" spans="5:7" ht="12.75" customHeight="1" x14ac:dyDescent="0.25">
      <c r="E845" s="19"/>
      <c r="G845" s="144"/>
    </row>
    <row r="846" spans="5:7" ht="12.75" customHeight="1" x14ac:dyDescent="0.25">
      <c r="E846" s="19"/>
      <c r="G846" s="144"/>
    </row>
    <row r="847" spans="5:7" ht="12.75" customHeight="1" x14ac:dyDescent="0.25">
      <c r="E847" s="19"/>
      <c r="G847" s="144"/>
    </row>
    <row r="848" spans="5:7" ht="12.75" customHeight="1" x14ac:dyDescent="0.25">
      <c r="E848" s="19"/>
      <c r="G848" s="144"/>
    </row>
    <row r="849" spans="5:7" ht="12.75" customHeight="1" x14ac:dyDescent="0.25">
      <c r="E849" s="19"/>
      <c r="G849" s="144"/>
    </row>
    <row r="850" spans="5:7" ht="12.75" customHeight="1" x14ac:dyDescent="0.25">
      <c r="E850" s="19"/>
      <c r="G850" s="144"/>
    </row>
    <row r="851" spans="5:7" ht="12.75" customHeight="1" x14ac:dyDescent="0.25">
      <c r="E851" s="19"/>
      <c r="G851" s="144"/>
    </row>
    <row r="852" spans="5:7" ht="12.75" customHeight="1" x14ac:dyDescent="0.25">
      <c r="E852" s="19"/>
      <c r="G852" s="144"/>
    </row>
    <row r="853" spans="5:7" ht="12.75" customHeight="1" x14ac:dyDescent="0.25">
      <c r="E853" s="19"/>
      <c r="G853" s="144"/>
    </row>
    <row r="854" spans="5:7" ht="12.75" customHeight="1" x14ac:dyDescent="0.25">
      <c r="E854" s="19"/>
      <c r="G854" s="144"/>
    </row>
    <row r="855" spans="5:7" ht="12.75" customHeight="1" x14ac:dyDescent="0.25">
      <c r="E855" s="19"/>
      <c r="G855" s="144"/>
    </row>
    <row r="856" spans="5:7" ht="12.75" customHeight="1" x14ac:dyDescent="0.25">
      <c r="E856" s="19"/>
      <c r="G856" s="144"/>
    </row>
    <row r="857" spans="5:7" ht="12.75" customHeight="1" x14ac:dyDescent="0.25">
      <c r="E857" s="19"/>
      <c r="G857" s="144"/>
    </row>
    <row r="858" spans="5:7" ht="12.75" customHeight="1" x14ac:dyDescent="0.25">
      <c r="E858" s="19"/>
      <c r="G858" s="144"/>
    </row>
    <row r="859" spans="5:7" ht="12.75" customHeight="1" x14ac:dyDescent="0.25">
      <c r="E859" s="19"/>
      <c r="G859" s="144"/>
    </row>
    <row r="860" spans="5:7" ht="12.75" customHeight="1" x14ac:dyDescent="0.25">
      <c r="E860" s="19"/>
      <c r="G860" s="144"/>
    </row>
    <row r="861" spans="5:7" ht="12.75" customHeight="1" x14ac:dyDescent="0.25">
      <c r="E861" s="19"/>
      <c r="G861" s="144"/>
    </row>
    <row r="862" spans="5:7" ht="12.75" customHeight="1" x14ac:dyDescent="0.25">
      <c r="E862" s="19"/>
      <c r="G862" s="144"/>
    </row>
    <row r="863" spans="5:7" ht="12.75" customHeight="1" x14ac:dyDescent="0.25">
      <c r="E863" s="19"/>
      <c r="G863" s="144"/>
    </row>
    <row r="864" spans="5:7" ht="12.75" customHeight="1" x14ac:dyDescent="0.25">
      <c r="E864" s="19"/>
      <c r="G864" s="144"/>
    </row>
    <row r="865" spans="5:7" ht="12.75" customHeight="1" x14ac:dyDescent="0.25">
      <c r="E865" s="19"/>
      <c r="G865" s="144"/>
    </row>
    <row r="866" spans="5:7" ht="12.75" customHeight="1" x14ac:dyDescent="0.25">
      <c r="E866" s="19"/>
      <c r="G866" s="144"/>
    </row>
    <row r="867" spans="5:7" ht="12.75" customHeight="1" x14ac:dyDescent="0.25">
      <c r="E867" s="19"/>
      <c r="G867" s="144"/>
    </row>
    <row r="868" spans="5:7" ht="12.75" customHeight="1" x14ac:dyDescent="0.25">
      <c r="E868" s="19"/>
      <c r="G868" s="144"/>
    </row>
    <row r="869" spans="5:7" ht="12.75" customHeight="1" x14ac:dyDescent="0.25">
      <c r="E869" s="19"/>
      <c r="G869" s="144"/>
    </row>
    <row r="870" spans="5:7" ht="12.75" customHeight="1" x14ac:dyDescent="0.25">
      <c r="E870" s="19"/>
      <c r="G870" s="144"/>
    </row>
    <row r="871" spans="5:7" ht="12.75" customHeight="1" x14ac:dyDescent="0.25">
      <c r="E871" s="19"/>
      <c r="G871" s="144"/>
    </row>
    <row r="872" spans="5:7" ht="12.75" customHeight="1" x14ac:dyDescent="0.25">
      <c r="E872" s="19"/>
      <c r="G872" s="144"/>
    </row>
    <row r="873" spans="5:7" ht="12.75" customHeight="1" x14ac:dyDescent="0.25">
      <c r="E873" s="19"/>
      <c r="G873" s="144"/>
    </row>
    <row r="874" spans="5:7" ht="12.75" customHeight="1" x14ac:dyDescent="0.25">
      <c r="E874" s="19"/>
      <c r="G874" s="144"/>
    </row>
    <row r="875" spans="5:7" ht="12.75" customHeight="1" x14ac:dyDescent="0.25">
      <c r="E875" s="19"/>
      <c r="G875" s="144"/>
    </row>
    <row r="876" spans="5:7" ht="12.75" customHeight="1" x14ac:dyDescent="0.25">
      <c r="E876" s="19"/>
      <c r="G876" s="144"/>
    </row>
    <row r="877" spans="5:7" ht="12.75" customHeight="1" x14ac:dyDescent="0.25">
      <c r="E877" s="19"/>
      <c r="G877" s="144"/>
    </row>
    <row r="878" spans="5:7" ht="12.75" customHeight="1" x14ac:dyDescent="0.25">
      <c r="E878" s="19"/>
      <c r="G878" s="144"/>
    </row>
    <row r="879" spans="5:7" ht="12.75" customHeight="1" x14ac:dyDescent="0.25">
      <c r="E879" s="19"/>
      <c r="G879" s="144"/>
    </row>
    <row r="880" spans="5:7" ht="12.75" customHeight="1" x14ac:dyDescent="0.25">
      <c r="E880" s="19"/>
      <c r="G880" s="144"/>
    </row>
    <row r="881" spans="5:7" ht="12.75" customHeight="1" x14ac:dyDescent="0.25">
      <c r="E881" s="19"/>
      <c r="G881" s="144"/>
    </row>
    <row r="882" spans="5:7" ht="12.75" customHeight="1" x14ac:dyDescent="0.25">
      <c r="E882" s="19"/>
      <c r="G882" s="144"/>
    </row>
    <row r="883" spans="5:7" ht="12.75" customHeight="1" x14ac:dyDescent="0.25">
      <c r="E883" s="19"/>
      <c r="G883" s="144"/>
    </row>
    <row r="884" spans="5:7" ht="12.75" customHeight="1" x14ac:dyDescent="0.25">
      <c r="E884" s="19"/>
      <c r="G884" s="144"/>
    </row>
    <row r="885" spans="5:7" ht="12.75" customHeight="1" x14ac:dyDescent="0.25">
      <c r="E885" s="19"/>
      <c r="G885" s="144"/>
    </row>
    <row r="886" spans="5:7" ht="12.75" customHeight="1" x14ac:dyDescent="0.25">
      <c r="E886" s="19"/>
      <c r="G886" s="144"/>
    </row>
    <row r="887" spans="5:7" ht="12.75" customHeight="1" x14ac:dyDescent="0.25">
      <c r="E887" s="19"/>
      <c r="G887" s="144"/>
    </row>
    <row r="888" spans="5:7" ht="12.75" customHeight="1" x14ac:dyDescent="0.25">
      <c r="E888" s="19"/>
      <c r="G888" s="144"/>
    </row>
    <row r="889" spans="5:7" ht="12.75" customHeight="1" x14ac:dyDescent="0.25">
      <c r="E889" s="19"/>
      <c r="G889" s="144"/>
    </row>
    <row r="890" spans="5:7" ht="12.75" customHeight="1" x14ac:dyDescent="0.25">
      <c r="E890" s="19"/>
      <c r="G890" s="144"/>
    </row>
    <row r="891" spans="5:7" ht="12.75" customHeight="1" x14ac:dyDescent="0.25">
      <c r="E891" s="19"/>
      <c r="G891" s="144"/>
    </row>
    <row r="892" spans="5:7" ht="12.75" customHeight="1" x14ac:dyDescent="0.25">
      <c r="E892" s="19"/>
      <c r="G892" s="144"/>
    </row>
    <row r="893" spans="5:7" ht="12.75" customHeight="1" x14ac:dyDescent="0.25">
      <c r="E893" s="19"/>
      <c r="G893" s="144"/>
    </row>
    <row r="894" spans="5:7" ht="12.75" customHeight="1" x14ac:dyDescent="0.25">
      <c r="E894" s="19"/>
      <c r="G894" s="144"/>
    </row>
    <row r="895" spans="5:7" ht="12.75" customHeight="1" x14ac:dyDescent="0.25">
      <c r="E895" s="19"/>
      <c r="G895" s="144"/>
    </row>
    <row r="896" spans="5:7" ht="12.75" customHeight="1" x14ac:dyDescent="0.25">
      <c r="E896" s="19"/>
      <c r="G896" s="144"/>
    </row>
    <row r="897" spans="5:7" ht="12.75" customHeight="1" x14ac:dyDescent="0.25">
      <c r="E897" s="19"/>
      <c r="G897" s="144"/>
    </row>
    <row r="898" spans="5:7" ht="12.75" customHeight="1" x14ac:dyDescent="0.25">
      <c r="E898" s="19"/>
      <c r="G898" s="144"/>
    </row>
    <row r="899" spans="5:7" ht="12.75" customHeight="1" x14ac:dyDescent="0.25">
      <c r="E899" s="19"/>
      <c r="G899" s="144"/>
    </row>
    <row r="900" spans="5:7" ht="12.75" customHeight="1" x14ac:dyDescent="0.25">
      <c r="E900" s="19"/>
      <c r="G900" s="144"/>
    </row>
    <row r="901" spans="5:7" ht="12.75" customHeight="1" x14ac:dyDescent="0.25">
      <c r="E901" s="19"/>
      <c r="G901" s="144"/>
    </row>
    <row r="902" spans="5:7" ht="12.75" customHeight="1" x14ac:dyDescent="0.25">
      <c r="E902" s="19"/>
      <c r="G902" s="144"/>
    </row>
    <row r="903" spans="5:7" ht="12.75" customHeight="1" x14ac:dyDescent="0.25">
      <c r="E903" s="19"/>
      <c r="G903" s="144"/>
    </row>
    <row r="904" spans="5:7" ht="12.75" customHeight="1" x14ac:dyDescent="0.25">
      <c r="E904" s="19"/>
      <c r="G904" s="144"/>
    </row>
    <row r="905" spans="5:7" ht="12.75" customHeight="1" x14ac:dyDescent="0.25">
      <c r="E905" s="19"/>
      <c r="G905" s="144"/>
    </row>
    <row r="906" spans="5:7" ht="12.75" customHeight="1" x14ac:dyDescent="0.25">
      <c r="E906" s="19"/>
      <c r="G906" s="144"/>
    </row>
    <row r="907" spans="5:7" ht="12.75" customHeight="1" x14ac:dyDescent="0.25">
      <c r="E907" s="19"/>
      <c r="G907" s="144"/>
    </row>
    <row r="908" spans="5:7" ht="12.75" customHeight="1" x14ac:dyDescent="0.25">
      <c r="E908" s="19"/>
      <c r="G908" s="144"/>
    </row>
    <row r="909" spans="5:7" ht="12.75" customHeight="1" x14ac:dyDescent="0.25">
      <c r="E909" s="19"/>
      <c r="G909" s="144"/>
    </row>
    <row r="910" spans="5:7" ht="12.75" customHeight="1" x14ac:dyDescent="0.25">
      <c r="E910" s="19"/>
      <c r="G910" s="144"/>
    </row>
    <row r="911" spans="5:7" ht="12.75" customHeight="1" x14ac:dyDescent="0.25">
      <c r="E911" s="19"/>
      <c r="G911" s="144"/>
    </row>
    <row r="912" spans="5:7" ht="12.75" customHeight="1" x14ac:dyDescent="0.25">
      <c r="E912" s="19"/>
      <c r="G912" s="144"/>
    </row>
    <row r="913" spans="5:7" ht="12.75" customHeight="1" x14ac:dyDescent="0.25">
      <c r="E913" s="19"/>
      <c r="G913" s="144"/>
    </row>
    <row r="914" spans="5:7" ht="12.75" customHeight="1" x14ac:dyDescent="0.25">
      <c r="E914" s="19"/>
      <c r="G914" s="144"/>
    </row>
    <row r="915" spans="5:7" ht="12.75" customHeight="1" x14ac:dyDescent="0.25">
      <c r="E915" s="19"/>
      <c r="G915" s="144"/>
    </row>
    <row r="916" spans="5:7" ht="12.75" customHeight="1" x14ac:dyDescent="0.25">
      <c r="E916" s="19"/>
      <c r="G916" s="144"/>
    </row>
    <row r="917" spans="5:7" ht="12.75" customHeight="1" x14ac:dyDescent="0.25">
      <c r="E917" s="19"/>
      <c r="G917" s="144"/>
    </row>
    <row r="918" spans="5:7" ht="12.75" customHeight="1" x14ac:dyDescent="0.25">
      <c r="E918" s="19"/>
      <c r="G918" s="144"/>
    </row>
    <row r="919" spans="5:7" ht="12.75" customHeight="1" x14ac:dyDescent="0.25">
      <c r="E919" s="19"/>
      <c r="G919" s="144"/>
    </row>
    <row r="920" spans="5:7" ht="12.75" customHeight="1" x14ac:dyDescent="0.25">
      <c r="E920" s="19"/>
      <c r="G920" s="144"/>
    </row>
    <row r="921" spans="5:7" ht="12.75" customHeight="1" x14ac:dyDescent="0.25">
      <c r="E921" s="19"/>
      <c r="G921" s="144"/>
    </row>
    <row r="922" spans="5:7" ht="12.75" customHeight="1" x14ac:dyDescent="0.25">
      <c r="E922" s="19"/>
      <c r="G922" s="144"/>
    </row>
    <row r="923" spans="5:7" ht="12.75" customHeight="1" x14ac:dyDescent="0.25">
      <c r="E923" s="19"/>
      <c r="G923" s="144"/>
    </row>
    <row r="924" spans="5:7" ht="12.75" customHeight="1" x14ac:dyDescent="0.25">
      <c r="E924" s="19"/>
      <c r="G924" s="144"/>
    </row>
    <row r="925" spans="5:7" ht="12.75" customHeight="1" x14ac:dyDescent="0.25">
      <c r="E925" s="19"/>
      <c r="G925" s="144"/>
    </row>
    <row r="926" spans="5:7" ht="12.75" customHeight="1" x14ac:dyDescent="0.25">
      <c r="E926" s="19"/>
      <c r="G926" s="144"/>
    </row>
    <row r="927" spans="5:7" ht="12.75" customHeight="1" x14ac:dyDescent="0.25">
      <c r="E927" s="19"/>
      <c r="G927" s="144"/>
    </row>
    <row r="928" spans="5:7" ht="12.75" customHeight="1" x14ac:dyDescent="0.25">
      <c r="E928" s="19"/>
      <c r="G928" s="144"/>
    </row>
    <row r="929" spans="5:7" ht="12.75" customHeight="1" x14ac:dyDescent="0.25">
      <c r="E929" s="19"/>
      <c r="G929" s="144"/>
    </row>
    <row r="930" spans="5:7" ht="12.75" customHeight="1" x14ac:dyDescent="0.25">
      <c r="E930" s="19"/>
      <c r="G930" s="144"/>
    </row>
    <row r="931" spans="5:7" ht="12.75" customHeight="1" x14ac:dyDescent="0.25">
      <c r="E931" s="19"/>
      <c r="G931" s="144"/>
    </row>
    <row r="932" spans="5:7" ht="12.75" customHeight="1" x14ac:dyDescent="0.25">
      <c r="E932" s="19"/>
      <c r="G932" s="144"/>
    </row>
    <row r="933" spans="5:7" ht="12.75" customHeight="1" x14ac:dyDescent="0.25">
      <c r="E933" s="19"/>
      <c r="G933" s="144"/>
    </row>
    <row r="934" spans="5:7" ht="12.75" customHeight="1" x14ac:dyDescent="0.25">
      <c r="E934" s="19"/>
      <c r="G934" s="144"/>
    </row>
    <row r="935" spans="5:7" ht="12.75" customHeight="1" x14ac:dyDescent="0.25">
      <c r="E935" s="19"/>
      <c r="G935" s="144"/>
    </row>
    <row r="936" spans="5:7" ht="12.75" customHeight="1" x14ac:dyDescent="0.25">
      <c r="E936" s="19"/>
      <c r="G936" s="144"/>
    </row>
    <row r="937" spans="5:7" ht="12.75" customHeight="1" x14ac:dyDescent="0.25">
      <c r="E937" s="19"/>
      <c r="G937" s="144"/>
    </row>
    <row r="938" spans="5:7" ht="12.75" customHeight="1" x14ac:dyDescent="0.25">
      <c r="E938" s="19"/>
      <c r="G938" s="144"/>
    </row>
    <row r="939" spans="5:7" ht="12.75" customHeight="1" x14ac:dyDescent="0.25">
      <c r="E939" s="19"/>
      <c r="G939" s="144"/>
    </row>
    <row r="940" spans="5:7" ht="12.75" customHeight="1" x14ac:dyDescent="0.25">
      <c r="E940" s="19"/>
      <c r="G940" s="144"/>
    </row>
    <row r="941" spans="5:7" ht="12.75" customHeight="1" x14ac:dyDescent="0.25">
      <c r="E941" s="19"/>
      <c r="G941" s="144"/>
    </row>
    <row r="942" spans="5:7" ht="12.75" customHeight="1" x14ac:dyDescent="0.25">
      <c r="E942" s="19"/>
      <c r="G942" s="144"/>
    </row>
    <row r="943" spans="5:7" ht="12.75" customHeight="1" x14ac:dyDescent="0.25">
      <c r="E943" s="19"/>
      <c r="G943" s="144"/>
    </row>
    <row r="944" spans="5:7" ht="12.75" customHeight="1" x14ac:dyDescent="0.25">
      <c r="E944" s="19"/>
      <c r="G944" s="144"/>
    </row>
    <row r="945" spans="5:7" ht="12.75" customHeight="1" x14ac:dyDescent="0.25">
      <c r="E945" s="19"/>
      <c r="G945" s="144"/>
    </row>
    <row r="946" spans="5:7" ht="12.75" customHeight="1" x14ac:dyDescent="0.25">
      <c r="E946" s="19"/>
      <c r="G946" s="144"/>
    </row>
    <row r="947" spans="5:7" ht="12.75" customHeight="1" x14ac:dyDescent="0.25">
      <c r="E947" s="19"/>
      <c r="G947" s="144"/>
    </row>
    <row r="948" spans="5:7" ht="12.75" customHeight="1" x14ac:dyDescent="0.25">
      <c r="E948" s="19"/>
      <c r="G948" s="144"/>
    </row>
    <row r="949" spans="5:7" ht="12.75" customHeight="1" x14ac:dyDescent="0.25">
      <c r="E949" s="19"/>
      <c r="G949" s="144"/>
    </row>
    <row r="950" spans="5:7" ht="12.75" customHeight="1" x14ac:dyDescent="0.25">
      <c r="E950" s="19"/>
      <c r="G950" s="144"/>
    </row>
    <row r="951" spans="5:7" ht="12.75" customHeight="1" x14ac:dyDescent="0.25">
      <c r="E951" s="19"/>
      <c r="G951" s="144"/>
    </row>
    <row r="952" spans="5:7" ht="12.75" customHeight="1" x14ac:dyDescent="0.25">
      <c r="E952" s="19"/>
      <c r="G952" s="144"/>
    </row>
    <row r="953" spans="5:7" ht="12.75" customHeight="1" x14ac:dyDescent="0.25">
      <c r="E953" s="19"/>
      <c r="G953" s="144"/>
    </row>
    <row r="954" spans="5:7" ht="12.75" customHeight="1" x14ac:dyDescent="0.25">
      <c r="E954" s="19"/>
      <c r="G954" s="144"/>
    </row>
    <row r="955" spans="5:7" ht="12.75" customHeight="1" x14ac:dyDescent="0.25">
      <c r="E955" s="19"/>
      <c r="G955" s="144"/>
    </row>
    <row r="956" spans="5:7" ht="12.75" customHeight="1" x14ac:dyDescent="0.25">
      <c r="E956" s="19"/>
      <c r="G956" s="144"/>
    </row>
    <row r="957" spans="5:7" ht="12.75" customHeight="1" x14ac:dyDescent="0.25">
      <c r="E957" s="19"/>
      <c r="G957" s="144"/>
    </row>
    <row r="958" spans="5:7" ht="12.75" customHeight="1" x14ac:dyDescent="0.25">
      <c r="E958" s="19"/>
      <c r="G958" s="144"/>
    </row>
    <row r="959" spans="5:7" ht="12.75" customHeight="1" x14ac:dyDescent="0.25">
      <c r="E959" s="19"/>
      <c r="G959" s="144"/>
    </row>
    <row r="960" spans="5:7" ht="12.75" customHeight="1" x14ac:dyDescent="0.25">
      <c r="E960" s="19"/>
      <c r="G960" s="144"/>
    </row>
    <row r="961" spans="5:7" ht="12.75" customHeight="1" x14ac:dyDescent="0.25">
      <c r="E961" s="19"/>
      <c r="G961" s="144"/>
    </row>
    <row r="962" spans="5:7" ht="12.75" customHeight="1" x14ac:dyDescent="0.25">
      <c r="E962" s="19"/>
      <c r="G962" s="144"/>
    </row>
    <row r="963" spans="5:7" ht="12.75" customHeight="1" x14ac:dyDescent="0.25">
      <c r="E963" s="19"/>
      <c r="G963" s="144"/>
    </row>
    <row r="964" spans="5:7" ht="12.75" customHeight="1" x14ac:dyDescent="0.25">
      <c r="E964" s="19"/>
      <c r="G964" s="144"/>
    </row>
    <row r="965" spans="5:7" ht="12.75" customHeight="1" x14ac:dyDescent="0.25">
      <c r="E965" s="19"/>
      <c r="G965" s="144"/>
    </row>
    <row r="966" spans="5:7" ht="12.75" customHeight="1" x14ac:dyDescent="0.25">
      <c r="E966" s="19"/>
      <c r="G966" s="144"/>
    </row>
    <row r="967" spans="5:7" ht="12.75" customHeight="1" x14ac:dyDescent="0.25">
      <c r="E967" s="19"/>
      <c r="G967" s="144"/>
    </row>
    <row r="968" spans="5:7" ht="12.75" customHeight="1" x14ac:dyDescent="0.25">
      <c r="E968" s="19"/>
      <c r="G968" s="144"/>
    </row>
    <row r="969" spans="5:7" ht="12.75" customHeight="1" x14ac:dyDescent="0.25">
      <c r="E969" s="19"/>
      <c r="G969" s="144"/>
    </row>
    <row r="970" spans="5:7" ht="12.75" customHeight="1" x14ac:dyDescent="0.25">
      <c r="E970" s="19"/>
      <c r="G970" s="144"/>
    </row>
    <row r="971" spans="5:7" ht="12.75" customHeight="1" x14ac:dyDescent="0.25">
      <c r="E971" s="19"/>
      <c r="G971" s="144"/>
    </row>
    <row r="972" spans="5:7" ht="12.75" customHeight="1" x14ac:dyDescent="0.25">
      <c r="E972" s="19"/>
      <c r="G972" s="144"/>
    </row>
    <row r="973" spans="5:7" ht="12.75" customHeight="1" x14ac:dyDescent="0.25">
      <c r="E973" s="19"/>
      <c r="G973" s="144"/>
    </row>
    <row r="974" spans="5:7" ht="12.75" customHeight="1" x14ac:dyDescent="0.25">
      <c r="E974" s="19"/>
      <c r="G974" s="144"/>
    </row>
    <row r="975" spans="5:7" ht="12.75" customHeight="1" x14ac:dyDescent="0.25">
      <c r="E975" s="19"/>
      <c r="G975" s="144"/>
    </row>
    <row r="976" spans="5:7" ht="12.75" customHeight="1" x14ac:dyDescent="0.25">
      <c r="E976" s="19"/>
      <c r="G976" s="144"/>
    </row>
    <row r="977" spans="5:7" ht="12.75" customHeight="1" x14ac:dyDescent="0.25">
      <c r="E977" s="19"/>
      <c r="G977" s="144"/>
    </row>
    <row r="978" spans="5:7" ht="12.75" customHeight="1" x14ac:dyDescent="0.25">
      <c r="E978" s="19"/>
      <c r="G978" s="144"/>
    </row>
    <row r="979" spans="5:7" ht="12.75" customHeight="1" x14ac:dyDescent="0.25">
      <c r="E979" s="19"/>
      <c r="G979" s="144"/>
    </row>
    <row r="980" spans="5:7" ht="12.75" customHeight="1" x14ac:dyDescent="0.25">
      <c r="E980" s="19"/>
      <c r="G980" s="144"/>
    </row>
    <row r="981" spans="5:7" ht="12.75" customHeight="1" x14ac:dyDescent="0.25">
      <c r="E981" s="19"/>
      <c r="G981" s="144"/>
    </row>
    <row r="982" spans="5:7" ht="12.75" customHeight="1" x14ac:dyDescent="0.25">
      <c r="E982" s="19"/>
      <c r="G982" s="144"/>
    </row>
    <row r="983" spans="5:7" ht="12.75" customHeight="1" x14ac:dyDescent="0.25">
      <c r="E983" s="19"/>
      <c r="G983" s="144"/>
    </row>
    <row r="984" spans="5:7" ht="12.75" customHeight="1" x14ac:dyDescent="0.25">
      <c r="E984" s="19"/>
      <c r="G984" s="144"/>
    </row>
    <row r="985" spans="5:7" ht="12.75" customHeight="1" x14ac:dyDescent="0.25">
      <c r="E985" s="19"/>
      <c r="G985" s="144"/>
    </row>
    <row r="986" spans="5:7" ht="12.75" customHeight="1" x14ac:dyDescent="0.25">
      <c r="E986" s="19"/>
      <c r="G986" s="144"/>
    </row>
    <row r="987" spans="5:7" ht="12.75" customHeight="1" x14ac:dyDescent="0.25">
      <c r="E987" s="19"/>
      <c r="G987" s="144"/>
    </row>
    <row r="988" spans="5:7" ht="12.75" customHeight="1" x14ac:dyDescent="0.25">
      <c r="E988" s="19"/>
      <c r="G988" s="144"/>
    </row>
    <row r="989" spans="5:7" ht="12.75" customHeight="1" x14ac:dyDescent="0.25">
      <c r="E989" s="19"/>
      <c r="G989" s="144"/>
    </row>
    <row r="990" spans="5:7" ht="12.75" customHeight="1" x14ac:dyDescent="0.25">
      <c r="E990" s="19"/>
      <c r="G990" s="144"/>
    </row>
    <row r="991" spans="5:7" ht="12.75" customHeight="1" x14ac:dyDescent="0.25">
      <c r="E991" s="19"/>
      <c r="G991" s="144"/>
    </row>
    <row r="992" spans="5:7" ht="12.75" customHeight="1" x14ac:dyDescent="0.25">
      <c r="E992" s="19"/>
      <c r="G992" s="144"/>
    </row>
    <row r="993" spans="5:7" ht="12.75" customHeight="1" x14ac:dyDescent="0.25">
      <c r="E993" s="19"/>
      <c r="G993" s="144"/>
    </row>
    <row r="994" spans="5:7" ht="12.75" customHeight="1" x14ac:dyDescent="0.25">
      <c r="E994" s="19"/>
      <c r="G994" s="144"/>
    </row>
    <row r="995" spans="5:7" ht="12.75" customHeight="1" x14ac:dyDescent="0.25">
      <c r="E995" s="19"/>
      <c r="G995" s="144"/>
    </row>
    <row r="996" spans="5:7" ht="12.75" customHeight="1" x14ac:dyDescent="0.25">
      <c r="E996" s="19"/>
      <c r="G996" s="144"/>
    </row>
    <row r="997" spans="5:7" ht="12.75" customHeight="1" x14ac:dyDescent="0.25">
      <c r="E997" s="19"/>
      <c r="G997" s="144"/>
    </row>
    <row r="998" spans="5:7" ht="12.75" customHeight="1" x14ac:dyDescent="0.25">
      <c r="E998" s="19"/>
      <c r="G998" s="144"/>
    </row>
    <row r="999" spans="5:7" ht="12.75" customHeight="1" x14ac:dyDescent="0.25">
      <c r="E999" s="19"/>
      <c r="G999" s="144"/>
    </row>
    <row r="1000" spans="5:7" ht="12.75" customHeight="1" x14ac:dyDescent="0.25">
      <c r="E1000" s="19"/>
      <c r="G1000" s="144"/>
    </row>
  </sheetData>
  <mergeCells count="17">
    <mergeCell ref="E32:E37"/>
    <mergeCell ref="E64:E73"/>
    <mergeCell ref="E74:E86"/>
    <mergeCell ref="I26:I29"/>
    <mergeCell ref="I30:I32"/>
    <mergeCell ref="I33:I39"/>
    <mergeCell ref="E38:E63"/>
    <mergeCell ref="I40:I45"/>
    <mergeCell ref="I46:I51"/>
    <mergeCell ref="I52:I54"/>
    <mergeCell ref="E5:G5"/>
    <mergeCell ref="I5:K5"/>
    <mergeCell ref="E7:E31"/>
    <mergeCell ref="I7:I10"/>
    <mergeCell ref="I11:I19"/>
    <mergeCell ref="I20:I21"/>
    <mergeCell ref="I22:I25"/>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Home</vt:lpstr>
      <vt:lpstr>INPUT DATA</vt:lpstr>
      <vt:lpstr>TERM 1 SUMMARY</vt:lpstr>
      <vt:lpstr>TERM 2 SUMMARY</vt:lpstr>
      <vt:lpstr>TERM 3 SUMMARY</vt:lpstr>
      <vt:lpstr>SF9 - GRADE 11 ACADEMIC</vt:lpstr>
      <vt:lpstr>ATTENDANCE RECORD SUMMARY</vt:lpstr>
      <vt:lpstr>HELPER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Ronkyle Soriano</dc:creator>
  <cp:lastModifiedBy>RONEL RAMOS</cp:lastModifiedBy>
  <dcterms:created xsi:type="dcterms:W3CDTF">2026-08-26T09:34:32Z</dcterms:created>
  <dcterms:modified xsi:type="dcterms:W3CDTF">2026-09-19T12:42:10Z</dcterms:modified>
</cp:coreProperties>
</file>