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K to 10 (Updated)-20260902T065847Z-1-001\K to 10 (Updated)\"/>
    </mc:Choice>
  </mc:AlternateContent>
  <xr:revisionPtr revIDLastSave="0" documentId="13_ncr:1_{BF038802-40E6-4CFC-AB17-0B67CE137874}" xr6:coauthVersionLast="47" xr6:coauthVersionMax="47" xr10:uidLastSave="{00000000-0000-0000-0000-000000000000}"/>
  <bookViews>
    <workbookView xWindow="-110" yWindow="-110" windowWidth="19420" windowHeight="10300" xr2:uid="{00000000-000D-0000-FFFF-FFFF00000000}"/>
  </bookViews>
  <sheets>
    <sheet name="INPUT DATA" sheetId="1" r:id="rId1"/>
    <sheet name="TERM 1" sheetId="2" r:id="rId2"/>
    <sheet name="TERM 2" sheetId="7" r:id="rId3"/>
    <sheet name="TERM 3" sheetId="8" r:id="rId4"/>
    <sheet name="FINAL GRADES" sheetId="5" r:id="rId5"/>
    <sheet name="HELPER" sheetId="6" r:id="rId6"/>
  </sheets>
  <definedNames>
    <definedName name="_xlnm.Print_Area" localSheetId="1">'TERM 1'!$B$1:$AX$119</definedName>
    <definedName name="_xlnm.Print_Area" localSheetId="2">'TERM 2'!$B$1:$AX$119</definedName>
    <definedName name="_xlnm.Print_Area" localSheetId="3">'TERM 3'!$B$1:$AX$119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6" i="5" l="1"/>
  <c r="H66" i="5"/>
  <c r="G67" i="5"/>
  <c r="H67" i="5"/>
  <c r="G68" i="5"/>
  <c r="H68" i="5"/>
  <c r="G69" i="5"/>
  <c r="H69" i="5"/>
  <c r="G70" i="5"/>
  <c r="H70" i="5"/>
  <c r="G71" i="5"/>
  <c r="H71" i="5"/>
  <c r="G72" i="5"/>
  <c r="H72" i="5"/>
  <c r="G73" i="5"/>
  <c r="H73" i="5"/>
  <c r="G74" i="5"/>
  <c r="H74" i="5"/>
  <c r="G75" i="5"/>
  <c r="H75" i="5"/>
  <c r="G76" i="5"/>
  <c r="H76" i="5"/>
  <c r="G77" i="5"/>
  <c r="H77" i="5"/>
  <c r="G78" i="5"/>
  <c r="H78" i="5"/>
  <c r="G79" i="5"/>
  <c r="H79" i="5"/>
  <c r="G80" i="5"/>
  <c r="H80" i="5"/>
  <c r="G81" i="5"/>
  <c r="H81" i="5"/>
  <c r="G82" i="5"/>
  <c r="H82" i="5"/>
  <c r="G83" i="5"/>
  <c r="H83" i="5"/>
  <c r="G84" i="5"/>
  <c r="H84" i="5"/>
  <c r="G85" i="5"/>
  <c r="H85" i="5"/>
  <c r="G86" i="5"/>
  <c r="H86" i="5"/>
  <c r="G87" i="5"/>
  <c r="H87" i="5"/>
  <c r="G88" i="5"/>
  <c r="H88" i="5"/>
  <c r="G89" i="5"/>
  <c r="H89" i="5"/>
  <c r="G90" i="5"/>
  <c r="H90" i="5"/>
  <c r="G91" i="5"/>
  <c r="H91" i="5"/>
  <c r="G92" i="5"/>
  <c r="H92" i="5"/>
  <c r="G93" i="5"/>
  <c r="H93" i="5"/>
  <c r="G94" i="5"/>
  <c r="H94" i="5"/>
  <c r="G95" i="5"/>
  <c r="H95" i="5"/>
  <c r="G96" i="5"/>
  <c r="H96" i="5"/>
  <c r="G97" i="5"/>
  <c r="H97" i="5"/>
  <c r="G98" i="5"/>
  <c r="H98" i="5"/>
  <c r="G99" i="5"/>
  <c r="H99" i="5"/>
  <c r="G100" i="5"/>
  <c r="H100" i="5"/>
  <c r="G101" i="5"/>
  <c r="H101" i="5"/>
  <c r="G102" i="5"/>
  <c r="H102" i="5"/>
  <c r="G103" i="5"/>
  <c r="H103" i="5"/>
  <c r="G104" i="5"/>
  <c r="H104" i="5"/>
  <c r="G105" i="5"/>
  <c r="H105" i="5"/>
  <c r="G106" i="5"/>
  <c r="H106" i="5"/>
  <c r="G107" i="5"/>
  <c r="H107" i="5"/>
  <c r="G108" i="5"/>
  <c r="H108" i="5"/>
  <c r="G109" i="5"/>
  <c r="H109" i="5"/>
  <c r="G110" i="5"/>
  <c r="H110" i="5"/>
  <c r="G111" i="5"/>
  <c r="H111" i="5"/>
  <c r="G112" i="5"/>
  <c r="H112" i="5"/>
  <c r="G113" i="5"/>
  <c r="H113" i="5"/>
  <c r="G114" i="5"/>
  <c r="H114" i="5"/>
  <c r="H65" i="5"/>
  <c r="G65" i="5"/>
  <c r="G15" i="5"/>
  <c r="H15" i="5"/>
  <c r="G16"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G51" i="5"/>
  <c r="H51" i="5"/>
  <c r="G52" i="5"/>
  <c r="H52" i="5"/>
  <c r="G53" i="5"/>
  <c r="H53" i="5"/>
  <c r="G54" i="5"/>
  <c r="H54" i="5"/>
  <c r="G55" i="5"/>
  <c r="H55" i="5"/>
  <c r="G56" i="5"/>
  <c r="H56" i="5"/>
  <c r="G57" i="5"/>
  <c r="H57" i="5"/>
  <c r="G58" i="5"/>
  <c r="H58" i="5"/>
  <c r="G59" i="5"/>
  <c r="H59" i="5"/>
  <c r="G60" i="5"/>
  <c r="H60" i="5"/>
  <c r="G61" i="5"/>
  <c r="H61" i="5"/>
  <c r="G62" i="5"/>
  <c r="H62" i="5"/>
  <c r="G63" i="5"/>
  <c r="H63" i="5"/>
  <c r="H14" i="5"/>
  <c r="G14" i="5"/>
  <c r="I10" i="5"/>
  <c r="I9" i="5"/>
  <c r="D10" i="5"/>
  <c r="D9" i="5"/>
  <c r="J6" i="5"/>
  <c r="J5" i="5"/>
  <c r="D6" i="5"/>
  <c r="G5" i="5"/>
  <c r="D5" i="5"/>
  <c r="AV119" i="8"/>
  <c r="AW119" i="8" s="1"/>
  <c r="AX119" i="8" s="1"/>
  <c r="AT119" i="8"/>
  <c r="AU119" i="8" s="1"/>
  <c r="AS119" i="8"/>
  <c r="AR119" i="8"/>
  <c r="AQ119" i="8"/>
  <c r="AL119" i="8"/>
  <c r="AM119" i="8" s="1"/>
  <c r="AK119" i="8"/>
  <c r="AF119" i="8"/>
  <c r="AG119" i="8" s="1"/>
  <c r="AE119" i="8"/>
  <c r="Z119" i="8"/>
  <c r="AA119" i="8" s="1"/>
  <c r="Y119" i="8"/>
  <c r="T119" i="8"/>
  <c r="U119" i="8" s="1"/>
  <c r="S119" i="8"/>
  <c r="L119" i="8"/>
  <c r="M119" i="8" s="1"/>
  <c r="K119" i="8"/>
  <c r="C119" i="8"/>
  <c r="AV118" i="8"/>
  <c r="AW118" i="8" s="1"/>
  <c r="AX118" i="8" s="1"/>
  <c r="AT118" i="8"/>
  <c r="AU118" i="8" s="1"/>
  <c r="AS118" i="8"/>
  <c r="AR118" i="8"/>
  <c r="AQ118" i="8"/>
  <c r="AL118" i="8"/>
  <c r="AM118" i="8" s="1"/>
  <c r="AK118" i="8"/>
  <c r="AF118" i="8"/>
  <c r="AG118" i="8" s="1"/>
  <c r="AE118" i="8"/>
  <c r="Z118" i="8"/>
  <c r="AA118" i="8" s="1"/>
  <c r="Y118" i="8"/>
  <c r="T118" i="8"/>
  <c r="U118" i="8" s="1"/>
  <c r="S118" i="8"/>
  <c r="L118" i="8"/>
  <c r="M118" i="8" s="1"/>
  <c r="K118" i="8"/>
  <c r="C118" i="8"/>
  <c r="AV117" i="8"/>
  <c r="AW117" i="8" s="1"/>
  <c r="AX117" i="8" s="1"/>
  <c r="AT117" i="8"/>
  <c r="AU117" i="8" s="1"/>
  <c r="AS117" i="8"/>
  <c r="AR117" i="8"/>
  <c r="AQ117" i="8"/>
  <c r="AL117" i="8"/>
  <c r="AM117" i="8" s="1"/>
  <c r="AK117" i="8"/>
  <c r="AF117" i="8"/>
  <c r="AG117" i="8" s="1"/>
  <c r="AE117" i="8"/>
  <c r="Z117" i="8"/>
  <c r="AA117" i="8" s="1"/>
  <c r="Y117" i="8"/>
  <c r="T117" i="8"/>
  <c r="U117" i="8" s="1"/>
  <c r="S117" i="8"/>
  <c r="L117" i="8"/>
  <c r="M117" i="8" s="1"/>
  <c r="K117" i="8"/>
  <c r="C117" i="8"/>
  <c r="AV116" i="8"/>
  <c r="AW116" i="8" s="1"/>
  <c r="AX116" i="8" s="1"/>
  <c r="AU116" i="8"/>
  <c r="AT116" i="8"/>
  <c r="AS116" i="8"/>
  <c r="AR116" i="8"/>
  <c r="AQ116" i="8"/>
  <c r="AL116" i="8"/>
  <c r="AM116" i="8" s="1"/>
  <c r="AK116" i="8"/>
  <c r="AF116" i="8"/>
  <c r="AG116" i="8" s="1"/>
  <c r="AE116" i="8"/>
  <c r="Z116" i="8"/>
  <c r="AA116" i="8" s="1"/>
  <c r="Y116" i="8"/>
  <c r="T116" i="8"/>
  <c r="U116" i="8" s="1"/>
  <c r="S116" i="8"/>
  <c r="L116" i="8"/>
  <c r="M116" i="8" s="1"/>
  <c r="K116" i="8"/>
  <c r="C116" i="8"/>
  <c r="AV115" i="8"/>
  <c r="AW115" i="8" s="1"/>
  <c r="AX115" i="8" s="1"/>
  <c r="AT115" i="8"/>
  <c r="AU115" i="8" s="1"/>
  <c r="AS115" i="8"/>
  <c r="AR115" i="8"/>
  <c r="AQ115" i="8"/>
  <c r="AL115" i="8"/>
  <c r="AM115" i="8" s="1"/>
  <c r="AK115" i="8"/>
  <c r="AF115" i="8"/>
  <c r="AG115" i="8" s="1"/>
  <c r="AE115" i="8"/>
  <c r="Z115" i="8"/>
  <c r="AA115" i="8" s="1"/>
  <c r="Y115" i="8"/>
  <c r="T115" i="8"/>
  <c r="U115" i="8" s="1"/>
  <c r="S115" i="8"/>
  <c r="L115" i="8"/>
  <c r="M115" i="8" s="1"/>
  <c r="K115" i="8"/>
  <c r="C115" i="8"/>
  <c r="AV114" i="8"/>
  <c r="AW114" i="8" s="1"/>
  <c r="AX114" i="8" s="1"/>
  <c r="AT114" i="8"/>
  <c r="AU114" i="8" s="1"/>
  <c r="AS114" i="8"/>
  <c r="AR114" i="8"/>
  <c r="AQ114" i="8"/>
  <c r="AL114" i="8"/>
  <c r="AM114" i="8" s="1"/>
  <c r="AK114" i="8"/>
  <c r="AG114" i="8"/>
  <c r="AF114" i="8"/>
  <c r="AE114" i="8"/>
  <c r="AA114" i="8"/>
  <c r="Z114" i="8"/>
  <c r="Y114" i="8"/>
  <c r="T114" i="8"/>
  <c r="U114" i="8" s="1"/>
  <c r="S114" i="8"/>
  <c r="L114" i="8"/>
  <c r="M114" i="8" s="1"/>
  <c r="K114" i="8"/>
  <c r="C114" i="8"/>
  <c r="AV113" i="8"/>
  <c r="AW113" i="8" s="1"/>
  <c r="AX113" i="8" s="1"/>
  <c r="AT113" i="8"/>
  <c r="AU113" i="8" s="1"/>
  <c r="AS113" i="8"/>
  <c r="AR113" i="8"/>
  <c r="AQ113" i="8"/>
  <c r="AL113" i="8"/>
  <c r="AM113" i="8" s="1"/>
  <c r="AK113" i="8"/>
  <c r="AF113" i="8"/>
  <c r="AG113" i="8" s="1"/>
  <c r="AE113" i="8"/>
  <c r="Z113" i="8"/>
  <c r="AA113" i="8" s="1"/>
  <c r="Y113" i="8"/>
  <c r="T113" i="8"/>
  <c r="U113" i="8" s="1"/>
  <c r="S113" i="8"/>
  <c r="L113" i="8"/>
  <c r="M113" i="8" s="1"/>
  <c r="K113" i="8"/>
  <c r="C113" i="8"/>
  <c r="AV112" i="8"/>
  <c r="AW112" i="8" s="1"/>
  <c r="AX112" i="8" s="1"/>
  <c r="AT112" i="8"/>
  <c r="AU112" i="8" s="1"/>
  <c r="AS112" i="8"/>
  <c r="AR112" i="8"/>
  <c r="AQ112" i="8"/>
  <c r="AL112" i="8"/>
  <c r="AM112" i="8" s="1"/>
  <c r="AK112" i="8"/>
  <c r="AF112" i="8"/>
  <c r="AG112" i="8" s="1"/>
  <c r="AE112" i="8"/>
  <c r="AA112" i="8"/>
  <c r="Z112" i="8"/>
  <c r="Y112" i="8"/>
  <c r="T112" i="8"/>
  <c r="U112" i="8" s="1"/>
  <c r="S112" i="8"/>
  <c r="L112" i="8"/>
  <c r="M112" i="8" s="1"/>
  <c r="K112" i="8"/>
  <c r="C112" i="8"/>
  <c r="AV111" i="8"/>
  <c r="AW111" i="8" s="1"/>
  <c r="AX111" i="8" s="1"/>
  <c r="AT111" i="8"/>
  <c r="AU111" i="8" s="1"/>
  <c r="AS111" i="8"/>
  <c r="AR111" i="8"/>
  <c r="AQ111" i="8"/>
  <c r="AL111" i="8"/>
  <c r="AM111" i="8" s="1"/>
  <c r="AK111" i="8"/>
  <c r="AG111" i="8"/>
  <c r="AF111" i="8"/>
  <c r="AE111" i="8"/>
  <c r="Z111" i="8"/>
  <c r="AA111" i="8" s="1"/>
  <c r="Y111" i="8"/>
  <c r="T111" i="8"/>
  <c r="U111" i="8" s="1"/>
  <c r="S111" i="8"/>
  <c r="L111" i="8"/>
  <c r="M111" i="8" s="1"/>
  <c r="K111" i="8"/>
  <c r="C111" i="8"/>
  <c r="AV110" i="8"/>
  <c r="AW110" i="8" s="1"/>
  <c r="AX110" i="8" s="1"/>
  <c r="AT110" i="8"/>
  <c r="AU110" i="8" s="1"/>
  <c r="AS110" i="8"/>
  <c r="AR110" i="8"/>
  <c r="AQ110" i="8"/>
  <c r="AL110" i="8"/>
  <c r="AM110" i="8" s="1"/>
  <c r="AK110" i="8"/>
  <c r="AG110" i="8"/>
  <c r="AF110" i="8"/>
  <c r="AE110" i="8"/>
  <c r="AA110" i="8"/>
  <c r="Z110" i="8"/>
  <c r="Y110" i="8"/>
  <c r="T110" i="8"/>
  <c r="U110" i="8" s="1"/>
  <c r="S110" i="8"/>
  <c r="L110" i="8"/>
  <c r="M110" i="8" s="1"/>
  <c r="K110" i="8"/>
  <c r="C110" i="8"/>
  <c r="AV109" i="8"/>
  <c r="AW109" i="8" s="1"/>
  <c r="AX109" i="8" s="1"/>
  <c r="AT109" i="8"/>
  <c r="AU109" i="8" s="1"/>
  <c r="AS109" i="8"/>
  <c r="AR109" i="8"/>
  <c r="AQ109" i="8"/>
  <c r="AL109" i="8"/>
  <c r="AM109" i="8" s="1"/>
  <c r="AK109" i="8"/>
  <c r="AF109" i="8"/>
  <c r="AG109" i="8" s="1"/>
  <c r="AE109" i="8"/>
  <c r="Z109" i="8"/>
  <c r="AA109" i="8" s="1"/>
  <c r="Y109" i="8"/>
  <c r="T109" i="8"/>
  <c r="U109" i="8" s="1"/>
  <c r="S109" i="8"/>
  <c r="L109" i="8"/>
  <c r="M109" i="8" s="1"/>
  <c r="K109" i="8"/>
  <c r="C109" i="8"/>
  <c r="AV108" i="8"/>
  <c r="AW108" i="8" s="1"/>
  <c r="AX108" i="8" s="1"/>
  <c r="AT108" i="8"/>
  <c r="AU108" i="8" s="1"/>
  <c r="AS108" i="8"/>
  <c r="AR108" i="8"/>
  <c r="AQ108" i="8"/>
  <c r="AL108" i="8"/>
  <c r="AM108" i="8" s="1"/>
  <c r="AK108" i="8"/>
  <c r="AF108" i="8"/>
  <c r="AG108" i="8" s="1"/>
  <c r="AE108" i="8"/>
  <c r="AA108" i="8"/>
  <c r="Z108" i="8"/>
  <c r="Y108" i="8"/>
  <c r="T108" i="8"/>
  <c r="U108" i="8" s="1"/>
  <c r="S108" i="8"/>
  <c r="L108" i="8"/>
  <c r="M108" i="8" s="1"/>
  <c r="K108" i="8"/>
  <c r="C108" i="8"/>
  <c r="AV107" i="8"/>
  <c r="AW107" i="8" s="1"/>
  <c r="AX107" i="8" s="1"/>
  <c r="AT107" i="8"/>
  <c r="AU107" i="8" s="1"/>
  <c r="AS107" i="8"/>
  <c r="AR107" i="8"/>
  <c r="AQ107" i="8"/>
  <c r="AL107" i="8"/>
  <c r="AM107" i="8" s="1"/>
  <c r="AK107" i="8"/>
  <c r="AG107" i="8"/>
  <c r="AF107" i="8"/>
  <c r="AE107" i="8"/>
  <c r="Z107" i="8"/>
  <c r="AA107" i="8" s="1"/>
  <c r="Y107" i="8"/>
  <c r="T107" i="8"/>
  <c r="U107" i="8" s="1"/>
  <c r="S107" i="8"/>
  <c r="L107" i="8"/>
  <c r="M107" i="8" s="1"/>
  <c r="K107" i="8"/>
  <c r="C107" i="8"/>
  <c r="AV106" i="8"/>
  <c r="AW106" i="8" s="1"/>
  <c r="AX106" i="8" s="1"/>
  <c r="AT106" i="8"/>
  <c r="AU106" i="8" s="1"/>
  <c r="AS106" i="8"/>
  <c r="AR106" i="8"/>
  <c r="AQ106" i="8"/>
  <c r="AL106" i="8"/>
  <c r="AM106" i="8" s="1"/>
  <c r="AK106" i="8"/>
  <c r="AF106" i="8"/>
  <c r="AG106" i="8" s="1"/>
  <c r="AE106" i="8"/>
  <c r="AA106" i="8"/>
  <c r="Z106" i="8"/>
  <c r="Y106" i="8"/>
  <c r="T106" i="8"/>
  <c r="U106" i="8" s="1"/>
  <c r="S106" i="8"/>
  <c r="L106" i="8"/>
  <c r="M106" i="8" s="1"/>
  <c r="K106" i="8"/>
  <c r="C106" i="8"/>
  <c r="AV105" i="8"/>
  <c r="AW105" i="8" s="1"/>
  <c r="AX105" i="8" s="1"/>
  <c r="AT105" i="8"/>
  <c r="AU105" i="8" s="1"/>
  <c r="AS105" i="8"/>
  <c r="AR105" i="8"/>
  <c r="AQ105" i="8"/>
  <c r="AL105" i="8"/>
  <c r="AM105" i="8" s="1"/>
  <c r="AK105" i="8"/>
  <c r="AF105" i="8"/>
  <c r="AG105" i="8" s="1"/>
  <c r="AE105" i="8"/>
  <c r="Z105" i="8"/>
  <c r="AA105" i="8" s="1"/>
  <c r="Y105" i="8"/>
  <c r="T105" i="8"/>
  <c r="U105" i="8" s="1"/>
  <c r="S105" i="8"/>
  <c r="L105" i="8"/>
  <c r="M105" i="8" s="1"/>
  <c r="K105" i="8"/>
  <c r="C105" i="8"/>
  <c r="AV104" i="8"/>
  <c r="AW104" i="8" s="1"/>
  <c r="AX104" i="8" s="1"/>
  <c r="AT104" i="8"/>
  <c r="AU104" i="8" s="1"/>
  <c r="AS104" i="8"/>
  <c r="AR104" i="8"/>
  <c r="AQ104" i="8"/>
  <c r="AL104" i="8"/>
  <c r="AM104" i="8" s="1"/>
  <c r="AK104" i="8"/>
  <c r="AF104" i="8"/>
  <c r="AG104" i="8" s="1"/>
  <c r="AE104" i="8"/>
  <c r="AA104" i="8"/>
  <c r="Z104" i="8"/>
  <c r="Y104" i="8"/>
  <c r="T104" i="8"/>
  <c r="U104" i="8" s="1"/>
  <c r="S104" i="8"/>
  <c r="L104" i="8"/>
  <c r="M104" i="8" s="1"/>
  <c r="K104" i="8"/>
  <c r="C104" i="8"/>
  <c r="AV103" i="8"/>
  <c r="AW103" i="8" s="1"/>
  <c r="AX103" i="8" s="1"/>
  <c r="AT103" i="8"/>
  <c r="AU103" i="8" s="1"/>
  <c r="AS103" i="8"/>
  <c r="AR103" i="8"/>
  <c r="AQ103" i="8"/>
  <c r="AL103" i="8"/>
  <c r="AM103" i="8" s="1"/>
  <c r="AK103" i="8"/>
  <c r="AG103" i="8"/>
  <c r="AF103" i="8"/>
  <c r="AE103" i="8"/>
  <c r="Z103" i="8"/>
  <c r="AA103" i="8" s="1"/>
  <c r="Y103" i="8"/>
  <c r="T103" i="8"/>
  <c r="U103" i="8" s="1"/>
  <c r="S103" i="8"/>
  <c r="L103" i="8"/>
  <c r="M103" i="8" s="1"/>
  <c r="K103" i="8"/>
  <c r="C103" i="8"/>
  <c r="AV102" i="8"/>
  <c r="AW102" i="8" s="1"/>
  <c r="AX102" i="8" s="1"/>
  <c r="AT102" i="8"/>
  <c r="AU102" i="8" s="1"/>
  <c r="AS102" i="8"/>
  <c r="AR102" i="8"/>
  <c r="AQ102" i="8"/>
  <c r="AL102" i="8"/>
  <c r="AM102" i="8" s="1"/>
  <c r="AK102" i="8"/>
  <c r="AF102" i="8"/>
  <c r="AG102" i="8" s="1"/>
  <c r="AE102" i="8"/>
  <c r="AA102" i="8"/>
  <c r="Z102" i="8"/>
  <c r="Y102" i="8"/>
  <c r="T102" i="8"/>
  <c r="U102" i="8" s="1"/>
  <c r="S102" i="8"/>
  <c r="L102" i="8"/>
  <c r="M102" i="8" s="1"/>
  <c r="K102" i="8"/>
  <c r="C102" i="8"/>
  <c r="AV101" i="8"/>
  <c r="AW101" i="8" s="1"/>
  <c r="AX101" i="8" s="1"/>
  <c r="AT101" i="8"/>
  <c r="AU101" i="8" s="1"/>
  <c r="AS101" i="8"/>
  <c r="AR101" i="8"/>
  <c r="AQ101" i="8"/>
  <c r="AL101" i="8"/>
  <c r="AM101" i="8" s="1"/>
  <c r="AK101" i="8"/>
  <c r="AG101" i="8"/>
  <c r="AF101" i="8"/>
  <c r="AE101" i="8"/>
  <c r="Z101" i="8"/>
  <c r="AA101" i="8" s="1"/>
  <c r="Y101" i="8"/>
  <c r="T101" i="8"/>
  <c r="U101" i="8" s="1"/>
  <c r="S101" i="8"/>
  <c r="L101" i="8"/>
  <c r="M101" i="8" s="1"/>
  <c r="K101" i="8"/>
  <c r="C101" i="8"/>
  <c r="AV100" i="8"/>
  <c r="AW100" i="8" s="1"/>
  <c r="AX100" i="8" s="1"/>
  <c r="AT100" i="8"/>
  <c r="AU100" i="8" s="1"/>
  <c r="AS100" i="8"/>
  <c r="AR100" i="8"/>
  <c r="AQ100" i="8"/>
  <c r="AL100" i="8"/>
  <c r="AM100" i="8" s="1"/>
  <c r="AK100" i="8"/>
  <c r="AG100" i="8"/>
  <c r="AF100" i="8"/>
  <c r="AE100" i="8"/>
  <c r="AA100" i="8"/>
  <c r="Z100" i="8"/>
  <c r="Y100" i="8"/>
  <c r="T100" i="8"/>
  <c r="U100" i="8" s="1"/>
  <c r="S100" i="8"/>
  <c r="L100" i="8"/>
  <c r="M100" i="8" s="1"/>
  <c r="K100" i="8"/>
  <c r="C100" i="8"/>
  <c r="AV99" i="8"/>
  <c r="AW99" i="8" s="1"/>
  <c r="AX99" i="8" s="1"/>
  <c r="AT99" i="8"/>
  <c r="AU99" i="8" s="1"/>
  <c r="AS99" i="8"/>
  <c r="AR99" i="8"/>
  <c r="AQ99" i="8"/>
  <c r="AL99" i="8"/>
  <c r="AM99" i="8" s="1"/>
  <c r="AK99" i="8"/>
  <c r="AF99" i="8"/>
  <c r="AG99" i="8" s="1"/>
  <c r="AE99" i="8"/>
  <c r="Z99" i="8"/>
  <c r="AA99" i="8" s="1"/>
  <c r="Y99" i="8"/>
  <c r="T99" i="8"/>
  <c r="U99" i="8" s="1"/>
  <c r="S99" i="8"/>
  <c r="L99" i="8"/>
  <c r="M99" i="8" s="1"/>
  <c r="K99" i="8"/>
  <c r="C99" i="8"/>
  <c r="AV98" i="8"/>
  <c r="AW98" i="8" s="1"/>
  <c r="AX98" i="8" s="1"/>
  <c r="AT98" i="8"/>
  <c r="AU98" i="8" s="1"/>
  <c r="AS98" i="8"/>
  <c r="AR98" i="8"/>
  <c r="AQ98" i="8"/>
  <c r="AL98" i="8"/>
  <c r="AM98" i="8" s="1"/>
  <c r="AK98" i="8"/>
  <c r="AF98" i="8"/>
  <c r="AG98" i="8" s="1"/>
  <c r="AE98" i="8"/>
  <c r="AA98" i="8"/>
  <c r="Z98" i="8"/>
  <c r="Y98" i="8"/>
  <c r="T98" i="8"/>
  <c r="U98" i="8" s="1"/>
  <c r="S98" i="8"/>
  <c r="L98" i="8"/>
  <c r="M98" i="8" s="1"/>
  <c r="K98" i="8"/>
  <c r="C98" i="8"/>
  <c r="AV97" i="8"/>
  <c r="AW97" i="8" s="1"/>
  <c r="AX97" i="8" s="1"/>
  <c r="AT97" i="8"/>
  <c r="AU97" i="8" s="1"/>
  <c r="AS97" i="8"/>
  <c r="AR97" i="8"/>
  <c r="AQ97" i="8"/>
  <c r="AL97" i="8"/>
  <c r="AM97" i="8" s="1"/>
  <c r="AK97" i="8"/>
  <c r="AG97" i="8"/>
  <c r="AF97" i="8"/>
  <c r="AE97" i="8"/>
  <c r="Z97" i="8"/>
  <c r="AA97" i="8" s="1"/>
  <c r="Y97" i="8"/>
  <c r="T97" i="8"/>
  <c r="U97" i="8" s="1"/>
  <c r="S97" i="8"/>
  <c r="L97" i="8"/>
  <c r="M97" i="8" s="1"/>
  <c r="K97" i="8"/>
  <c r="C97" i="8"/>
  <c r="AV96" i="8"/>
  <c r="AW96" i="8" s="1"/>
  <c r="AX96" i="8" s="1"/>
  <c r="AT96" i="8"/>
  <c r="AU96" i="8" s="1"/>
  <c r="AS96" i="8"/>
  <c r="AR96" i="8"/>
  <c r="AQ96" i="8"/>
  <c r="AL96" i="8"/>
  <c r="AM96" i="8" s="1"/>
  <c r="AK96" i="8"/>
  <c r="AG96" i="8"/>
  <c r="AF96" i="8"/>
  <c r="AE96" i="8"/>
  <c r="AA96" i="8"/>
  <c r="Z96" i="8"/>
  <c r="Y96" i="8"/>
  <c r="T96" i="8"/>
  <c r="U96" i="8" s="1"/>
  <c r="S96" i="8"/>
  <c r="L96" i="8"/>
  <c r="M96" i="8" s="1"/>
  <c r="K96" i="8"/>
  <c r="C96" i="8"/>
  <c r="AV95" i="8"/>
  <c r="AW95" i="8" s="1"/>
  <c r="AX95" i="8" s="1"/>
  <c r="AT95" i="8"/>
  <c r="AU95" i="8" s="1"/>
  <c r="AS95" i="8"/>
  <c r="AR95" i="8"/>
  <c r="AQ95" i="8"/>
  <c r="AL95" i="8"/>
  <c r="AM95" i="8" s="1"/>
  <c r="AK95" i="8"/>
  <c r="AF95" i="8"/>
  <c r="AG95" i="8" s="1"/>
  <c r="AE95" i="8"/>
  <c r="Z95" i="8"/>
  <c r="AA95" i="8" s="1"/>
  <c r="Y95" i="8"/>
  <c r="T95" i="8"/>
  <c r="U95" i="8" s="1"/>
  <c r="S95" i="8"/>
  <c r="L95" i="8"/>
  <c r="M95" i="8" s="1"/>
  <c r="K95" i="8"/>
  <c r="C95" i="8"/>
  <c r="AV94" i="8"/>
  <c r="AW94" i="8" s="1"/>
  <c r="AX94" i="8" s="1"/>
  <c r="AT94" i="8"/>
  <c r="AU94" i="8" s="1"/>
  <c r="AS94" i="8"/>
  <c r="AR94" i="8"/>
  <c r="AQ94" i="8"/>
  <c r="AL94" i="8"/>
  <c r="AM94" i="8" s="1"/>
  <c r="AK94" i="8"/>
  <c r="AF94" i="8"/>
  <c r="AG94" i="8" s="1"/>
  <c r="AE94" i="8"/>
  <c r="AA94" i="8"/>
  <c r="Z94" i="8"/>
  <c r="Y94" i="8"/>
  <c r="T94" i="8"/>
  <c r="U94" i="8" s="1"/>
  <c r="S94" i="8"/>
  <c r="L94" i="8"/>
  <c r="M94" i="8" s="1"/>
  <c r="K94" i="8"/>
  <c r="C94" i="8"/>
  <c r="AV93" i="8"/>
  <c r="AW93" i="8" s="1"/>
  <c r="AX93" i="8" s="1"/>
  <c r="AT93" i="8"/>
  <c r="AU93" i="8" s="1"/>
  <c r="AS93" i="8"/>
  <c r="AR93" i="8"/>
  <c r="AQ93" i="8"/>
  <c r="AL93" i="8"/>
  <c r="AM93" i="8" s="1"/>
  <c r="AK93" i="8"/>
  <c r="AF93" i="8"/>
  <c r="AG93" i="8" s="1"/>
  <c r="AE93" i="8"/>
  <c r="Z93" i="8"/>
  <c r="AA93" i="8" s="1"/>
  <c r="Y93" i="8"/>
  <c r="U93" i="8"/>
  <c r="T93" i="8"/>
  <c r="S93" i="8"/>
  <c r="L93" i="8"/>
  <c r="M93" i="8" s="1"/>
  <c r="K93" i="8"/>
  <c r="C93" i="8"/>
  <c r="AV92" i="8"/>
  <c r="AW92" i="8" s="1"/>
  <c r="AX92" i="8" s="1"/>
  <c r="AT92" i="8"/>
  <c r="AU92" i="8" s="1"/>
  <c r="AS92" i="8"/>
  <c r="AR92" i="8"/>
  <c r="AQ92" i="8"/>
  <c r="AL92" i="8"/>
  <c r="AM92" i="8" s="1"/>
  <c r="AK92" i="8"/>
  <c r="AF92" i="8"/>
  <c r="AG92" i="8" s="1"/>
  <c r="AE92" i="8"/>
  <c r="AA92" i="8"/>
  <c r="Z92" i="8"/>
  <c r="Y92" i="8"/>
  <c r="U92" i="8"/>
  <c r="T92" i="8"/>
  <c r="S92" i="8"/>
  <c r="L92" i="8"/>
  <c r="M92" i="8" s="1"/>
  <c r="K92" i="8"/>
  <c r="C92" i="8"/>
  <c r="AV91" i="8"/>
  <c r="AW91" i="8" s="1"/>
  <c r="AX91" i="8" s="1"/>
  <c r="AT91" i="8"/>
  <c r="AU91" i="8" s="1"/>
  <c r="AS91" i="8"/>
  <c r="AR91" i="8"/>
  <c r="AQ91" i="8"/>
  <c r="AL91" i="8"/>
  <c r="AM91" i="8" s="1"/>
  <c r="AK91" i="8"/>
  <c r="AF91" i="8"/>
  <c r="AG91" i="8" s="1"/>
  <c r="AE91" i="8"/>
  <c r="Z91" i="8"/>
  <c r="AA91" i="8" s="1"/>
  <c r="Y91" i="8"/>
  <c r="T91" i="8"/>
  <c r="U91" i="8" s="1"/>
  <c r="S91" i="8"/>
  <c r="L91" i="8"/>
  <c r="M91" i="8" s="1"/>
  <c r="K91" i="8"/>
  <c r="C91" i="8"/>
  <c r="AV90" i="8"/>
  <c r="AW90" i="8" s="1"/>
  <c r="AX90" i="8" s="1"/>
  <c r="AT90" i="8"/>
  <c r="AU90" i="8" s="1"/>
  <c r="AS90" i="8"/>
  <c r="AR90" i="8"/>
  <c r="AQ90" i="8"/>
  <c r="AL90" i="8"/>
  <c r="AM90" i="8" s="1"/>
  <c r="AK90" i="8"/>
  <c r="AF90" i="8"/>
  <c r="AG90" i="8" s="1"/>
  <c r="AE90" i="8"/>
  <c r="Z90" i="8"/>
  <c r="AA90" i="8" s="1"/>
  <c r="Y90" i="8"/>
  <c r="T90" i="8"/>
  <c r="U90" i="8" s="1"/>
  <c r="S90" i="8"/>
  <c r="L90" i="8"/>
  <c r="M90" i="8" s="1"/>
  <c r="K90" i="8"/>
  <c r="C90" i="8"/>
  <c r="AV89" i="8"/>
  <c r="AW89" i="8" s="1"/>
  <c r="AX89" i="8" s="1"/>
  <c r="AT89" i="8"/>
  <c r="AU89" i="8" s="1"/>
  <c r="AS89" i="8"/>
  <c r="AR89" i="8"/>
  <c r="AQ89" i="8"/>
  <c r="AL89" i="8"/>
  <c r="AM89" i="8" s="1"/>
  <c r="AK89" i="8"/>
  <c r="AF89" i="8"/>
  <c r="AG89" i="8" s="1"/>
  <c r="AE89" i="8"/>
  <c r="Z89" i="8"/>
  <c r="AA89" i="8" s="1"/>
  <c r="Y89" i="8"/>
  <c r="T89" i="8"/>
  <c r="U89" i="8" s="1"/>
  <c r="S89" i="8"/>
  <c r="L89" i="8"/>
  <c r="M89" i="8" s="1"/>
  <c r="K89" i="8"/>
  <c r="C89" i="8"/>
  <c r="AV88" i="8"/>
  <c r="AW88" i="8" s="1"/>
  <c r="AX88" i="8" s="1"/>
  <c r="AT88" i="8"/>
  <c r="AU88" i="8" s="1"/>
  <c r="AS88" i="8"/>
  <c r="AR88" i="8"/>
  <c r="AQ88" i="8"/>
  <c r="AL88" i="8"/>
  <c r="AM88" i="8" s="1"/>
  <c r="AK88" i="8"/>
  <c r="AF88" i="8"/>
  <c r="AG88" i="8" s="1"/>
  <c r="AE88" i="8"/>
  <c r="Z88" i="8"/>
  <c r="AA88" i="8" s="1"/>
  <c r="Y88" i="8"/>
  <c r="T88" i="8"/>
  <c r="U88" i="8" s="1"/>
  <c r="S88" i="8"/>
  <c r="L88" i="8"/>
  <c r="M88" i="8" s="1"/>
  <c r="K88" i="8"/>
  <c r="C88" i="8"/>
  <c r="AV87" i="8"/>
  <c r="AW87" i="8" s="1"/>
  <c r="AX87" i="8" s="1"/>
  <c r="AT87" i="8"/>
  <c r="AU87" i="8" s="1"/>
  <c r="AS87" i="8"/>
  <c r="AR87" i="8"/>
  <c r="AQ87" i="8"/>
  <c r="AL87" i="8"/>
  <c r="AM87" i="8" s="1"/>
  <c r="AK87" i="8"/>
  <c r="AF87" i="8"/>
  <c r="AG87" i="8" s="1"/>
  <c r="AE87" i="8"/>
  <c r="Z87" i="8"/>
  <c r="AA87" i="8" s="1"/>
  <c r="Y87" i="8"/>
  <c r="T87" i="8"/>
  <c r="U87" i="8" s="1"/>
  <c r="S87" i="8"/>
  <c r="L87" i="8"/>
  <c r="M87" i="8" s="1"/>
  <c r="K87" i="8"/>
  <c r="C87" i="8"/>
  <c r="AV86" i="8"/>
  <c r="AW86" i="8" s="1"/>
  <c r="AX86" i="8" s="1"/>
  <c r="AT86" i="8"/>
  <c r="AU86" i="8" s="1"/>
  <c r="AS86" i="8"/>
  <c r="AR86" i="8"/>
  <c r="AQ86" i="8"/>
  <c r="AL86" i="8"/>
  <c r="AM86" i="8" s="1"/>
  <c r="AK86" i="8"/>
  <c r="AG86" i="8"/>
  <c r="AF86" i="8"/>
  <c r="AE86" i="8"/>
  <c r="Z86" i="8"/>
  <c r="AA86" i="8" s="1"/>
  <c r="Y86" i="8"/>
  <c r="T86" i="8"/>
  <c r="U86" i="8" s="1"/>
  <c r="S86" i="8"/>
  <c r="L86" i="8"/>
  <c r="M86" i="8" s="1"/>
  <c r="K86" i="8"/>
  <c r="C86" i="8"/>
  <c r="AV85" i="8"/>
  <c r="AW85" i="8" s="1"/>
  <c r="AX85" i="8" s="1"/>
  <c r="AT85" i="8"/>
  <c r="AU85" i="8" s="1"/>
  <c r="AS85" i="8"/>
  <c r="AR85" i="8"/>
  <c r="AQ85" i="8"/>
  <c r="AL85" i="8"/>
  <c r="AM85" i="8" s="1"/>
  <c r="AK85" i="8"/>
  <c r="AF85" i="8"/>
  <c r="AG85" i="8" s="1"/>
  <c r="AE85" i="8"/>
  <c r="AA85" i="8"/>
  <c r="Z85" i="8"/>
  <c r="Y85" i="8"/>
  <c r="T85" i="8"/>
  <c r="U85" i="8" s="1"/>
  <c r="S85" i="8"/>
  <c r="L85" i="8"/>
  <c r="M85" i="8" s="1"/>
  <c r="K85" i="8"/>
  <c r="C85" i="8"/>
  <c r="AV84" i="8"/>
  <c r="AW84" i="8" s="1"/>
  <c r="AX84" i="8" s="1"/>
  <c r="AT84" i="8"/>
  <c r="AU84" i="8" s="1"/>
  <c r="AS84" i="8"/>
  <c r="AR84" i="8"/>
  <c r="AQ84" i="8"/>
  <c r="AL84" i="8"/>
  <c r="AM84" i="8" s="1"/>
  <c r="AK84" i="8"/>
  <c r="AF84" i="8"/>
  <c r="AG84" i="8" s="1"/>
  <c r="AE84" i="8"/>
  <c r="Z84" i="8"/>
  <c r="AA84" i="8" s="1"/>
  <c r="Y84" i="8"/>
  <c r="T84" i="8"/>
  <c r="U84" i="8" s="1"/>
  <c r="S84" i="8"/>
  <c r="L84" i="8"/>
  <c r="M84" i="8" s="1"/>
  <c r="K84" i="8"/>
  <c r="C84" i="8"/>
  <c r="AV83" i="8"/>
  <c r="AW83" i="8" s="1"/>
  <c r="AX83" i="8" s="1"/>
  <c r="AT83" i="8"/>
  <c r="AU83" i="8" s="1"/>
  <c r="AS83" i="8"/>
  <c r="AR83" i="8"/>
  <c r="AQ83" i="8"/>
  <c r="AL83" i="8"/>
  <c r="AM83" i="8" s="1"/>
  <c r="AK83" i="8"/>
  <c r="AF83" i="8"/>
  <c r="AG83" i="8" s="1"/>
  <c r="AE83" i="8"/>
  <c r="Z83" i="8"/>
  <c r="AA83" i="8" s="1"/>
  <c r="Y83" i="8"/>
  <c r="T83" i="8"/>
  <c r="U83" i="8" s="1"/>
  <c r="S83" i="8"/>
  <c r="L83" i="8"/>
  <c r="M83" i="8" s="1"/>
  <c r="K83" i="8"/>
  <c r="C83" i="8"/>
  <c r="AV82" i="8"/>
  <c r="AW82" i="8" s="1"/>
  <c r="AX82" i="8" s="1"/>
  <c r="AU82" i="8"/>
  <c r="AT82" i="8"/>
  <c r="AS82" i="8"/>
  <c r="AR82" i="8"/>
  <c r="AQ82" i="8"/>
  <c r="AL82" i="8"/>
  <c r="AM82" i="8" s="1"/>
  <c r="AK82" i="8"/>
  <c r="AF82" i="8"/>
  <c r="AG82" i="8" s="1"/>
  <c r="AE82" i="8"/>
  <c r="Z82" i="8"/>
  <c r="AA82" i="8" s="1"/>
  <c r="Y82" i="8"/>
  <c r="T82" i="8"/>
  <c r="U82" i="8" s="1"/>
  <c r="S82" i="8"/>
  <c r="L82" i="8"/>
  <c r="M82" i="8" s="1"/>
  <c r="K82" i="8"/>
  <c r="C82" i="8"/>
  <c r="AV81" i="8"/>
  <c r="AW81" i="8" s="1"/>
  <c r="AX81" i="8" s="1"/>
  <c r="AT81" i="8"/>
  <c r="AU81" i="8" s="1"/>
  <c r="AS81" i="8"/>
  <c r="AR81" i="8"/>
  <c r="AQ81" i="8"/>
  <c r="AL81" i="8"/>
  <c r="AM81" i="8" s="1"/>
  <c r="AK81" i="8"/>
  <c r="AF81" i="8"/>
  <c r="AG81" i="8" s="1"/>
  <c r="AE81" i="8"/>
  <c r="Z81" i="8"/>
  <c r="AA81" i="8" s="1"/>
  <c r="Y81" i="8"/>
  <c r="T81" i="8"/>
  <c r="U81" i="8" s="1"/>
  <c r="S81" i="8"/>
  <c r="L81" i="8"/>
  <c r="M81" i="8" s="1"/>
  <c r="K81" i="8"/>
  <c r="C81" i="8"/>
  <c r="AV80" i="8"/>
  <c r="AW80" i="8" s="1"/>
  <c r="AX80" i="8" s="1"/>
  <c r="AT80" i="8"/>
  <c r="AU80" i="8" s="1"/>
  <c r="AS80" i="8"/>
  <c r="AR80" i="8"/>
  <c r="AQ80" i="8"/>
  <c r="AL80" i="8"/>
  <c r="AM80" i="8" s="1"/>
  <c r="AK80" i="8"/>
  <c r="AF80" i="8"/>
  <c r="AG80" i="8" s="1"/>
  <c r="AE80" i="8"/>
  <c r="Z80" i="8"/>
  <c r="AA80" i="8" s="1"/>
  <c r="Y80" i="8"/>
  <c r="T80" i="8"/>
  <c r="U80" i="8" s="1"/>
  <c r="S80" i="8"/>
  <c r="L80" i="8"/>
  <c r="M80" i="8" s="1"/>
  <c r="K80" i="8"/>
  <c r="C80" i="8"/>
  <c r="AV79" i="8"/>
  <c r="AW79" i="8" s="1"/>
  <c r="AX79" i="8" s="1"/>
  <c r="AT79" i="8"/>
  <c r="AU79" i="8" s="1"/>
  <c r="AS79" i="8"/>
  <c r="AR79" i="8"/>
  <c r="AQ79" i="8"/>
  <c r="AL79" i="8"/>
  <c r="AM79" i="8" s="1"/>
  <c r="AK79" i="8"/>
  <c r="AF79" i="8"/>
  <c r="AG79" i="8" s="1"/>
  <c r="AE79" i="8"/>
  <c r="AA79" i="8"/>
  <c r="Z79" i="8"/>
  <c r="Y79" i="8"/>
  <c r="T79" i="8"/>
  <c r="U79" i="8" s="1"/>
  <c r="S79" i="8"/>
  <c r="L79" i="8"/>
  <c r="M79" i="8" s="1"/>
  <c r="K79" i="8"/>
  <c r="C79" i="8"/>
  <c r="AV78" i="8"/>
  <c r="AW78" i="8" s="1"/>
  <c r="AX78" i="8" s="1"/>
  <c r="AT78" i="8"/>
  <c r="AU78" i="8" s="1"/>
  <c r="AS78" i="8"/>
  <c r="AR78" i="8"/>
  <c r="AQ78" i="8"/>
  <c r="AL78" i="8"/>
  <c r="AM78" i="8" s="1"/>
  <c r="AK78" i="8"/>
  <c r="AF78" i="8"/>
  <c r="AG78" i="8" s="1"/>
  <c r="AE78" i="8"/>
  <c r="Z78" i="8"/>
  <c r="AA78" i="8" s="1"/>
  <c r="Y78" i="8"/>
  <c r="T78" i="8"/>
  <c r="U78" i="8" s="1"/>
  <c r="S78" i="8"/>
  <c r="L78" i="8"/>
  <c r="M78" i="8" s="1"/>
  <c r="K78" i="8"/>
  <c r="C78" i="8"/>
  <c r="AV77" i="8"/>
  <c r="AW77" i="8" s="1"/>
  <c r="AX77" i="8" s="1"/>
  <c r="AT77" i="8"/>
  <c r="AU77" i="8" s="1"/>
  <c r="AS77" i="8"/>
  <c r="AR77" i="8"/>
  <c r="AQ77" i="8"/>
  <c r="AL77" i="8"/>
  <c r="AM77" i="8" s="1"/>
  <c r="AK77" i="8"/>
  <c r="AF77" i="8"/>
  <c r="AG77" i="8" s="1"/>
  <c r="AE77" i="8"/>
  <c r="AA77" i="8"/>
  <c r="Z77" i="8"/>
  <c r="Y77" i="8"/>
  <c r="U77" i="8"/>
  <c r="T77" i="8"/>
  <c r="S77" i="8"/>
  <c r="L77" i="8"/>
  <c r="M77" i="8" s="1"/>
  <c r="K77" i="8"/>
  <c r="C77" i="8"/>
  <c r="AV76" i="8"/>
  <c r="AW76" i="8" s="1"/>
  <c r="AX76" i="8" s="1"/>
  <c r="AT76" i="8"/>
  <c r="AU76" i="8" s="1"/>
  <c r="AS76" i="8"/>
  <c r="AR76" i="8"/>
  <c r="AQ76" i="8"/>
  <c r="AL76" i="8"/>
  <c r="AM76" i="8" s="1"/>
  <c r="AK76" i="8"/>
  <c r="AF76" i="8"/>
  <c r="AG76" i="8" s="1"/>
  <c r="AE76" i="8"/>
  <c r="Z76" i="8"/>
  <c r="AA76" i="8" s="1"/>
  <c r="Y76" i="8"/>
  <c r="T76" i="8"/>
  <c r="U76" i="8" s="1"/>
  <c r="S76" i="8"/>
  <c r="L76" i="8"/>
  <c r="M76" i="8" s="1"/>
  <c r="K76" i="8"/>
  <c r="C76" i="8"/>
  <c r="AV75" i="8"/>
  <c r="AW75" i="8" s="1"/>
  <c r="AX75" i="8" s="1"/>
  <c r="AT75" i="8"/>
  <c r="AU75" i="8" s="1"/>
  <c r="AS75" i="8"/>
  <c r="AR75" i="8"/>
  <c r="AQ75" i="8"/>
  <c r="AL75" i="8"/>
  <c r="AM75" i="8" s="1"/>
  <c r="AK75" i="8"/>
  <c r="AF75" i="8"/>
  <c r="AG75" i="8" s="1"/>
  <c r="AE75" i="8"/>
  <c r="Z75" i="8"/>
  <c r="AA75" i="8" s="1"/>
  <c r="Y75" i="8"/>
  <c r="T75" i="8"/>
  <c r="U75" i="8" s="1"/>
  <c r="S75" i="8"/>
  <c r="L75" i="8"/>
  <c r="M75" i="8" s="1"/>
  <c r="K75" i="8"/>
  <c r="C75" i="8"/>
  <c r="AV74" i="8"/>
  <c r="AW74" i="8" s="1"/>
  <c r="AX74" i="8" s="1"/>
  <c r="AT74" i="8"/>
  <c r="AU74" i="8" s="1"/>
  <c r="AS74" i="8"/>
  <c r="AR74" i="8"/>
  <c r="AQ74" i="8"/>
  <c r="AL74" i="8"/>
  <c r="AM74" i="8" s="1"/>
  <c r="AK74" i="8"/>
  <c r="AF74" i="8"/>
  <c r="AG74" i="8" s="1"/>
  <c r="AE74" i="8"/>
  <c r="Z74" i="8"/>
  <c r="AA74" i="8" s="1"/>
  <c r="Y74" i="8"/>
  <c r="T74" i="8"/>
  <c r="U74" i="8" s="1"/>
  <c r="S74" i="8"/>
  <c r="L74" i="8"/>
  <c r="M74" i="8" s="1"/>
  <c r="K74" i="8"/>
  <c r="C74" i="8"/>
  <c r="AV73" i="8"/>
  <c r="AW73" i="8" s="1"/>
  <c r="AX73" i="8" s="1"/>
  <c r="AT73" i="8"/>
  <c r="AU73" i="8" s="1"/>
  <c r="AS73" i="8"/>
  <c r="AR73" i="8"/>
  <c r="AQ73" i="8"/>
  <c r="AL73" i="8"/>
  <c r="AM73" i="8" s="1"/>
  <c r="AK73" i="8"/>
  <c r="AF73" i="8"/>
  <c r="AG73" i="8" s="1"/>
  <c r="AE73" i="8"/>
  <c r="Z73" i="8"/>
  <c r="AA73" i="8" s="1"/>
  <c r="Y73" i="8"/>
  <c r="T73" i="8"/>
  <c r="U73" i="8" s="1"/>
  <c r="S73" i="8"/>
  <c r="L73" i="8"/>
  <c r="M73" i="8" s="1"/>
  <c r="K73" i="8"/>
  <c r="C73" i="8"/>
  <c r="AV72" i="8"/>
  <c r="AW72" i="8" s="1"/>
  <c r="AX72" i="8" s="1"/>
  <c r="AT72" i="8"/>
  <c r="AU72" i="8" s="1"/>
  <c r="AS72" i="8"/>
  <c r="AR72" i="8"/>
  <c r="AQ72" i="8"/>
  <c r="AL72" i="8"/>
  <c r="AM72" i="8" s="1"/>
  <c r="AK72" i="8"/>
  <c r="AG72" i="8"/>
  <c r="AF72" i="8"/>
  <c r="AE72" i="8"/>
  <c r="Z72" i="8"/>
  <c r="AA72" i="8" s="1"/>
  <c r="Y72" i="8"/>
  <c r="U72" i="8"/>
  <c r="T72" i="8"/>
  <c r="S72" i="8"/>
  <c r="L72" i="8"/>
  <c r="M72" i="8" s="1"/>
  <c r="K72" i="8"/>
  <c r="C72" i="8"/>
  <c r="AV71" i="8"/>
  <c r="AW71" i="8" s="1"/>
  <c r="AX71" i="8" s="1"/>
  <c r="AT71" i="8"/>
  <c r="AU71" i="8" s="1"/>
  <c r="AS71" i="8"/>
  <c r="AR71" i="8"/>
  <c r="AQ71" i="8"/>
  <c r="AL71" i="8"/>
  <c r="AM71" i="8" s="1"/>
  <c r="AK71" i="8"/>
  <c r="AF71" i="8"/>
  <c r="AG71" i="8" s="1"/>
  <c r="AE71" i="8"/>
  <c r="Z71" i="8"/>
  <c r="AA71" i="8" s="1"/>
  <c r="Y71" i="8"/>
  <c r="T71" i="8"/>
  <c r="U71" i="8" s="1"/>
  <c r="S71" i="8"/>
  <c r="L71" i="8"/>
  <c r="M71" i="8" s="1"/>
  <c r="K71" i="8"/>
  <c r="C71" i="8"/>
  <c r="AV70" i="8"/>
  <c r="AW70" i="8" s="1"/>
  <c r="AX70" i="8" s="1"/>
  <c r="AT70" i="8"/>
  <c r="AU70" i="8" s="1"/>
  <c r="AS70" i="8"/>
  <c r="AR70" i="8"/>
  <c r="AQ70" i="8"/>
  <c r="AL70" i="8"/>
  <c r="AM70" i="8" s="1"/>
  <c r="AK70" i="8"/>
  <c r="AF70" i="8"/>
  <c r="AG70" i="8" s="1"/>
  <c r="AE70" i="8"/>
  <c r="Z70" i="8"/>
  <c r="AA70" i="8" s="1"/>
  <c r="Y70" i="8"/>
  <c r="T70" i="8"/>
  <c r="U70" i="8" s="1"/>
  <c r="S70" i="8"/>
  <c r="L70" i="8"/>
  <c r="M70" i="8" s="1"/>
  <c r="K70" i="8"/>
  <c r="C70" i="8"/>
  <c r="AV68" i="8"/>
  <c r="AW68" i="8" s="1"/>
  <c r="AX68" i="8" s="1"/>
  <c r="AT68" i="8"/>
  <c r="AU68" i="8" s="1"/>
  <c r="AS68" i="8"/>
  <c r="AR68" i="8"/>
  <c r="AQ68" i="8"/>
  <c r="AL68" i="8"/>
  <c r="AM68" i="8" s="1"/>
  <c r="AK68" i="8"/>
  <c r="AF68" i="8"/>
  <c r="AG68" i="8" s="1"/>
  <c r="AE68" i="8"/>
  <c r="Z68" i="8"/>
  <c r="AA68" i="8" s="1"/>
  <c r="Y68" i="8"/>
  <c r="T68" i="8"/>
  <c r="U68" i="8" s="1"/>
  <c r="S68" i="8"/>
  <c r="L68" i="8"/>
  <c r="M68" i="8" s="1"/>
  <c r="K68" i="8"/>
  <c r="C68" i="8"/>
  <c r="AV67" i="8"/>
  <c r="AW67" i="8" s="1"/>
  <c r="AX67" i="8" s="1"/>
  <c r="AT67" i="8"/>
  <c r="AU67" i="8" s="1"/>
  <c r="AS67" i="8"/>
  <c r="AR67" i="8"/>
  <c r="AQ67" i="8"/>
  <c r="AL67" i="8"/>
  <c r="AM67" i="8" s="1"/>
  <c r="AK67" i="8"/>
  <c r="AG67" i="8"/>
  <c r="AF67" i="8"/>
  <c r="AE67" i="8"/>
  <c r="Z67" i="8"/>
  <c r="AA67" i="8" s="1"/>
  <c r="Y67" i="8"/>
  <c r="T67" i="8"/>
  <c r="U67" i="8" s="1"/>
  <c r="S67" i="8"/>
  <c r="L67" i="8"/>
  <c r="M67" i="8" s="1"/>
  <c r="K67" i="8"/>
  <c r="C67" i="8"/>
  <c r="AV66" i="8"/>
  <c r="AW66" i="8" s="1"/>
  <c r="AX66" i="8" s="1"/>
  <c r="AT66" i="8"/>
  <c r="AU66" i="8" s="1"/>
  <c r="AS66" i="8"/>
  <c r="AR66" i="8"/>
  <c r="AQ66" i="8"/>
  <c r="AL66" i="8"/>
  <c r="AM66" i="8" s="1"/>
  <c r="AK66" i="8"/>
  <c r="AF66" i="8"/>
  <c r="AG66" i="8" s="1"/>
  <c r="AE66" i="8"/>
  <c r="Z66" i="8"/>
  <c r="AA66" i="8" s="1"/>
  <c r="Y66" i="8"/>
  <c r="T66" i="8"/>
  <c r="U66" i="8" s="1"/>
  <c r="S66" i="8"/>
  <c r="L66" i="8"/>
  <c r="M66" i="8" s="1"/>
  <c r="K66" i="8"/>
  <c r="C66" i="8"/>
  <c r="AV65" i="8"/>
  <c r="AW65" i="8" s="1"/>
  <c r="AX65" i="8" s="1"/>
  <c r="AT65" i="8"/>
  <c r="AU65" i="8" s="1"/>
  <c r="AS65" i="8"/>
  <c r="AR65" i="8"/>
  <c r="AQ65" i="8"/>
  <c r="AL65" i="8"/>
  <c r="AM65" i="8" s="1"/>
  <c r="AK65" i="8"/>
  <c r="AG65" i="8"/>
  <c r="AF65" i="8"/>
  <c r="AE65" i="8"/>
  <c r="Z65" i="8"/>
  <c r="AA65" i="8" s="1"/>
  <c r="Y65" i="8"/>
  <c r="U65" i="8"/>
  <c r="T65" i="8"/>
  <c r="S65" i="8"/>
  <c r="L65" i="8"/>
  <c r="M65" i="8" s="1"/>
  <c r="K65" i="8"/>
  <c r="C65" i="8"/>
  <c r="AV64" i="8"/>
  <c r="AW64" i="8" s="1"/>
  <c r="AX64" i="8" s="1"/>
  <c r="AT64" i="8"/>
  <c r="AU64" i="8" s="1"/>
  <c r="AS64" i="8"/>
  <c r="AR64" i="8"/>
  <c r="AQ64" i="8"/>
  <c r="AL64" i="8"/>
  <c r="AM64" i="8" s="1"/>
  <c r="AK64" i="8"/>
  <c r="AF64" i="8"/>
  <c r="AG64" i="8" s="1"/>
  <c r="AE64" i="8"/>
  <c r="Z64" i="8"/>
  <c r="AA64" i="8" s="1"/>
  <c r="Y64" i="8"/>
  <c r="U64" i="8"/>
  <c r="T64" i="8"/>
  <c r="S64" i="8"/>
  <c r="L64" i="8"/>
  <c r="M64" i="8" s="1"/>
  <c r="K64" i="8"/>
  <c r="C64" i="8"/>
  <c r="AV63" i="8"/>
  <c r="AW63" i="8" s="1"/>
  <c r="AX63" i="8" s="1"/>
  <c r="AT63" i="8"/>
  <c r="AU63" i="8" s="1"/>
  <c r="AS63" i="8"/>
  <c r="AR63" i="8"/>
  <c r="AQ63" i="8"/>
  <c r="AL63" i="8"/>
  <c r="AM63" i="8" s="1"/>
  <c r="AK63" i="8"/>
  <c r="AG63" i="8"/>
  <c r="AF63" i="8"/>
  <c r="AE63" i="8"/>
  <c r="AA63" i="8"/>
  <c r="Z63" i="8"/>
  <c r="Y63" i="8"/>
  <c r="T63" i="8"/>
  <c r="U63" i="8" s="1"/>
  <c r="S63" i="8"/>
  <c r="L63" i="8"/>
  <c r="M63" i="8" s="1"/>
  <c r="K63" i="8"/>
  <c r="C63" i="8"/>
  <c r="AV62" i="8"/>
  <c r="AW62" i="8" s="1"/>
  <c r="AX62" i="8" s="1"/>
  <c r="AT62" i="8"/>
  <c r="AU62" i="8" s="1"/>
  <c r="AS62" i="8"/>
  <c r="AR62" i="8"/>
  <c r="AQ62" i="8"/>
  <c r="AL62" i="8"/>
  <c r="AM62" i="8" s="1"/>
  <c r="AK62" i="8"/>
  <c r="AF62" i="8"/>
  <c r="AG62" i="8" s="1"/>
  <c r="AE62" i="8"/>
  <c r="Z62" i="8"/>
  <c r="AA62" i="8" s="1"/>
  <c r="Y62" i="8"/>
  <c r="T62" i="8"/>
  <c r="U62" i="8" s="1"/>
  <c r="S62" i="8"/>
  <c r="L62" i="8"/>
  <c r="M62" i="8" s="1"/>
  <c r="K62" i="8"/>
  <c r="C62" i="8"/>
  <c r="AV61" i="8"/>
  <c r="AW61" i="8" s="1"/>
  <c r="AX61" i="8" s="1"/>
  <c r="AT61" i="8"/>
  <c r="AU61" i="8" s="1"/>
  <c r="AS61" i="8"/>
  <c r="AR61" i="8"/>
  <c r="AQ61" i="8"/>
  <c r="AL61" i="8"/>
  <c r="AM61" i="8" s="1"/>
  <c r="AK61" i="8"/>
  <c r="AF61" i="8"/>
  <c r="AG61" i="8" s="1"/>
  <c r="AE61" i="8"/>
  <c r="AA61" i="8"/>
  <c r="Z61" i="8"/>
  <c r="Y61" i="8"/>
  <c r="T61" i="8"/>
  <c r="U61" i="8" s="1"/>
  <c r="S61" i="8"/>
  <c r="L61" i="8"/>
  <c r="M61" i="8" s="1"/>
  <c r="K61" i="8"/>
  <c r="C61" i="8"/>
  <c r="AV60" i="8"/>
  <c r="AW60" i="8" s="1"/>
  <c r="AX60" i="8" s="1"/>
  <c r="AT60" i="8"/>
  <c r="AU60" i="8" s="1"/>
  <c r="AS60" i="8"/>
  <c r="AR60" i="8"/>
  <c r="AQ60" i="8"/>
  <c r="AL60" i="8"/>
  <c r="AM60" i="8" s="1"/>
  <c r="AK60" i="8"/>
  <c r="AG60" i="8"/>
  <c r="AF60" i="8"/>
  <c r="AE60" i="8"/>
  <c r="Z60" i="8"/>
  <c r="AA60" i="8" s="1"/>
  <c r="Y60" i="8"/>
  <c r="U60" i="8"/>
  <c r="T60" i="8"/>
  <c r="S60" i="8"/>
  <c r="L60" i="8"/>
  <c r="M60" i="8" s="1"/>
  <c r="K60" i="8"/>
  <c r="C60" i="8"/>
  <c r="AV59" i="8"/>
  <c r="AW59" i="8" s="1"/>
  <c r="AX59" i="8" s="1"/>
  <c r="AT59" i="8"/>
  <c r="AU59" i="8" s="1"/>
  <c r="AS59" i="8"/>
  <c r="AR59" i="8"/>
  <c r="AQ59" i="8"/>
  <c r="AL59" i="8"/>
  <c r="AM59" i="8" s="1"/>
  <c r="AK59" i="8"/>
  <c r="AG59" i="8"/>
  <c r="AF59" i="8"/>
  <c r="AE59" i="8"/>
  <c r="AA59" i="8"/>
  <c r="Z59" i="8"/>
  <c r="Y59" i="8"/>
  <c r="T59" i="8"/>
  <c r="U59" i="8" s="1"/>
  <c r="S59" i="8"/>
  <c r="L59" i="8"/>
  <c r="M59" i="8" s="1"/>
  <c r="K59" i="8"/>
  <c r="C59" i="8"/>
  <c r="AV58" i="8"/>
  <c r="AW58" i="8" s="1"/>
  <c r="AX58" i="8" s="1"/>
  <c r="AT58" i="8"/>
  <c r="AU58" i="8" s="1"/>
  <c r="AS58" i="8"/>
  <c r="AR58" i="8"/>
  <c r="AQ58" i="8"/>
  <c r="AL58" i="8"/>
  <c r="AM58" i="8" s="1"/>
  <c r="AK58" i="8"/>
  <c r="AF58" i="8"/>
  <c r="AG58" i="8" s="1"/>
  <c r="AE58" i="8"/>
  <c r="Z58" i="8"/>
  <c r="AA58" i="8" s="1"/>
  <c r="Y58" i="8"/>
  <c r="T58" i="8"/>
  <c r="U58" i="8" s="1"/>
  <c r="S58" i="8"/>
  <c r="L58" i="8"/>
  <c r="M58" i="8" s="1"/>
  <c r="K58" i="8"/>
  <c r="C58" i="8"/>
  <c r="AV57" i="8"/>
  <c r="AW57" i="8" s="1"/>
  <c r="AX57" i="8" s="1"/>
  <c r="AT57" i="8"/>
  <c r="AU57" i="8" s="1"/>
  <c r="AS57" i="8"/>
  <c r="AR57" i="8"/>
  <c r="AQ57" i="8"/>
  <c r="AL57" i="8"/>
  <c r="AM57" i="8" s="1"/>
  <c r="AK57" i="8"/>
  <c r="AF57" i="8"/>
  <c r="AG57" i="8" s="1"/>
  <c r="AE57" i="8"/>
  <c r="AA57" i="8"/>
  <c r="Z57" i="8"/>
  <c r="Y57" i="8"/>
  <c r="T57" i="8"/>
  <c r="U57" i="8" s="1"/>
  <c r="S57" i="8"/>
  <c r="L57" i="8"/>
  <c r="M57" i="8" s="1"/>
  <c r="K57" i="8"/>
  <c r="C57" i="8"/>
  <c r="AV56" i="8"/>
  <c r="AW56" i="8" s="1"/>
  <c r="AX56" i="8" s="1"/>
  <c r="AT56" i="8"/>
  <c r="AU56" i="8" s="1"/>
  <c r="AS56" i="8"/>
  <c r="AR56" i="8"/>
  <c r="AQ56" i="8"/>
  <c r="AL56" i="8"/>
  <c r="AM56" i="8" s="1"/>
  <c r="AK56" i="8"/>
  <c r="AG56" i="8"/>
  <c r="AF56" i="8"/>
  <c r="AE56" i="8"/>
  <c r="Z56" i="8"/>
  <c r="AA56" i="8" s="1"/>
  <c r="Y56" i="8"/>
  <c r="T56" i="8"/>
  <c r="U56" i="8" s="1"/>
  <c r="S56" i="8"/>
  <c r="L56" i="8"/>
  <c r="M56" i="8" s="1"/>
  <c r="K56" i="8"/>
  <c r="C56" i="8"/>
  <c r="AV55" i="8"/>
  <c r="AW55" i="8" s="1"/>
  <c r="AX55" i="8" s="1"/>
  <c r="AT55" i="8"/>
  <c r="AU55" i="8" s="1"/>
  <c r="AS55" i="8"/>
  <c r="AR55" i="8"/>
  <c r="AQ55" i="8"/>
  <c r="AL55" i="8"/>
  <c r="AM55" i="8" s="1"/>
  <c r="AK55" i="8"/>
  <c r="AG55" i="8"/>
  <c r="AF55" i="8"/>
  <c r="AE55" i="8"/>
  <c r="AA55" i="8"/>
  <c r="Z55" i="8"/>
  <c r="Y55" i="8"/>
  <c r="T55" i="8"/>
  <c r="U55" i="8" s="1"/>
  <c r="S55" i="8"/>
  <c r="L55" i="8"/>
  <c r="M55" i="8" s="1"/>
  <c r="K55" i="8"/>
  <c r="C55" i="8"/>
  <c r="AV54" i="8"/>
  <c r="AW54" i="8" s="1"/>
  <c r="AX54" i="8" s="1"/>
  <c r="AT54" i="8"/>
  <c r="AU54" i="8" s="1"/>
  <c r="AS54" i="8"/>
  <c r="AR54" i="8"/>
  <c r="AQ54" i="8"/>
  <c r="AL54" i="8"/>
  <c r="AM54" i="8" s="1"/>
  <c r="AK54" i="8"/>
  <c r="AF54" i="8"/>
  <c r="AG54" i="8" s="1"/>
  <c r="AE54" i="8"/>
  <c r="Z54" i="8"/>
  <c r="AA54" i="8" s="1"/>
  <c r="Y54" i="8"/>
  <c r="U54" i="8"/>
  <c r="T54" i="8"/>
  <c r="S54" i="8"/>
  <c r="L54" i="8"/>
  <c r="M54" i="8" s="1"/>
  <c r="K54" i="8"/>
  <c r="C54" i="8"/>
  <c r="AV53" i="8"/>
  <c r="AW53" i="8" s="1"/>
  <c r="AX53" i="8" s="1"/>
  <c r="AT53" i="8"/>
  <c r="AU53" i="8" s="1"/>
  <c r="AS53" i="8"/>
  <c r="AR53" i="8"/>
  <c r="AQ53" i="8"/>
  <c r="AL53" i="8"/>
  <c r="AM53" i="8" s="1"/>
  <c r="AK53" i="8"/>
  <c r="AG53" i="8"/>
  <c r="AF53" i="8"/>
  <c r="AE53" i="8"/>
  <c r="AA53" i="8"/>
  <c r="Z53" i="8"/>
  <c r="Y53" i="8"/>
  <c r="U53" i="8"/>
  <c r="T53" i="8"/>
  <c r="S53" i="8"/>
  <c r="L53" i="8"/>
  <c r="M53" i="8" s="1"/>
  <c r="K53" i="8"/>
  <c r="C53" i="8"/>
  <c r="AV52" i="8"/>
  <c r="AW52" i="8" s="1"/>
  <c r="AX52" i="8" s="1"/>
  <c r="AT52" i="8"/>
  <c r="AU52" i="8" s="1"/>
  <c r="AS52" i="8"/>
  <c r="AR52" i="8"/>
  <c r="AQ52" i="8"/>
  <c r="AL52" i="8"/>
  <c r="AM52" i="8" s="1"/>
  <c r="AK52" i="8"/>
  <c r="AF52" i="8"/>
  <c r="AG52" i="8" s="1"/>
  <c r="AE52" i="8"/>
  <c r="Z52" i="8"/>
  <c r="AA52" i="8" s="1"/>
  <c r="Y52" i="8"/>
  <c r="T52" i="8"/>
  <c r="U52" i="8" s="1"/>
  <c r="S52" i="8"/>
  <c r="L52" i="8"/>
  <c r="M52" i="8" s="1"/>
  <c r="K52" i="8"/>
  <c r="C52" i="8"/>
  <c r="AV51" i="8"/>
  <c r="AW51" i="8" s="1"/>
  <c r="AX51" i="8" s="1"/>
  <c r="AT51" i="8"/>
  <c r="AU51" i="8" s="1"/>
  <c r="AS51" i="8"/>
  <c r="AR51" i="8"/>
  <c r="AQ51" i="8"/>
  <c r="AL51" i="8"/>
  <c r="AM51" i="8" s="1"/>
  <c r="AK51" i="8"/>
  <c r="AF51" i="8"/>
  <c r="AG51" i="8" s="1"/>
  <c r="AE51" i="8"/>
  <c r="Z51" i="8"/>
  <c r="AA51" i="8" s="1"/>
  <c r="Y51" i="8"/>
  <c r="T51" i="8"/>
  <c r="U51" i="8" s="1"/>
  <c r="S51" i="8"/>
  <c r="L51" i="8"/>
  <c r="M51" i="8" s="1"/>
  <c r="K51" i="8"/>
  <c r="C51" i="8"/>
  <c r="AV50" i="8"/>
  <c r="AW50" i="8" s="1"/>
  <c r="AX50" i="8" s="1"/>
  <c r="AT50" i="8"/>
  <c r="AU50" i="8" s="1"/>
  <c r="AS50" i="8"/>
  <c r="AR50" i="8"/>
  <c r="AQ50" i="8"/>
  <c r="AL50" i="8"/>
  <c r="AM50" i="8" s="1"/>
  <c r="AK50" i="8"/>
  <c r="AF50" i="8"/>
  <c r="AG50" i="8" s="1"/>
  <c r="AE50" i="8"/>
  <c r="Z50" i="8"/>
  <c r="AA50" i="8" s="1"/>
  <c r="Y50" i="8"/>
  <c r="T50" i="8"/>
  <c r="U50" i="8" s="1"/>
  <c r="S50" i="8"/>
  <c r="L50" i="8"/>
  <c r="M50" i="8" s="1"/>
  <c r="K50" i="8"/>
  <c r="C50" i="8"/>
  <c r="AV49" i="8"/>
  <c r="AW49" i="8" s="1"/>
  <c r="AX49" i="8" s="1"/>
  <c r="AT49" i="8"/>
  <c r="AU49" i="8" s="1"/>
  <c r="AS49" i="8"/>
  <c r="AR49" i="8"/>
  <c r="AQ49" i="8"/>
  <c r="AL49" i="8"/>
  <c r="AM49" i="8" s="1"/>
  <c r="AK49" i="8"/>
  <c r="AF49" i="8"/>
  <c r="AG49" i="8" s="1"/>
  <c r="AE49" i="8"/>
  <c r="Z49" i="8"/>
  <c r="AA49" i="8" s="1"/>
  <c r="Y49" i="8"/>
  <c r="U49" i="8"/>
  <c r="T49" i="8"/>
  <c r="S49" i="8"/>
  <c r="L49" i="8"/>
  <c r="M49" i="8" s="1"/>
  <c r="K49" i="8"/>
  <c r="C49" i="8"/>
  <c r="AV48" i="8"/>
  <c r="AW48" i="8" s="1"/>
  <c r="AX48" i="8" s="1"/>
  <c r="AT48" i="8"/>
  <c r="AU48" i="8" s="1"/>
  <c r="AS48" i="8"/>
  <c r="AR48" i="8"/>
  <c r="AQ48" i="8"/>
  <c r="AL48" i="8"/>
  <c r="AM48" i="8" s="1"/>
  <c r="AK48" i="8"/>
  <c r="AG48" i="8"/>
  <c r="AF48" i="8"/>
  <c r="AE48" i="8"/>
  <c r="Z48" i="8"/>
  <c r="AA48" i="8" s="1"/>
  <c r="Y48" i="8"/>
  <c r="T48" i="8"/>
  <c r="U48" i="8" s="1"/>
  <c r="S48" i="8"/>
  <c r="L48" i="8"/>
  <c r="M48" i="8" s="1"/>
  <c r="K48" i="8"/>
  <c r="C48" i="8"/>
  <c r="AV47" i="8"/>
  <c r="AW47" i="8" s="1"/>
  <c r="AX47" i="8" s="1"/>
  <c r="AT47" i="8"/>
  <c r="AU47" i="8" s="1"/>
  <c r="AS47" i="8"/>
  <c r="AR47" i="8"/>
  <c r="AQ47" i="8"/>
  <c r="AL47" i="8"/>
  <c r="AM47" i="8" s="1"/>
  <c r="AK47" i="8"/>
  <c r="AF47" i="8"/>
  <c r="AG47" i="8" s="1"/>
  <c r="AE47" i="8"/>
  <c r="Z47" i="8"/>
  <c r="AA47" i="8" s="1"/>
  <c r="Y47" i="8"/>
  <c r="T47" i="8"/>
  <c r="U47" i="8" s="1"/>
  <c r="S47" i="8"/>
  <c r="L47" i="8"/>
  <c r="M47" i="8" s="1"/>
  <c r="K47" i="8"/>
  <c r="C47" i="8"/>
  <c r="AV46" i="8"/>
  <c r="AW46" i="8" s="1"/>
  <c r="AX46" i="8" s="1"/>
  <c r="AT46" i="8"/>
  <c r="AU46" i="8" s="1"/>
  <c r="AS46" i="8"/>
  <c r="AR46" i="8"/>
  <c r="AQ46" i="8"/>
  <c r="AL46" i="8"/>
  <c r="AM46" i="8" s="1"/>
  <c r="AK46" i="8"/>
  <c r="AF46" i="8"/>
  <c r="AG46" i="8" s="1"/>
  <c r="AE46" i="8"/>
  <c r="Z46" i="8"/>
  <c r="AA46" i="8" s="1"/>
  <c r="Y46" i="8"/>
  <c r="U46" i="8"/>
  <c r="T46" i="8"/>
  <c r="S46" i="8"/>
  <c r="L46" i="8"/>
  <c r="M46" i="8" s="1"/>
  <c r="K46" i="8"/>
  <c r="C46" i="8"/>
  <c r="AV45" i="8"/>
  <c r="AW45" i="8" s="1"/>
  <c r="AX45" i="8" s="1"/>
  <c r="AT45" i="8"/>
  <c r="AU45" i="8" s="1"/>
  <c r="AS45" i="8"/>
  <c r="AR45" i="8"/>
  <c r="AQ45" i="8"/>
  <c r="AL45" i="8"/>
  <c r="AM45" i="8" s="1"/>
  <c r="AK45" i="8"/>
  <c r="AF45" i="8"/>
  <c r="AG45" i="8" s="1"/>
  <c r="AE45" i="8"/>
  <c r="Z45" i="8"/>
  <c r="AA45" i="8" s="1"/>
  <c r="Y45" i="8"/>
  <c r="T45" i="8"/>
  <c r="U45" i="8" s="1"/>
  <c r="S45" i="8"/>
  <c r="L45" i="8"/>
  <c r="M45" i="8" s="1"/>
  <c r="K45" i="8"/>
  <c r="C45" i="8"/>
  <c r="AV44" i="8"/>
  <c r="AW44" i="8" s="1"/>
  <c r="AX44" i="8" s="1"/>
  <c r="AT44" i="8"/>
  <c r="AU44" i="8" s="1"/>
  <c r="AS44" i="8"/>
  <c r="AR44" i="8"/>
  <c r="AQ44" i="8"/>
  <c r="AL44" i="8"/>
  <c r="AM44" i="8" s="1"/>
  <c r="AK44" i="8"/>
  <c r="AG44" i="8"/>
  <c r="AF44" i="8"/>
  <c r="AE44" i="8"/>
  <c r="AA44" i="8"/>
  <c r="Z44" i="8"/>
  <c r="Y44" i="8"/>
  <c r="T44" i="8"/>
  <c r="U44" i="8" s="1"/>
  <c r="S44" i="8"/>
  <c r="L44" i="8"/>
  <c r="M44" i="8" s="1"/>
  <c r="K44" i="8"/>
  <c r="C44" i="8"/>
  <c r="AV43" i="8"/>
  <c r="AW43" i="8" s="1"/>
  <c r="AX43" i="8" s="1"/>
  <c r="AT43" i="8"/>
  <c r="AU43" i="8" s="1"/>
  <c r="AS43" i="8"/>
  <c r="AR43" i="8"/>
  <c r="AQ43" i="8"/>
  <c r="AL43" i="8"/>
  <c r="AM43" i="8" s="1"/>
  <c r="AK43" i="8"/>
  <c r="AF43" i="8"/>
  <c r="AG43" i="8" s="1"/>
  <c r="AE43" i="8"/>
  <c r="AA43" i="8"/>
  <c r="Z43" i="8"/>
  <c r="Y43" i="8"/>
  <c r="T43" i="8"/>
  <c r="U43" i="8" s="1"/>
  <c r="S43" i="8"/>
  <c r="L43" i="8"/>
  <c r="M43" i="8" s="1"/>
  <c r="K43" i="8"/>
  <c r="C43" i="8"/>
  <c r="AV42" i="8"/>
  <c r="AW42" i="8" s="1"/>
  <c r="AX42" i="8" s="1"/>
  <c r="AT42" i="8"/>
  <c r="AU42" i="8" s="1"/>
  <c r="AS42" i="8"/>
  <c r="AR42" i="8"/>
  <c r="AQ42" i="8"/>
  <c r="AL42" i="8"/>
  <c r="AM42" i="8" s="1"/>
  <c r="AK42" i="8"/>
  <c r="AF42" i="8"/>
  <c r="AG42" i="8" s="1"/>
  <c r="AE42" i="8"/>
  <c r="AA42" i="8"/>
  <c r="Z42" i="8"/>
  <c r="Y42" i="8"/>
  <c r="T42" i="8"/>
  <c r="U42" i="8" s="1"/>
  <c r="S42" i="8"/>
  <c r="L42" i="8"/>
  <c r="M42" i="8" s="1"/>
  <c r="K42" i="8"/>
  <c r="C42" i="8"/>
  <c r="AV41" i="8"/>
  <c r="AW41" i="8" s="1"/>
  <c r="AX41" i="8" s="1"/>
  <c r="AT41" i="8"/>
  <c r="AU41" i="8" s="1"/>
  <c r="AS41" i="8"/>
  <c r="AR41" i="8"/>
  <c r="AQ41" i="8"/>
  <c r="AL41" i="8"/>
  <c r="AM41" i="8" s="1"/>
  <c r="AK41" i="8"/>
  <c r="AF41" i="8"/>
  <c r="AG41" i="8" s="1"/>
  <c r="AE41" i="8"/>
  <c r="AA41" i="8"/>
  <c r="Z41" i="8"/>
  <c r="Y41" i="8"/>
  <c r="U41" i="8"/>
  <c r="T41" i="8"/>
  <c r="S41" i="8"/>
  <c r="L41" i="8"/>
  <c r="M41" i="8" s="1"/>
  <c r="K41" i="8"/>
  <c r="C41" i="8"/>
  <c r="AV40" i="8"/>
  <c r="AW40" i="8" s="1"/>
  <c r="AX40" i="8" s="1"/>
  <c r="AT40" i="8"/>
  <c r="AU40" i="8" s="1"/>
  <c r="AS40" i="8"/>
  <c r="AR40" i="8"/>
  <c r="AQ40" i="8"/>
  <c r="AL40" i="8"/>
  <c r="AM40" i="8" s="1"/>
  <c r="AK40" i="8"/>
  <c r="AG40" i="8"/>
  <c r="AF40" i="8"/>
  <c r="AE40" i="8"/>
  <c r="AA40" i="8"/>
  <c r="Z40" i="8"/>
  <c r="Y40" i="8"/>
  <c r="U40" i="8"/>
  <c r="T40" i="8"/>
  <c r="S40" i="8"/>
  <c r="L40" i="8"/>
  <c r="M40" i="8" s="1"/>
  <c r="K40" i="8"/>
  <c r="C40" i="8"/>
  <c r="AV39" i="8"/>
  <c r="AW39" i="8" s="1"/>
  <c r="AX39" i="8" s="1"/>
  <c r="AT39" i="8"/>
  <c r="AU39" i="8" s="1"/>
  <c r="AS39" i="8"/>
  <c r="AR39" i="8"/>
  <c r="AQ39" i="8"/>
  <c r="AL39" i="8"/>
  <c r="AM39" i="8" s="1"/>
  <c r="AK39" i="8"/>
  <c r="AF39" i="8"/>
  <c r="AG39" i="8" s="1"/>
  <c r="AE39" i="8"/>
  <c r="Z39" i="8"/>
  <c r="AA39" i="8" s="1"/>
  <c r="Y39" i="8"/>
  <c r="T39" i="8"/>
  <c r="U39" i="8" s="1"/>
  <c r="S39" i="8"/>
  <c r="L39" i="8"/>
  <c r="M39" i="8" s="1"/>
  <c r="K39" i="8"/>
  <c r="C39" i="8"/>
  <c r="AV38" i="8"/>
  <c r="AW38" i="8" s="1"/>
  <c r="AX38" i="8" s="1"/>
  <c r="AT38" i="8"/>
  <c r="AU38" i="8" s="1"/>
  <c r="AS38" i="8"/>
  <c r="AR38" i="8"/>
  <c r="AQ38" i="8"/>
  <c r="AL38" i="8"/>
  <c r="AM38" i="8" s="1"/>
  <c r="AK38" i="8"/>
  <c r="AG38" i="8"/>
  <c r="AF38" i="8"/>
  <c r="AE38" i="8"/>
  <c r="Z38" i="8"/>
  <c r="AA38" i="8" s="1"/>
  <c r="Y38" i="8"/>
  <c r="T38" i="8"/>
  <c r="U38" i="8" s="1"/>
  <c r="S38" i="8"/>
  <c r="L38" i="8"/>
  <c r="M38" i="8" s="1"/>
  <c r="K38" i="8"/>
  <c r="C38" i="8"/>
  <c r="AV37" i="8"/>
  <c r="AW37" i="8" s="1"/>
  <c r="AX37" i="8" s="1"/>
  <c r="AT37" i="8"/>
  <c r="AU37" i="8" s="1"/>
  <c r="AS37" i="8"/>
  <c r="AR37" i="8"/>
  <c r="AQ37" i="8"/>
  <c r="AL37" i="8"/>
  <c r="AM37" i="8" s="1"/>
  <c r="AK37" i="8"/>
  <c r="AF37" i="8"/>
  <c r="AG37" i="8" s="1"/>
  <c r="AE37" i="8"/>
  <c r="Z37" i="8"/>
  <c r="AA37" i="8" s="1"/>
  <c r="Y37" i="8"/>
  <c r="T37" i="8"/>
  <c r="U37" i="8" s="1"/>
  <c r="S37" i="8"/>
  <c r="L37" i="8"/>
  <c r="M37" i="8" s="1"/>
  <c r="K37" i="8"/>
  <c r="C37" i="8"/>
  <c r="AV36" i="8"/>
  <c r="AW36" i="8" s="1"/>
  <c r="AX36" i="8" s="1"/>
  <c r="AT36" i="8"/>
  <c r="AU36" i="8" s="1"/>
  <c r="AS36" i="8"/>
  <c r="AR36" i="8"/>
  <c r="AQ36" i="8"/>
  <c r="AL36" i="8"/>
  <c r="AM36" i="8" s="1"/>
  <c r="AK36" i="8"/>
  <c r="AG36" i="8"/>
  <c r="AF36" i="8"/>
  <c r="AE36" i="8"/>
  <c r="Z36" i="8"/>
  <c r="AA36" i="8" s="1"/>
  <c r="Y36" i="8"/>
  <c r="T36" i="8"/>
  <c r="U36" i="8" s="1"/>
  <c r="S36" i="8"/>
  <c r="L36" i="8"/>
  <c r="M36" i="8" s="1"/>
  <c r="K36" i="8"/>
  <c r="C36" i="8"/>
  <c r="AV35" i="8"/>
  <c r="AW35" i="8" s="1"/>
  <c r="AX35" i="8" s="1"/>
  <c r="AT35" i="8"/>
  <c r="AU35" i="8" s="1"/>
  <c r="AS35" i="8"/>
  <c r="AR35" i="8"/>
  <c r="AQ35" i="8"/>
  <c r="AL35" i="8"/>
  <c r="AM35" i="8" s="1"/>
  <c r="AK35" i="8"/>
  <c r="AG35" i="8"/>
  <c r="AF35" i="8"/>
  <c r="AE35" i="8"/>
  <c r="Z35" i="8"/>
  <c r="AA35" i="8" s="1"/>
  <c r="Y35" i="8"/>
  <c r="U35" i="8"/>
  <c r="T35" i="8"/>
  <c r="S35" i="8"/>
  <c r="L35" i="8"/>
  <c r="M35" i="8" s="1"/>
  <c r="K35" i="8"/>
  <c r="C35" i="8"/>
  <c r="AV34" i="8"/>
  <c r="AW34" i="8" s="1"/>
  <c r="AX34" i="8" s="1"/>
  <c r="AT34" i="8"/>
  <c r="AU34" i="8" s="1"/>
  <c r="AS34" i="8"/>
  <c r="AR34" i="8"/>
  <c r="AQ34" i="8"/>
  <c r="AL34" i="8"/>
  <c r="AM34" i="8" s="1"/>
  <c r="AK34" i="8"/>
  <c r="AF34" i="8"/>
  <c r="AG34" i="8" s="1"/>
  <c r="AE34" i="8"/>
  <c r="Z34" i="8"/>
  <c r="AA34" i="8" s="1"/>
  <c r="Y34" i="8"/>
  <c r="T34" i="8"/>
  <c r="U34" i="8" s="1"/>
  <c r="S34" i="8"/>
  <c r="L34" i="8"/>
  <c r="M34" i="8" s="1"/>
  <c r="K34" i="8"/>
  <c r="C34" i="8"/>
  <c r="AV33" i="8"/>
  <c r="AW33" i="8" s="1"/>
  <c r="AX33" i="8" s="1"/>
  <c r="AT33" i="8"/>
  <c r="AU33" i="8" s="1"/>
  <c r="AS33" i="8"/>
  <c r="AR33" i="8"/>
  <c r="AQ33" i="8"/>
  <c r="AL33" i="8"/>
  <c r="AM33" i="8" s="1"/>
  <c r="AK33" i="8"/>
  <c r="AF33" i="8"/>
  <c r="AG33" i="8" s="1"/>
  <c r="AE33" i="8"/>
  <c r="Z33" i="8"/>
  <c r="AA33" i="8" s="1"/>
  <c r="Y33" i="8"/>
  <c r="T33" i="8"/>
  <c r="U33" i="8" s="1"/>
  <c r="S33" i="8"/>
  <c r="L33" i="8"/>
  <c r="M33" i="8" s="1"/>
  <c r="K33" i="8"/>
  <c r="C33" i="8"/>
  <c r="AV32" i="8"/>
  <c r="AW32" i="8" s="1"/>
  <c r="AX32" i="8" s="1"/>
  <c r="AT32" i="8"/>
  <c r="AU32" i="8" s="1"/>
  <c r="AS32" i="8"/>
  <c r="AR32" i="8"/>
  <c r="AQ32" i="8"/>
  <c r="AL32" i="8"/>
  <c r="AM32" i="8" s="1"/>
  <c r="AK32" i="8"/>
  <c r="AF32" i="8"/>
  <c r="AG32" i="8" s="1"/>
  <c r="AE32" i="8"/>
  <c r="Z32" i="8"/>
  <c r="AA32" i="8" s="1"/>
  <c r="Y32" i="8"/>
  <c r="T32" i="8"/>
  <c r="U32" i="8" s="1"/>
  <c r="S32" i="8"/>
  <c r="L32" i="8"/>
  <c r="M32" i="8" s="1"/>
  <c r="K32" i="8"/>
  <c r="C32" i="8"/>
  <c r="AV31" i="8"/>
  <c r="AW31" i="8" s="1"/>
  <c r="AX31" i="8" s="1"/>
  <c r="AT31" i="8"/>
  <c r="AU31" i="8" s="1"/>
  <c r="AS31" i="8"/>
  <c r="AR31" i="8"/>
  <c r="AQ31" i="8"/>
  <c r="AL31" i="8"/>
  <c r="AM31" i="8" s="1"/>
  <c r="AK31" i="8"/>
  <c r="AG31" i="8"/>
  <c r="AF31" i="8"/>
  <c r="AE31" i="8"/>
  <c r="AA31" i="8"/>
  <c r="Z31" i="8"/>
  <c r="Y31" i="8"/>
  <c r="U31" i="8"/>
  <c r="T31" i="8"/>
  <c r="S31" i="8"/>
  <c r="L31" i="8"/>
  <c r="M31" i="8" s="1"/>
  <c r="K31" i="8"/>
  <c r="C31" i="8"/>
  <c r="AV30" i="8"/>
  <c r="AW30" i="8" s="1"/>
  <c r="AX30" i="8" s="1"/>
  <c r="AT30" i="8"/>
  <c r="AU30" i="8" s="1"/>
  <c r="AS30" i="8"/>
  <c r="AR30" i="8"/>
  <c r="AQ30" i="8"/>
  <c r="AL30" i="8"/>
  <c r="AM30" i="8" s="1"/>
  <c r="AK30" i="8"/>
  <c r="AG30" i="8"/>
  <c r="AF30" i="8"/>
  <c r="AE30" i="8"/>
  <c r="AA30" i="8"/>
  <c r="Z30" i="8"/>
  <c r="Y30" i="8"/>
  <c r="T30" i="8"/>
  <c r="U30" i="8" s="1"/>
  <c r="S30" i="8"/>
  <c r="L30" i="8"/>
  <c r="M30" i="8" s="1"/>
  <c r="K30" i="8"/>
  <c r="C30" i="8"/>
  <c r="AV29" i="8"/>
  <c r="AW29" i="8" s="1"/>
  <c r="AX29" i="8" s="1"/>
  <c r="AT29" i="8"/>
  <c r="AU29" i="8" s="1"/>
  <c r="AS29" i="8"/>
  <c r="AR29" i="8"/>
  <c r="AQ29" i="8"/>
  <c r="AL29" i="8"/>
  <c r="AM29" i="8" s="1"/>
  <c r="AK29" i="8"/>
  <c r="AF29" i="8"/>
  <c r="AG29" i="8" s="1"/>
  <c r="AE29" i="8"/>
  <c r="AA29" i="8"/>
  <c r="Z29" i="8"/>
  <c r="Y29" i="8"/>
  <c r="T29" i="8"/>
  <c r="U29" i="8" s="1"/>
  <c r="S29" i="8"/>
  <c r="L29" i="8"/>
  <c r="M29" i="8" s="1"/>
  <c r="K29" i="8"/>
  <c r="C29" i="8"/>
  <c r="AV28" i="8"/>
  <c r="AW28" i="8" s="1"/>
  <c r="AX28" i="8" s="1"/>
  <c r="AT28" i="8"/>
  <c r="AU28" i="8" s="1"/>
  <c r="AS28" i="8"/>
  <c r="AR28" i="8"/>
  <c r="AQ28" i="8"/>
  <c r="AL28" i="8"/>
  <c r="AM28" i="8" s="1"/>
  <c r="AK28" i="8"/>
  <c r="AG28" i="8"/>
  <c r="AF28" i="8"/>
  <c r="AE28" i="8"/>
  <c r="AA28" i="8"/>
  <c r="Z28" i="8"/>
  <c r="Y28" i="8"/>
  <c r="T28" i="8"/>
  <c r="U28" i="8" s="1"/>
  <c r="S28" i="8"/>
  <c r="L28" i="8"/>
  <c r="M28" i="8" s="1"/>
  <c r="K28" i="8"/>
  <c r="C28" i="8"/>
  <c r="AV27" i="8"/>
  <c r="AW27" i="8" s="1"/>
  <c r="AX27" i="8" s="1"/>
  <c r="AT27" i="8"/>
  <c r="AU27" i="8" s="1"/>
  <c r="AS27" i="8"/>
  <c r="AR27" i="8"/>
  <c r="AQ27" i="8"/>
  <c r="AL27" i="8"/>
  <c r="AM27" i="8" s="1"/>
  <c r="AK27" i="8"/>
  <c r="AF27" i="8"/>
  <c r="AG27" i="8" s="1"/>
  <c r="AE27" i="8"/>
  <c r="AA27" i="8"/>
  <c r="Z27" i="8"/>
  <c r="Y27" i="8"/>
  <c r="T27" i="8"/>
  <c r="U27" i="8" s="1"/>
  <c r="S27" i="8"/>
  <c r="L27" i="8"/>
  <c r="M27" i="8" s="1"/>
  <c r="K27" i="8"/>
  <c r="C27" i="8"/>
  <c r="AV26" i="8"/>
  <c r="AW26" i="8" s="1"/>
  <c r="AX26" i="8" s="1"/>
  <c r="AT26" i="8"/>
  <c r="AU26" i="8" s="1"/>
  <c r="AS26" i="8"/>
  <c r="AR26" i="8"/>
  <c r="AQ26" i="8"/>
  <c r="AL26" i="8"/>
  <c r="AM26" i="8" s="1"/>
  <c r="AK26" i="8"/>
  <c r="AG26" i="8"/>
  <c r="AF26" i="8"/>
  <c r="AE26" i="8"/>
  <c r="AA26" i="8"/>
  <c r="Z26" i="8"/>
  <c r="Y26" i="8"/>
  <c r="T26" i="8"/>
  <c r="U26" i="8" s="1"/>
  <c r="S26" i="8"/>
  <c r="L26" i="8"/>
  <c r="M26" i="8" s="1"/>
  <c r="K26" i="8"/>
  <c r="C26" i="8"/>
  <c r="AV25" i="8"/>
  <c r="AW25" i="8" s="1"/>
  <c r="AX25" i="8" s="1"/>
  <c r="AT25" i="8"/>
  <c r="AU25" i="8" s="1"/>
  <c r="AS25" i="8"/>
  <c r="AR25" i="8"/>
  <c r="AQ25" i="8"/>
  <c r="AL25" i="8"/>
  <c r="AM25" i="8" s="1"/>
  <c r="AK25" i="8"/>
  <c r="AF25" i="8"/>
  <c r="AG25" i="8" s="1"/>
  <c r="AE25" i="8"/>
  <c r="Z25" i="8"/>
  <c r="AA25" i="8" s="1"/>
  <c r="Y25" i="8"/>
  <c r="T25" i="8"/>
  <c r="U25" i="8" s="1"/>
  <c r="S25" i="8"/>
  <c r="L25" i="8"/>
  <c r="M25" i="8" s="1"/>
  <c r="K25" i="8"/>
  <c r="C25" i="8"/>
  <c r="AV24" i="8"/>
  <c r="AW24" i="8" s="1"/>
  <c r="AX24" i="8" s="1"/>
  <c r="AT24" i="8"/>
  <c r="AU24" i="8" s="1"/>
  <c r="AS24" i="8"/>
  <c r="AR24" i="8"/>
  <c r="AQ24" i="8"/>
  <c r="AL24" i="8"/>
  <c r="AM24" i="8" s="1"/>
  <c r="AK24" i="8"/>
  <c r="AF24" i="8"/>
  <c r="AG24" i="8" s="1"/>
  <c r="AE24" i="8"/>
  <c r="Z24" i="8"/>
  <c r="AA24" i="8" s="1"/>
  <c r="Y24" i="8"/>
  <c r="T24" i="8"/>
  <c r="U24" i="8" s="1"/>
  <c r="S24" i="8"/>
  <c r="L24" i="8"/>
  <c r="M24" i="8" s="1"/>
  <c r="K24" i="8"/>
  <c r="C24" i="8"/>
  <c r="AV23" i="8"/>
  <c r="AW23" i="8" s="1"/>
  <c r="AX23" i="8" s="1"/>
  <c r="AT23" i="8"/>
  <c r="AU23" i="8" s="1"/>
  <c r="AS23" i="8"/>
  <c r="AR23" i="8"/>
  <c r="AQ23" i="8"/>
  <c r="AL23" i="8"/>
  <c r="AM23" i="8" s="1"/>
  <c r="AK23" i="8"/>
  <c r="AG23" i="8"/>
  <c r="AF23" i="8"/>
  <c r="AE23" i="8"/>
  <c r="Z23" i="8"/>
  <c r="AA23" i="8" s="1"/>
  <c r="Y23" i="8"/>
  <c r="T23" i="8"/>
  <c r="U23" i="8" s="1"/>
  <c r="S23" i="8"/>
  <c r="L23" i="8"/>
  <c r="M23" i="8" s="1"/>
  <c r="K23" i="8"/>
  <c r="C23" i="8"/>
  <c r="AV22" i="8"/>
  <c r="AW22" i="8" s="1"/>
  <c r="AX22" i="8" s="1"/>
  <c r="AT22" i="8"/>
  <c r="AU22" i="8" s="1"/>
  <c r="AS22" i="8"/>
  <c r="AR22" i="8"/>
  <c r="AQ22" i="8"/>
  <c r="AL22" i="8"/>
  <c r="AM22" i="8" s="1"/>
  <c r="AK22" i="8"/>
  <c r="AF22" i="8"/>
  <c r="AG22" i="8" s="1"/>
  <c r="AE22" i="8"/>
  <c r="Z22" i="8"/>
  <c r="AA22" i="8" s="1"/>
  <c r="Y22" i="8"/>
  <c r="T22" i="8"/>
  <c r="U22" i="8" s="1"/>
  <c r="S22" i="8"/>
  <c r="L22" i="8"/>
  <c r="M22" i="8" s="1"/>
  <c r="K22" i="8"/>
  <c r="C22" i="8"/>
  <c r="AV21" i="8"/>
  <c r="AW21" i="8" s="1"/>
  <c r="AX21" i="8" s="1"/>
  <c r="AT21" i="8"/>
  <c r="AU21" i="8" s="1"/>
  <c r="AS21" i="8"/>
  <c r="AR21" i="8"/>
  <c r="AQ21" i="8"/>
  <c r="AL21" i="8"/>
  <c r="AM21" i="8" s="1"/>
  <c r="AK21" i="8"/>
  <c r="AG21" i="8"/>
  <c r="AF21" i="8"/>
  <c r="AE21" i="8"/>
  <c r="Z21" i="8"/>
  <c r="AA21" i="8" s="1"/>
  <c r="Y21" i="8"/>
  <c r="T21" i="8"/>
  <c r="U21" i="8" s="1"/>
  <c r="S21" i="8"/>
  <c r="L21" i="8"/>
  <c r="M21" i="8" s="1"/>
  <c r="K21" i="8"/>
  <c r="C21" i="8"/>
  <c r="AV20" i="8"/>
  <c r="AW20" i="8" s="1"/>
  <c r="AX20" i="8" s="1"/>
  <c r="AT20" i="8"/>
  <c r="AU20" i="8" s="1"/>
  <c r="AS20" i="8"/>
  <c r="AR20" i="8"/>
  <c r="AQ20" i="8"/>
  <c r="AL20" i="8"/>
  <c r="AM20" i="8" s="1"/>
  <c r="AK20" i="8"/>
  <c r="AG20" i="8"/>
  <c r="AF20" i="8"/>
  <c r="AE20" i="8"/>
  <c r="Z20" i="8"/>
  <c r="AA20" i="8" s="1"/>
  <c r="Y20" i="8"/>
  <c r="T20" i="8"/>
  <c r="U20" i="8" s="1"/>
  <c r="S20" i="8"/>
  <c r="L20" i="8"/>
  <c r="M20" i="8" s="1"/>
  <c r="K20" i="8"/>
  <c r="C20" i="8"/>
  <c r="AV19" i="8"/>
  <c r="AW19" i="8" s="1"/>
  <c r="AX19" i="8" s="1"/>
  <c r="AT19" i="8"/>
  <c r="AU19" i="8" s="1"/>
  <c r="AS19" i="8"/>
  <c r="AR19" i="8"/>
  <c r="AQ19" i="8"/>
  <c r="AL19" i="8"/>
  <c r="AM19" i="8" s="1"/>
  <c r="AK19" i="8"/>
  <c r="AG19" i="8"/>
  <c r="AF19" i="8"/>
  <c r="AE19" i="8"/>
  <c r="Z19" i="8"/>
  <c r="AA19" i="8" s="1"/>
  <c r="Y19" i="8"/>
  <c r="T19" i="8"/>
  <c r="U19" i="8" s="1"/>
  <c r="S19" i="8"/>
  <c r="L19" i="8"/>
  <c r="M19" i="8" s="1"/>
  <c r="K19" i="8"/>
  <c r="C19" i="8"/>
  <c r="AK16" i="8"/>
  <c r="AE16" i="8"/>
  <c r="Y16" i="8"/>
  <c r="S16" i="8"/>
  <c r="K16" i="8"/>
  <c r="L11" i="8"/>
  <c r="AR10" i="8"/>
  <c r="AB10" i="8"/>
  <c r="L10" i="8"/>
  <c r="AI7" i="8"/>
  <c r="F7" i="8"/>
  <c r="AI5" i="8"/>
  <c r="S5" i="8"/>
  <c r="F5" i="8"/>
  <c r="AV119" i="7"/>
  <c r="AW119" i="7" s="1"/>
  <c r="AX119" i="7" s="1"/>
  <c r="AT119" i="7"/>
  <c r="AU119" i="7" s="1"/>
  <c r="AS119" i="7"/>
  <c r="AR119" i="7"/>
  <c r="AQ119" i="7"/>
  <c r="AL119" i="7"/>
  <c r="AM119" i="7" s="1"/>
  <c r="AK119" i="7"/>
  <c r="AF119" i="7"/>
  <c r="AG119" i="7" s="1"/>
  <c r="AE119" i="7"/>
  <c r="Z119" i="7"/>
  <c r="AA119" i="7" s="1"/>
  <c r="Y119" i="7"/>
  <c r="T119" i="7"/>
  <c r="U119" i="7" s="1"/>
  <c r="S119" i="7"/>
  <c r="L119" i="7"/>
  <c r="M119" i="7" s="1"/>
  <c r="K119" i="7"/>
  <c r="C119" i="7"/>
  <c r="AV118" i="7"/>
  <c r="AW118" i="7" s="1"/>
  <c r="AX118" i="7" s="1"/>
  <c r="AT118" i="7"/>
  <c r="AU118" i="7" s="1"/>
  <c r="AS118" i="7"/>
  <c r="AR118" i="7"/>
  <c r="AQ118" i="7"/>
  <c r="AL118" i="7"/>
  <c r="AM118" i="7" s="1"/>
  <c r="AK118" i="7"/>
  <c r="AG118" i="7"/>
  <c r="AF118" i="7"/>
  <c r="AE118" i="7"/>
  <c r="Z118" i="7"/>
  <c r="AA118" i="7" s="1"/>
  <c r="Y118" i="7"/>
  <c r="T118" i="7"/>
  <c r="U118" i="7" s="1"/>
  <c r="S118" i="7"/>
  <c r="L118" i="7"/>
  <c r="M118" i="7" s="1"/>
  <c r="K118" i="7"/>
  <c r="C118" i="7"/>
  <c r="AV117" i="7"/>
  <c r="AW117" i="7" s="1"/>
  <c r="AX117" i="7" s="1"/>
  <c r="AT117" i="7"/>
  <c r="AU117" i="7" s="1"/>
  <c r="AS117" i="7"/>
  <c r="AR117" i="7"/>
  <c r="AQ117" i="7"/>
  <c r="AL117" i="7"/>
  <c r="AM117" i="7" s="1"/>
  <c r="AK117" i="7"/>
  <c r="AG117" i="7"/>
  <c r="AF117" i="7"/>
  <c r="AE117" i="7"/>
  <c r="Z117" i="7"/>
  <c r="AA117" i="7" s="1"/>
  <c r="Y117" i="7"/>
  <c r="T117" i="7"/>
  <c r="U117" i="7" s="1"/>
  <c r="S117" i="7"/>
  <c r="L117" i="7"/>
  <c r="M117" i="7" s="1"/>
  <c r="K117" i="7"/>
  <c r="C117" i="7"/>
  <c r="AV116" i="7"/>
  <c r="AW116" i="7" s="1"/>
  <c r="AX116" i="7" s="1"/>
  <c r="AT116" i="7"/>
  <c r="AU116" i="7" s="1"/>
  <c r="AS116" i="7"/>
  <c r="AR116" i="7"/>
  <c r="AQ116" i="7"/>
  <c r="AL116" i="7"/>
  <c r="AM116" i="7" s="1"/>
  <c r="AK116" i="7"/>
  <c r="AG116" i="7"/>
  <c r="AF116" i="7"/>
  <c r="AE116" i="7"/>
  <c r="Z116" i="7"/>
  <c r="AA116" i="7" s="1"/>
  <c r="Y116" i="7"/>
  <c r="T116" i="7"/>
  <c r="U116" i="7" s="1"/>
  <c r="S116" i="7"/>
  <c r="L116" i="7"/>
  <c r="M116" i="7" s="1"/>
  <c r="K116" i="7"/>
  <c r="C116" i="7"/>
  <c r="AV115" i="7"/>
  <c r="AW115" i="7" s="1"/>
  <c r="AX115" i="7" s="1"/>
  <c r="AT115" i="7"/>
  <c r="AU115" i="7" s="1"/>
  <c r="AS115" i="7"/>
  <c r="AR115" i="7"/>
  <c r="AQ115" i="7"/>
  <c r="AL115" i="7"/>
  <c r="AM115" i="7" s="1"/>
  <c r="AK115" i="7"/>
  <c r="AG115" i="7"/>
  <c r="AF115" i="7"/>
  <c r="AE115" i="7"/>
  <c r="Z115" i="7"/>
  <c r="AA115" i="7" s="1"/>
  <c r="Y115" i="7"/>
  <c r="T115" i="7"/>
  <c r="U115" i="7" s="1"/>
  <c r="S115" i="7"/>
  <c r="L115" i="7"/>
  <c r="M115" i="7" s="1"/>
  <c r="K115" i="7"/>
  <c r="C115" i="7"/>
  <c r="AV114" i="7"/>
  <c r="AW114" i="7" s="1"/>
  <c r="AX114" i="7" s="1"/>
  <c r="AT114" i="7"/>
  <c r="AU114" i="7" s="1"/>
  <c r="AS114" i="7"/>
  <c r="AR114" i="7"/>
  <c r="AQ114" i="7"/>
  <c r="AL114" i="7"/>
  <c r="AM114" i="7" s="1"/>
  <c r="AK114" i="7"/>
  <c r="AF114" i="7"/>
  <c r="AG114" i="7" s="1"/>
  <c r="AE114" i="7"/>
  <c r="Z114" i="7"/>
  <c r="AA114" i="7" s="1"/>
  <c r="Y114" i="7"/>
  <c r="T114" i="7"/>
  <c r="U114" i="7" s="1"/>
  <c r="S114" i="7"/>
  <c r="L114" i="7"/>
  <c r="M114" i="7" s="1"/>
  <c r="K114" i="7"/>
  <c r="C114" i="7"/>
  <c r="AV113" i="7"/>
  <c r="AW113" i="7" s="1"/>
  <c r="AX113" i="7" s="1"/>
  <c r="AT113" i="7"/>
  <c r="AU113" i="7" s="1"/>
  <c r="AS113" i="7"/>
  <c r="AR113" i="7"/>
  <c r="AQ113" i="7"/>
  <c r="AL113" i="7"/>
  <c r="AM113" i="7" s="1"/>
  <c r="AK113" i="7"/>
  <c r="AG113" i="7"/>
  <c r="AF113" i="7"/>
  <c r="AE113" i="7"/>
  <c r="Z113" i="7"/>
  <c r="AA113" i="7" s="1"/>
  <c r="Y113" i="7"/>
  <c r="T113" i="7"/>
  <c r="U113" i="7" s="1"/>
  <c r="S113" i="7"/>
  <c r="L113" i="7"/>
  <c r="M113" i="7" s="1"/>
  <c r="K113" i="7"/>
  <c r="C113" i="7"/>
  <c r="AV112" i="7"/>
  <c r="AW112" i="7" s="1"/>
  <c r="AX112" i="7" s="1"/>
  <c r="AT112" i="7"/>
  <c r="AU112" i="7" s="1"/>
  <c r="AS112" i="7"/>
  <c r="AR112" i="7"/>
  <c r="AQ112" i="7"/>
  <c r="AL112" i="7"/>
  <c r="AM112" i="7" s="1"/>
  <c r="AK112" i="7"/>
  <c r="AF112" i="7"/>
  <c r="AG112" i="7" s="1"/>
  <c r="AE112" i="7"/>
  <c r="Z112" i="7"/>
  <c r="AA112" i="7" s="1"/>
  <c r="Y112" i="7"/>
  <c r="T112" i="7"/>
  <c r="U112" i="7" s="1"/>
  <c r="S112" i="7"/>
  <c r="L112" i="7"/>
  <c r="M112" i="7" s="1"/>
  <c r="K112" i="7"/>
  <c r="C112" i="7"/>
  <c r="AV111" i="7"/>
  <c r="AW111" i="7" s="1"/>
  <c r="AX111" i="7" s="1"/>
  <c r="AT111" i="7"/>
  <c r="AU111" i="7" s="1"/>
  <c r="AS111" i="7"/>
  <c r="AR111" i="7"/>
  <c r="AQ111" i="7"/>
  <c r="AL111" i="7"/>
  <c r="AM111" i="7" s="1"/>
  <c r="AK111" i="7"/>
  <c r="AF111" i="7"/>
  <c r="AG111" i="7" s="1"/>
  <c r="AE111" i="7"/>
  <c r="Z111" i="7"/>
  <c r="AA111" i="7" s="1"/>
  <c r="Y111" i="7"/>
  <c r="T111" i="7"/>
  <c r="U111" i="7" s="1"/>
  <c r="S111" i="7"/>
  <c r="L111" i="7"/>
  <c r="M111" i="7" s="1"/>
  <c r="K111" i="7"/>
  <c r="C111" i="7"/>
  <c r="AV110" i="7"/>
  <c r="AW110" i="7" s="1"/>
  <c r="AX110" i="7" s="1"/>
  <c r="AT110" i="7"/>
  <c r="AU110" i="7" s="1"/>
  <c r="AS110" i="7"/>
  <c r="AR110" i="7"/>
  <c r="AQ110" i="7"/>
  <c r="AL110" i="7"/>
  <c r="AM110" i="7" s="1"/>
  <c r="AK110" i="7"/>
  <c r="AG110" i="7"/>
  <c r="AF110" i="7"/>
  <c r="AE110" i="7"/>
  <c r="Z110" i="7"/>
  <c r="AA110" i="7" s="1"/>
  <c r="Y110" i="7"/>
  <c r="T110" i="7"/>
  <c r="U110" i="7" s="1"/>
  <c r="S110" i="7"/>
  <c r="L110" i="7"/>
  <c r="M110" i="7" s="1"/>
  <c r="K110" i="7"/>
  <c r="C110" i="7"/>
  <c r="AV109" i="7"/>
  <c r="AW109" i="7" s="1"/>
  <c r="AX109" i="7" s="1"/>
  <c r="AT109" i="7"/>
  <c r="AU109" i="7" s="1"/>
  <c r="AS109" i="7"/>
  <c r="AR109" i="7"/>
  <c r="AQ109" i="7"/>
  <c r="AL109" i="7"/>
  <c r="AM109" i="7" s="1"/>
  <c r="AK109" i="7"/>
  <c r="AF109" i="7"/>
  <c r="AG109" i="7" s="1"/>
  <c r="AE109" i="7"/>
  <c r="Z109" i="7"/>
  <c r="AA109" i="7" s="1"/>
  <c r="Y109" i="7"/>
  <c r="T109" i="7"/>
  <c r="U109" i="7" s="1"/>
  <c r="S109" i="7"/>
  <c r="L109" i="7"/>
  <c r="M109" i="7" s="1"/>
  <c r="K109" i="7"/>
  <c r="C109" i="7"/>
  <c r="AV108" i="7"/>
  <c r="AW108" i="7" s="1"/>
  <c r="AX108" i="7" s="1"/>
  <c r="AT108" i="7"/>
  <c r="AU108" i="7" s="1"/>
  <c r="AS108" i="7"/>
  <c r="AR108" i="7"/>
  <c r="AQ108" i="7"/>
  <c r="AL108" i="7"/>
  <c r="AM108" i="7" s="1"/>
  <c r="AK108" i="7"/>
  <c r="AF108" i="7"/>
  <c r="AG108" i="7" s="1"/>
  <c r="AE108" i="7"/>
  <c r="Z108" i="7"/>
  <c r="AA108" i="7" s="1"/>
  <c r="Y108" i="7"/>
  <c r="T108" i="7"/>
  <c r="U108" i="7" s="1"/>
  <c r="S108" i="7"/>
  <c r="L108" i="7"/>
  <c r="M108" i="7" s="1"/>
  <c r="K108" i="7"/>
  <c r="C108" i="7"/>
  <c r="AV107" i="7"/>
  <c r="AW107" i="7" s="1"/>
  <c r="AX107" i="7" s="1"/>
  <c r="AU107" i="7"/>
  <c r="AT107" i="7"/>
  <c r="AS107" i="7"/>
  <c r="AR107" i="7"/>
  <c r="AQ107" i="7"/>
  <c r="AL107" i="7"/>
  <c r="AM107" i="7" s="1"/>
  <c r="AK107" i="7"/>
  <c r="AF107" i="7"/>
  <c r="AG107" i="7" s="1"/>
  <c r="AE107" i="7"/>
  <c r="Z107" i="7"/>
  <c r="AA107" i="7" s="1"/>
  <c r="Y107" i="7"/>
  <c r="T107" i="7"/>
  <c r="U107" i="7" s="1"/>
  <c r="S107" i="7"/>
  <c r="L107" i="7"/>
  <c r="M107" i="7" s="1"/>
  <c r="K107" i="7"/>
  <c r="C107" i="7"/>
  <c r="AV106" i="7"/>
  <c r="AW106" i="7" s="1"/>
  <c r="AX106" i="7" s="1"/>
  <c r="AT106" i="7"/>
  <c r="AU106" i="7" s="1"/>
  <c r="AS106" i="7"/>
  <c r="AR106" i="7"/>
  <c r="AQ106" i="7"/>
  <c r="AL106" i="7"/>
  <c r="AM106" i="7" s="1"/>
  <c r="AK106" i="7"/>
  <c r="AF106" i="7"/>
  <c r="AG106" i="7" s="1"/>
  <c r="AE106" i="7"/>
  <c r="Z106" i="7"/>
  <c r="AA106" i="7" s="1"/>
  <c r="Y106" i="7"/>
  <c r="T106" i="7"/>
  <c r="U106" i="7" s="1"/>
  <c r="S106" i="7"/>
  <c r="L106" i="7"/>
  <c r="M106" i="7" s="1"/>
  <c r="K106" i="7"/>
  <c r="C106" i="7"/>
  <c r="AV105" i="7"/>
  <c r="AW105" i="7" s="1"/>
  <c r="AX105" i="7" s="1"/>
  <c r="AT105" i="7"/>
  <c r="AU105" i="7" s="1"/>
  <c r="AS105" i="7"/>
  <c r="AR105" i="7"/>
  <c r="AQ105" i="7"/>
  <c r="AL105" i="7"/>
  <c r="AM105" i="7" s="1"/>
  <c r="AK105" i="7"/>
  <c r="AF105" i="7"/>
  <c r="AG105" i="7" s="1"/>
  <c r="AE105" i="7"/>
  <c r="Z105" i="7"/>
  <c r="AA105" i="7" s="1"/>
  <c r="Y105" i="7"/>
  <c r="T105" i="7"/>
  <c r="U105" i="7" s="1"/>
  <c r="S105" i="7"/>
  <c r="L105" i="7"/>
  <c r="M105" i="7" s="1"/>
  <c r="K105" i="7"/>
  <c r="C105" i="7"/>
  <c r="AV104" i="7"/>
  <c r="AW104" i="7" s="1"/>
  <c r="AX104" i="7" s="1"/>
  <c r="AT104" i="7"/>
  <c r="AU104" i="7" s="1"/>
  <c r="AS104" i="7"/>
  <c r="AR104" i="7"/>
  <c r="AQ104" i="7"/>
  <c r="AL104" i="7"/>
  <c r="AM104" i="7" s="1"/>
  <c r="AK104" i="7"/>
  <c r="AF104" i="7"/>
  <c r="AG104" i="7" s="1"/>
  <c r="AE104" i="7"/>
  <c r="Z104" i="7"/>
  <c r="AA104" i="7" s="1"/>
  <c r="Y104" i="7"/>
  <c r="T104" i="7"/>
  <c r="U104" i="7" s="1"/>
  <c r="S104" i="7"/>
  <c r="L104" i="7"/>
  <c r="M104" i="7" s="1"/>
  <c r="K104" i="7"/>
  <c r="C104" i="7"/>
  <c r="AV103" i="7"/>
  <c r="AW103" i="7" s="1"/>
  <c r="AX103" i="7" s="1"/>
  <c r="AT103" i="7"/>
  <c r="AU103" i="7" s="1"/>
  <c r="AS103" i="7"/>
  <c r="AR103" i="7"/>
  <c r="AQ103" i="7"/>
  <c r="AL103" i="7"/>
  <c r="AM103" i="7" s="1"/>
  <c r="AK103" i="7"/>
  <c r="AG103" i="7"/>
  <c r="AF103" i="7"/>
  <c r="AE103" i="7"/>
  <c r="Z103" i="7"/>
  <c r="AA103" i="7" s="1"/>
  <c r="Y103" i="7"/>
  <c r="T103" i="7"/>
  <c r="U103" i="7" s="1"/>
  <c r="S103" i="7"/>
  <c r="L103" i="7"/>
  <c r="M103" i="7" s="1"/>
  <c r="K103" i="7"/>
  <c r="C103" i="7"/>
  <c r="AV102" i="7"/>
  <c r="AW102" i="7" s="1"/>
  <c r="AX102" i="7" s="1"/>
  <c r="AT102" i="7"/>
  <c r="AU102" i="7" s="1"/>
  <c r="AS102" i="7"/>
  <c r="AR102" i="7"/>
  <c r="AQ102" i="7"/>
  <c r="AL102" i="7"/>
  <c r="AM102" i="7" s="1"/>
  <c r="AK102" i="7"/>
  <c r="AF102" i="7"/>
  <c r="AG102" i="7" s="1"/>
  <c r="AE102" i="7"/>
  <c r="Z102" i="7"/>
  <c r="AA102" i="7" s="1"/>
  <c r="Y102" i="7"/>
  <c r="T102" i="7"/>
  <c r="U102" i="7" s="1"/>
  <c r="S102" i="7"/>
  <c r="L102" i="7"/>
  <c r="M102" i="7" s="1"/>
  <c r="K102" i="7"/>
  <c r="C102" i="7"/>
  <c r="AV101" i="7"/>
  <c r="AW101" i="7" s="1"/>
  <c r="AX101" i="7" s="1"/>
  <c r="AT101" i="7"/>
  <c r="AU101" i="7" s="1"/>
  <c r="AS101" i="7"/>
  <c r="AR101" i="7"/>
  <c r="AQ101" i="7"/>
  <c r="AL101" i="7"/>
  <c r="AM101" i="7" s="1"/>
  <c r="AK101" i="7"/>
  <c r="AF101" i="7"/>
  <c r="AG101" i="7" s="1"/>
  <c r="AE101" i="7"/>
  <c r="Z101" i="7"/>
  <c r="AA101" i="7" s="1"/>
  <c r="Y101" i="7"/>
  <c r="T101" i="7"/>
  <c r="U101" i="7" s="1"/>
  <c r="S101" i="7"/>
  <c r="L101" i="7"/>
  <c r="M101" i="7" s="1"/>
  <c r="K101" i="7"/>
  <c r="C101" i="7"/>
  <c r="AV100" i="7"/>
  <c r="AW100" i="7" s="1"/>
  <c r="AX100" i="7" s="1"/>
  <c r="AT100" i="7"/>
  <c r="AU100" i="7" s="1"/>
  <c r="AS100" i="7"/>
  <c r="AR100" i="7"/>
  <c r="AQ100" i="7"/>
  <c r="AL100" i="7"/>
  <c r="AM100" i="7" s="1"/>
  <c r="AK100" i="7"/>
  <c r="AF100" i="7"/>
  <c r="AG100" i="7" s="1"/>
  <c r="AE100" i="7"/>
  <c r="Z100" i="7"/>
  <c r="AA100" i="7" s="1"/>
  <c r="Y100" i="7"/>
  <c r="T100" i="7"/>
  <c r="U100" i="7" s="1"/>
  <c r="S100" i="7"/>
  <c r="L100" i="7"/>
  <c r="M100" i="7" s="1"/>
  <c r="K100" i="7"/>
  <c r="C100" i="7"/>
  <c r="AV99" i="7"/>
  <c r="AW99" i="7" s="1"/>
  <c r="AX99" i="7" s="1"/>
  <c r="AU99" i="7"/>
  <c r="AT99" i="7"/>
  <c r="AS99" i="7"/>
  <c r="AR99" i="7"/>
  <c r="AQ99" i="7"/>
  <c r="AL99" i="7"/>
  <c r="AM99" i="7" s="1"/>
  <c r="AK99" i="7"/>
  <c r="AF99" i="7"/>
  <c r="AG99" i="7" s="1"/>
  <c r="AE99" i="7"/>
  <c r="Z99" i="7"/>
  <c r="AA99" i="7" s="1"/>
  <c r="Y99" i="7"/>
  <c r="T99" i="7"/>
  <c r="U99" i="7" s="1"/>
  <c r="S99" i="7"/>
  <c r="L99" i="7"/>
  <c r="M99" i="7" s="1"/>
  <c r="K99" i="7"/>
  <c r="C99" i="7"/>
  <c r="AV98" i="7"/>
  <c r="AW98" i="7" s="1"/>
  <c r="AX98" i="7" s="1"/>
  <c r="AU98" i="7"/>
  <c r="AT98" i="7"/>
  <c r="AS98" i="7"/>
  <c r="AR98" i="7"/>
  <c r="AQ98" i="7"/>
  <c r="AL98" i="7"/>
  <c r="AM98" i="7" s="1"/>
  <c r="AK98" i="7"/>
  <c r="AF98" i="7"/>
  <c r="AG98" i="7" s="1"/>
  <c r="AE98" i="7"/>
  <c r="Z98" i="7"/>
  <c r="AA98" i="7" s="1"/>
  <c r="Y98" i="7"/>
  <c r="T98" i="7"/>
  <c r="U98" i="7" s="1"/>
  <c r="S98" i="7"/>
  <c r="L98" i="7"/>
  <c r="M98" i="7" s="1"/>
  <c r="K98" i="7"/>
  <c r="C98" i="7"/>
  <c r="AV97" i="7"/>
  <c r="AW97" i="7" s="1"/>
  <c r="AX97" i="7" s="1"/>
  <c r="AT97" i="7"/>
  <c r="AU97" i="7" s="1"/>
  <c r="AS97" i="7"/>
  <c r="AR97" i="7"/>
  <c r="AQ97" i="7"/>
  <c r="AL97" i="7"/>
  <c r="AM97" i="7" s="1"/>
  <c r="AK97" i="7"/>
  <c r="AF97" i="7"/>
  <c r="AG97" i="7" s="1"/>
  <c r="AE97" i="7"/>
  <c r="AA97" i="7"/>
  <c r="Z97" i="7"/>
  <c r="Y97" i="7"/>
  <c r="T97" i="7"/>
  <c r="U97" i="7" s="1"/>
  <c r="S97" i="7"/>
  <c r="L97" i="7"/>
  <c r="M97" i="7" s="1"/>
  <c r="K97" i="7"/>
  <c r="C97" i="7"/>
  <c r="AV96" i="7"/>
  <c r="AW96" i="7" s="1"/>
  <c r="AX96" i="7" s="1"/>
  <c r="AT96" i="7"/>
  <c r="AU96" i="7" s="1"/>
  <c r="AS96" i="7"/>
  <c r="AR96" i="7"/>
  <c r="AQ96" i="7"/>
  <c r="AL96" i="7"/>
  <c r="AM96" i="7" s="1"/>
  <c r="AK96" i="7"/>
  <c r="AF96" i="7"/>
  <c r="AG96" i="7" s="1"/>
  <c r="AE96" i="7"/>
  <c r="Z96" i="7"/>
  <c r="AA96" i="7" s="1"/>
  <c r="Y96" i="7"/>
  <c r="T96" i="7"/>
  <c r="U96" i="7" s="1"/>
  <c r="S96" i="7"/>
  <c r="L96" i="7"/>
  <c r="M96" i="7" s="1"/>
  <c r="K96" i="7"/>
  <c r="C96" i="7"/>
  <c r="AV95" i="7"/>
  <c r="AW95" i="7" s="1"/>
  <c r="AX95" i="7" s="1"/>
  <c r="AT95" i="7"/>
  <c r="AU95" i="7" s="1"/>
  <c r="AS95" i="7"/>
  <c r="AR95" i="7"/>
  <c r="AQ95" i="7"/>
  <c r="AL95" i="7"/>
  <c r="AM95" i="7" s="1"/>
  <c r="AK95" i="7"/>
  <c r="AF95" i="7"/>
  <c r="AG95" i="7" s="1"/>
  <c r="AE95" i="7"/>
  <c r="Z95" i="7"/>
  <c r="AA95" i="7" s="1"/>
  <c r="Y95" i="7"/>
  <c r="T95" i="7"/>
  <c r="U95" i="7" s="1"/>
  <c r="S95" i="7"/>
  <c r="L95" i="7"/>
  <c r="M95" i="7" s="1"/>
  <c r="K95" i="7"/>
  <c r="C95" i="7"/>
  <c r="AV94" i="7"/>
  <c r="AW94" i="7" s="1"/>
  <c r="AX94" i="7" s="1"/>
  <c r="AT94" i="7"/>
  <c r="AU94" i="7" s="1"/>
  <c r="AS94" i="7"/>
  <c r="AR94" i="7"/>
  <c r="AQ94" i="7"/>
  <c r="AL94" i="7"/>
  <c r="AM94" i="7" s="1"/>
  <c r="AK94" i="7"/>
  <c r="AG94" i="7"/>
  <c r="AF94" i="7"/>
  <c r="AE94" i="7"/>
  <c r="Z94" i="7"/>
  <c r="AA94" i="7" s="1"/>
  <c r="Y94" i="7"/>
  <c r="T94" i="7"/>
  <c r="U94" i="7" s="1"/>
  <c r="S94" i="7"/>
  <c r="L94" i="7"/>
  <c r="M94" i="7" s="1"/>
  <c r="K94" i="7"/>
  <c r="C94" i="7"/>
  <c r="AV93" i="7"/>
  <c r="AW93" i="7" s="1"/>
  <c r="AX93" i="7" s="1"/>
  <c r="AT93" i="7"/>
  <c r="AU93" i="7" s="1"/>
  <c r="AS93" i="7"/>
  <c r="AR93" i="7"/>
  <c r="AQ93" i="7"/>
  <c r="AL93" i="7"/>
  <c r="AM93" i="7" s="1"/>
  <c r="AK93" i="7"/>
  <c r="AG93" i="7"/>
  <c r="AF93" i="7"/>
  <c r="AE93" i="7"/>
  <c r="Z93" i="7"/>
  <c r="AA93" i="7" s="1"/>
  <c r="Y93" i="7"/>
  <c r="T93" i="7"/>
  <c r="U93" i="7" s="1"/>
  <c r="S93" i="7"/>
  <c r="L93" i="7"/>
  <c r="M93" i="7" s="1"/>
  <c r="K93" i="7"/>
  <c r="C93" i="7"/>
  <c r="AV92" i="7"/>
  <c r="AW92" i="7" s="1"/>
  <c r="AX92" i="7" s="1"/>
  <c r="AT92" i="7"/>
  <c r="AU92" i="7" s="1"/>
  <c r="AS92" i="7"/>
  <c r="AR92" i="7"/>
  <c r="AQ92" i="7"/>
  <c r="AL92" i="7"/>
  <c r="AM92" i="7" s="1"/>
  <c r="AK92" i="7"/>
  <c r="AF92" i="7"/>
  <c r="AG92" i="7" s="1"/>
  <c r="AE92" i="7"/>
  <c r="Z92" i="7"/>
  <c r="AA92" i="7" s="1"/>
  <c r="Y92" i="7"/>
  <c r="T92" i="7"/>
  <c r="U92" i="7" s="1"/>
  <c r="S92" i="7"/>
  <c r="L92" i="7"/>
  <c r="M92" i="7" s="1"/>
  <c r="K92" i="7"/>
  <c r="C92" i="7"/>
  <c r="AV91" i="7"/>
  <c r="AW91" i="7" s="1"/>
  <c r="AX91" i="7" s="1"/>
  <c r="AT91" i="7"/>
  <c r="AU91" i="7" s="1"/>
  <c r="AS91" i="7"/>
  <c r="AR91" i="7"/>
  <c r="AQ91" i="7"/>
  <c r="AL91" i="7"/>
  <c r="AM91" i="7" s="1"/>
  <c r="AK91" i="7"/>
  <c r="AG91" i="7"/>
  <c r="AF91" i="7"/>
  <c r="AE91" i="7"/>
  <c r="Z91" i="7"/>
  <c r="AA91" i="7" s="1"/>
  <c r="Y91" i="7"/>
  <c r="T91" i="7"/>
  <c r="U91" i="7" s="1"/>
  <c r="S91" i="7"/>
  <c r="L91" i="7"/>
  <c r="M91" i="7" s="1"/>
  <c r="K91" i="7"/>
  <c r="C91" i="7"/>
  <c r="AV90" i="7"/>
  <c r="AW90" i="7" s="1"/>
  <c r="AX90" i="7" s="1"/>
  <c r="AT90" i="7"/>
  <c r="AU90" i="7" s="1"/>
  <c r="AS90" i="7"/>
  <c r="AR90" i="7"/>
  <c r="AQ90" i="7"/>
  <c r="AL90" i="7"/>
  <c r="AM90" i="7" s="1"/>
  <c r="AK90" i="7"/>
  <c r="AG90" i="7"/>
  <c r="AF90" i="7"/>
  <c r="AE90" i="7"/>
  <c r="Z90" i="7"/>
  <c r="AA90" i="7" s="1"/>
  <c r="Y90" i="7"/>
  <c r="T90" i="7"/>
  <c r="U90" i="7" s="1"/>
  <c r="S90" i="7"/>
  <c r="L90" i="7"/>
  <c r="M90" i="7" s="1"/>
  <c r="K90" i="7"/>
  <c r="C90" i="7"/>
  <c r="AV89" i="7"/>
  <c r="AW89" i="7" s="1"/>
  <c r="AX89" i="7" s="1"/>
  <c r="AT89" i="7"/>
  <c r="AU89" i="7" s="1"/>
  <c r="AS89" i="7"/>
  <c r="AR89" i="7"/>
  <c r="AQ89" i="7"/>
  <c r="AL89" i="7"/>
  <c r="AM89" i="7" s="1"/>
  <c r="AK89" i="7"/>
  <c r="AG89" i="7"/>
  <c r="AF89" i="7"/>
  <c r="AE89" i="7"/>
  <c r="Z89" i="7"/>
  <c r="AA89" i="7" s="1"/>
  <c r="Y89" i="7"/>
  <c r="T89" i="7"/>
  <c r="U89" i="7" s="1"/>
  <c r="S89" i="7"/>
  <c r="L89" i="7"/>
  <c r="M89" i="7" s="1"/>
  <c r="K89" i="7"/>
  <c r="C89" i="7"/>
  <c r="AV88" i="7"/>
  <c r="AW88" i="7" s="1"/>
  <c r="AX88" i="7" s="1"/>
  <c r="AT88" i="7"/>
  <c r="AU88" i="7" s="1"/>
  <c r="AS88" i="7"/>
  <c r="AR88" i="7"/>
  <c r="AQ88" i="7"/>
  <c r="AL88" i="7"/>
  <c r="AM88" i="7" s="1"/>
  <c r="AK88" i="7"/>
  <c r="AF88" i="7"/>
  <c r="AG88" i="7" s="1"/>
  <c r="AE88" i="7"/>
  <c r="Z88" i="7"/>
  <c r="AA88" i="7" s="1"/>
  <c r="Y88" i="7"/>
  <c r="T88" i="7"/>
  <c r="U88" i="7" s="1"/>
  <c r="S88" i="7"/>
  <c r="L88" i="7"/>
  <c r="M88" i="7" s="1"/>
  <c r="K88" i="7"/>
  <c r="C88" i="7"/>
  <c r="AV87" i="7"/>
  <c r="AW87" i="7" s="1"/>
  <c r="AX87" i="7" s="1"/>
  <c r="AU87" i="7"/>
  <c r="AT87" i="7"/>
  <c r="AS87" i="7"/>
  <c r="AR87" i="7"/>
  <c r="AQ87" i="7"/>
  <c r="AL87" i="7"/>
  <c r="AM87" i="7" s="1"/>
  <c r="AK87" i="7"/>
  <c r="AF87" i="7"/>
  <c r="AG87" i="7" s="1"/>
  <c r="AE87" i="7"/>
  <c r="Z87" i="7"/>
  <c r="AA87" i="7" s="1"/>
  <c r="Y87" i="7"/>
  <c r="T87" i="7"/>
  <c r="U87" i="7" s="1"/>
  <c r="S87" i="7"/>
  <c r="L87" i="7"/>
  <c r="M87" i="7" s="1"/>
  <c r="K87" i="7"/>
  <c r="C87" i="7"/>
  <c r="AV86" i="7"/>
  <c r="AW86" i="7" s="1"/>
  <c r="AX86" i="7" s="1"/>
  <c r="AT86" i="7"/>
  <c r="AU86" i="7" s="1"/>
  <c r="AS86" i="7"/>
  <c r="AR86" i="7"/>
  <c r="AQ86" i="7"/>
  <c r="AL86" i="7"/>
  <c r="AM86" i="7" s="1"/>
  <c r="AK86" i="7"/>
  <c r="AF86" i="7"/>
  <c r="AG86" i="7" s="1"/>
  <c r="AE86" i="7"/>
  <c r="AA86" i="7"/>
  <c r="Z86" i="7"/>
  <c r="Y86" i="7"/>
  <c r="T86" i="7"/>
  <c r="U86" i="7" s="1"/>
  <c r="S86" i="7"/>
  <c r="L86" i="7"/>
  <c r="M86" i="7" s="1"/>
  <c r="K86" i="7"/>
  <c r="C86" i="7"/>
  <c r="AV85" i="7"/>
  <c r="AW85" i="7" s="1"/>
  <c r="AX85" i="7" s="1"/>
  <c r="AT85" i="7"/>
  <c r="AU85" i="7" s="1"/>
  <c r="AS85" i="7"/>
  <c r="AR85" i="7"/>
  <c r="AQ85" i="7"/>
  <c r="AL85" i="7"/>
  <c r="AM85" i="7" s="1"/>
  <c r="AK85" i="7"/>
  <c r="AF85" i="7"/>
  <c r="AG85" i="7" s="1"/>
  <c r="AE85" i="7"/>
  <c r="Z85" i="7"/>
  <c r="AA85" i="7" s="1"/>
  <c r="Y85" i="7"/>
  <c r="T85" i="7"/>
  <c r="U85" i="7" s="1"/>
  <c r="S85" i="7"/>
  <c r="L85" i="7"/>
  <c r="M85" i="7" s="1"/>
  <c r="K85" i="7"/>
  <c r="C85" i="7"/>
  <c r="AV84" i="7"/>
  <c r="AW84" i="7" s="1"/>
  <c r="AX84" i="7" s="1"/>
  <c r="AT84" i="7"/>
  <c r="AU84" i="7" s="1"/>
  <c r="AS84" i="7"/>
  <c r="AR84" i="7"/>
  <c r="AQ84" i="7"/>
  <c r="AL84" i="7"/>
  <c r="AM84" i="7" s="1"/>
  <c r="AK84" i="7"/>
  <c r="AF84" i="7"/>
  <c r="AG84" i="7" s="1"/>
  <c r="AE84" i="7"/>
  <c r="Z84" i="7"/>
  <c r="AA84" i="7" s="1"/>
  <c r="Y84" i="7"/>
  <c r="T84" i="7"/>
  <c r="U84" i="7" s="1"/>
  <c r="S84" i="7"/>
  <c r="L84" i="7"/>
  <c r="M84" i="7" s="1"/>
  <c r="K84" i="7"/>
  <c r="C84" i="7"/>
  <c r="AV83" i="7"/>
  <c r="AW83" i="7" s="1"/>
  <c r="AX83" i="7" s="1"/>
  <c r="AT83" i="7"/>
  <c r="AU83" i="7" s="1"/>
  <c r="AS83" i="7"/>
  <c r="AR83" i="7"/>
  <c r="AQ83" i="7"/>
  <c r="AL83" i="7"/>
  <c r="AM83" i="7" s="1"/>
  <c r="AK83" i="7"/>
  <c r="AF83" i="7"/>
  <c r="AG83" i="7" s="1"/>
  <c r="AE83" i="7"/>
  <c r="Z83" i="7"/>
  <c r="AA83" i="7" s="1"/>
  <c r="Y83" i="7"/>
  <c r="T83" i="7"/>
  <c r="U83" i="7" s="1"/>
  <c r="S83" i="7"/>
  <c r="L83" i="7"/>
  <c r="M83" i="7" s="1"/>
  <c r="K83" i="7"/>
  <c r="C83" i="7"/>
  <c r="AV82" i="7"/>
  <c r="AW82" i="7" s="1"/>
  <c r="AX82" i="7" s="1"/>
  <c r="AT82" i="7"/>
  <c r="AU82" i="7" s="1"/>
  <c r="AS82" i="7"/>
  <c r="AR82" i="7"/>
  <c r="AQ82" i="7"/>
  <c r="AL82" i="7"/>
  <c r="AM82" i="7" s="1"/>
  <c r="AK82" i="7"/>
  <c r="AG82" i="7"/>
  <c r="AF82" i="7"/>
  <c r="AE82" i="7"/>
  <c r="Z82" i="7"/>
  <c r="AA82" i="7" s="1"/>
  <c r="Y82" i="7"/>
  <c r="T82" i="7"/>
  <c r="U82" i="7" s="1"/>
  <c r="S82" i="7"/>
  <c r="L82" i="7"/>
  <c r="M82" i="7" s="1"/>
  <c r="K82" i="7"/>
  <c r="C82" i="7"/>
  <c r="AV81" i="7"/>
  <c r="AW81" i="7" s="1"/>
  <c r="AX81" i="7" s="1"/>
  <c r="AU81" i="7"/>
  <c r="AT81" i="7"/>
  <c r="AS81" i="7"/>
  <c r="AR81" i="7"/>
  <c r="AQ81" i="7"/>
  <c r="AL81" i="7"/>
  <c r="AM81" i="7" s="1"/>
  <c r="AK81" i="7"/>
  <c r="AF81" i="7"/>
  <c r="AG81" i="7" s="1"/>
  <c r="AE81" i="7"/>
  <c r="Z81" i="7"/>
  <c r="AA81" i="7" s="1"/>
  <c r="Y81" i="7"/>
  <c r="T81" i="7"/>
  <c r="U81" i="7" s="1"/>
  <c r="S81" i="7"/>
  <c r="L81" i="7"/>
  <c r="M81" i="7" s="1"/>
  <c r="K81" i="7"/>
  <c r="C81" i="7"/>
  <c r="AV80" i="7"/>
  <c r="AW80" i="7" s="1"/>
  <c r="AX80" i="7" s="1"/>
  <c r="AT80" i="7"/>
  <c r="AU80" i="7" s="1"/>
  <c r="AS80" i="7"/>
  <c r="AR80" i="7"/>
  <c r="AQ80" i="7"/>
  <c r="AL80" i="7"/>
  <c r="AM80" i="7" s="1"/>
  <c r="AK80" i="7"/>
  <c r="AG80" i="7"/>
  <c r="AF80" i="7"/>
  <c r="AE80" i="7"/>
  <c r="AA80" i="7"/>
  <c r="Z80" i="7"/>
  <c r="Y80" i="7"/>
  <c r="T80" i="7"/>
  <c r="U80" i="7" s="1"/>
  <c r="S80" i="7"/>
  <c r="L80" i="7"/>
  <c r="M80" i="7" s="1"/>
  <c r="K80" i="7"/>
  <c r="C80" i="7"/>
  <c r="AV79" i="7"/>
  <c r="AW79" i="7" s="1"/>
  <c r="AX79" i="7" s="1"/>
  <c r="AT79" i="7"/>
  <c r="AU79" i="7" s="1"/>
  <c r="AS79" i="7"/>
  <c r="AR79" i="7"/>
  <c r="AQ79" i="7"/>
  <c r="AL79" i="7"/>
  <c r="AM79" i="7" s="1"/>
  <c r="AK79" i="7"/>
  <c r="AF79" i="7"/>
  <c r="AG79" i="7" s="1"/>
  <c r="AE79" i="7"/>
  <c r="Z79" i="7"/>
  <c r="AA79" i="7" s="1"/>
  <c r="Y79" i="7"/>
  <c r="T79" i="7"/>
  <c r="U79" i="7" s="1"/>
  <c r="S79" i="7"/>
  <c r="L79" i="7"/>
  <c r="M79" i="7" s="1"/>
  <c r="K79" i="7"/>
  <c r="C79" i="7"/>
  <c r="AV78" i="7"/>
  <c r="AW78" i="7" s="1"/>
  <c r="AX78" i="7" s="1"/>
  <c r="AU78" i="7"/>
  <c r="AT78" i="7"/>
  <c r="AS78" i="7"/>
  <c r="AR78" i="7"/>
  <c r="AQ78" i="7"/>
  <c r="AL78" i="7"/>
  <c r="AM78" i="7" s="1"/>
  <c r="AK78" i="7"/>
  <c r="AG78" i="7"/>
  <c r="AF78" i="7"/>
  <c r="AE78" i="7"/>
  <c r="Z78" i="7"/>
  <c r="AA78" i="7" s="1"/>
  <c r="Y78" i="7"/>
  <c r="T78" i="7"/>
  <c r="U78" i="7" s="1"/>
  <c r="S78" i="7"/>
  <c r="L78" i="7"/>
  <c r="M78" i="7" s="1"/>
  <c r="K78" i="7"/>
  <c r="C78" i="7"/>
  <c r="AV77" i="7"/>
  <c r="AW77" i="7" s="1"/>
  <c r="AX77" i="7" s="1"/>
  <c r="AT77" i="7"/>
  <c r="AU77" i="7" s="1"/>
  <c r="AS77" i="7"/>
  <c r="AR77" i="7"/>
  <c r="AQ77" i="7"/>
  <c r="AL77" i="7"/>
  <c r="AM77" i="7" s="1"/>
  <c r="AK77" i="7"/>
  <c r="AF77" i="7"/>
  <c r="AG77" i="7" s="1"/>
  <c r="AE77" i="7"/>
  <c r="Z77" i="7"/>
  <c r="AA77" i="7" s="1"/>
  <c r="Y77" i="7"/>
  <c r="T77" i="7"/>
  <c r="U77" i="7" s="1"/>
  <c r="S77" i="7"/>
  <c r="L77" i="7"/>
  <c r="M77" i="7" s="1"/>
  <c r="K77" i="7"/>
  <c r="C77" i="7"/>
  <c r="AV76" i="7"/>
  <c r="AW76" i="7" s="1"/>
  <c r="AX76" i="7" s="1"/>
  <c r="AT76" i="7"/>
  <c r="AU76" i="7" s="1"/>
  <c r="AS76" i="7"/>
  <c r="AR76" i="7"/>
  <c r="AQ76" i="7"/>
  <c r="AL76" i="7"/>
  <c r="AM76" i="7" s="1"/>
  <c r="AK76" i="7"/>
  <c r="AF76" i="7"/>
  <c r="AG76" i="7" s="1"/>
  <c r="AE76" i="7"/>
  <c r="Z76" i="7"/>
  <c r="AA76" i="7" s="1"/>
  <c r="Y76" i="7"/>
  <c r="T76" i="7"/>
  <c r="U76" i="7" s="1"/>
  <c r="S76" i="7"/>
  <c r="L76" i="7"/>
  <c r="M76" i="7" s="1"/>
  <c r="K76" i="7"/>
  <c r="C76" i="7"/>
  <c r="AV75" i="7"/>
  <c r="AW75" i="7" s="1"/>
  <c r="AX75" i="7" s="1"/>
  <c r="AT75" i="7"/>
  <c r="AU75" i="7" s="1"/>
  <c r="AS75" i="7"/>
  <c r="AR75" i="7"/>
  <c r="AQ75" i="7"/>
  <c r="AL75" i="7"/>
  <c r="AM75" i="7" s="1"/>
  <c r="AK75" i="7"/>
  <c r="AF75" i="7"/>
  <c r="AG75" i="7" s="1"/>
  <c r="AE75" i="7"/>
  <c r="AA75" i="7"/>
  <c r="Z75" i="7"/>
  <c r="Y75" i="7"/>
  <c r="T75" i="7"/>
  <c r="U75" i="7" s="1"/>
  <c r="S75" i="7"/>
  <c r="L75" i="7"/>
  <c r="M75" i="7" s="1"/>
  <c r="K75" i="7"/>
  <c r="C75" i="7"/>
  <c r="AV74" i="7"/>
  <c r="AW74" i="7" s="1"/>
  <c r="AX74" i="7" s="1"/>
  <c r="AT74" i="7"/>
  <c r="AU74" i="7" s="1"/>
  <c r="AS74" i="7"/>
  <c r="AR74" i="7"/>
  <c r="AQ74" i="7"/>
  <c r="AL74" i="7"/>
  <c r="AM74" i="7" s="1"/>
  <c r="AK74" i="7"/>
  <c r="AF74" i="7"/>
  <c r="AG74" i="7" s="1"/>
  <c r="AE74" i="7"/>
  <c r="Z74" i="7"/>
  <c r="AA74" i="7" s="1"/>
  <c r="Y74" i="7"/>
  <c r="U74" i="7"/>
  <c r="T74" i="7"/>
  <c r="S74" i="7"/>
  <c r="L74" i="7"/>
  <c r="M74" i="7" s="1"/>
  <c r="K74" i="7"/>
  <c r="C74" i="7"/>
  <c r="AV73" i="7"/>
  <c r="AW73" i="7" s="1"/>
  <c r="AX73" i="7" s="1"/>
  <c r="AT73" i="7"/>
  <c r="AU73" i="7" s="1"/>
  <c r="AS73" i="7"/>
  <c r="AR73" i="7"/>
  <c r="AQ73" i="7"/>
  <c r="AL73" i="7"/>
  <c r="AM73" i="7" s="1"/>
  <c r="AK73" i="7"/>
  <c r="AF73" i="7"/>
  <c r="AG73" i="7" s="1"/>
  <c r="AE73" i="7"/>
  <c r="Z73" i="7"/>
  <c r="AA73" i="7" s="1"/>
  <c r="Y73" i="7"/>
  <c r="T73" i="7"/>
  <c r="U73" i="7" s="1"/>
  <c r="S73" i="7"/>
  <c r="L73" i="7"/>
  <c r="M73" i="7" s="1"/>
  <c r="K73" i="7"/>
  <c r="C73" i="7"/>
  <c r="AV72" i="7"/>
  <c r="AW72" i="7" s="1"/>
  <c r="AX72" i="7" s="1"/>
  <c r="AT72" i="7"/>
  <c r="AU72" i="7" s="1"/>
  <c r="AS72" i="7"/>
  <c r="AR72" i="7"/>
  <c r="AQ72" i="7"/>
  <c r="AL72" i="7"/>
  <c r="AM72" i="7" s="1"/>
  <c r="AK72" i="7"/>
  <c r="AF72" i="7"/>
  <c r="AG72" i="7" s="1"/>
  <c r="AE72" i="7"/>
  <c r="Z72" i="7"/>
  <c r="AA72" i="7" s="1"/>
  <c r="Y72" i="7"/>
  <c r="T72" i="7"/>
  <c r="U72" i="7" s="1"/>
  <c r="S72" i="7"/>
  <c r="L72" i="7"/>
  <c r="M72" i="7" s="1"/>
  <c r="K72" i="7"/>
  <c r="C72" i="7"/>
  <c r="AV71" i="7"/>
  <c r="AW71" i="7" s="1"/>
  <c r="AX71" i="7" s="1"/>
  <c r="AT71" i="7"/>
  <c r="AU71" i="7" s="1"/>
  <c r="AS71" i="7"/>
  <c r="AR71" i="7"/>
  <c r="AQ71" i="7"/>
  <c r="AL71" i="7"/>
  <c r="AM71" i="7" s="1"/>
  <c r="AK71" i="7"/>
  <c r="AF71" i="7"/>
  <c r="AG71" i="7" s="1"/>
  <c r="AE71" i="7"/>
  <c r="Z71" i="7"/>
  <c r="AA71" i="7" s="1"/>
  <c r="Y71" i="7"/>
  <c r="T71" i="7"/>
  <c r="U71" i="7" s="1"/>
  <c r="S71" i="7"/>
  <c r="L71" i="7"/>
  <c r="M71" i="7" s="1"/>
  <c r="K71" i="7"/>
  <c r="C71" i="7"/>
  <c r="AV70" i="7"/>
  <c r="AW70" i="7" s="1"/>
  <c r="AX70" i="7" s="1"/>
  <c r="AT70" i="7"/>
  <c r="AU70" i="7" s="1"/>
  <c r="AS70" i="7"/>
  <c r="AR70" i="7"/>
  <c r="AQ70" i="7"/>
  <c r="AL70" i="7"/>
  <c r="AM70" i="7" s="1"/>
  <c r="AK70" i="7"/>
  <c r="AF70" i="7"/>
  <c r="AG70" i="7" s="1"/>
  <c r="AE70" i="7"/>
  <c r="Z70" i="7"/>
  <c r="AA70" i="7" s="1"/>
  <c r="Y70" i="7"/>
  <c r="T70" i="7"/>
  <c r="U70" i="7" s="1"/>
  <c r="S70" i="7"/>
  <c r="L70" i="7"/>
  <c r="M70" i="7" s="1"/>
  <c r="K70" i="7"/>
  <c r="C70" i="7"/>
  <c r="AV68" i="7"/>
  <c r="AW68" i="7" s="1"/>
  <c r="AX68" i="7" s="1"/>
  <c r="AT68" i="7"/>
  <c r="AU68" i="7" s="1"/>
  <c r="AS68" i="7"/>
  <c r="AR68" i="7"/>
  <c r="AQ68" i="7"/>
  <c r="AL68" i="7"/>
  <c r="AM68" i="7" s="1"/>
  <c r="AK68" i="7"/>
  <c r="AF68" i="7"/>
  <c r="AG68" i="7" s="1"/>
  <c r="AE68" i="7"/>
  <c r="AA68" i="7"/>
  <c r="Z68" i="7"/>
  <c r="Y68" i="7"/>
  <c r="T68" i="7"/>
  <c r="U68" i="7" s="1"/>
  <c r="S68" i="7"/>
  <c r="L68" i="7"/>
  <c r="M68" i="7" s="1"/>
  <c r="K68" i="7"/>
  <c r="C68" i="7"/>
  <c r="AV67" i="7"/>
  <c r="AW67" i="7" s="1"/>
  <c r="AX67" i="7" s="1"/>
  <c r="AT67" i="7"/>
  <c r="AU67" i="7" s="1"/>
  <c r="AS67" i="7"/>
  <c r="AR67" i="7"/>
  <c r="AQ67" i="7"/>
  <c r="AL67" i="7"/>
  <c r="AM67" i="7" s="1"/>
  <c r="AK67" i="7"/>
  <c r="AG67" i="7"/>
  <c r="AF67" i="7"/>
  <c r="AE67" i="7"/>
  <c r="Z67" i="7"/>
  <c r="AA67" i="7" s="1"/>
  <c r="Y67" i="7"/>
  <c r="T67" i="7"/>
  <c r="U67" i="7" s="1"/>
  <c r="S67" i="7"/>
  <c r="L67" i="7"/>
  <c r="M67" i="7" s="1"/>
  <c r="K67" i="7"/>
  <c r="C67" i="7"/>
  <c r="AV66" i="7"/>
  <c r="AW66" i="7" s="1"/>
  <c r="AX66" i="7" s="1"/>
  <c r="AT66" i="7"/>
  <c r="AU66" i="7" s="1"/>
  <c r="AS66" i="7"/>
  <c r="AR66" i="7"/>
  <c r="AQ66" i="7"/>
  <c r="AL66" i="7"/>
  <c r="AM66" i="7" s="1"/>
  <c r="AK66" i="7"/>
  <c r="AF66" i="7"/>
  <c r="AG66" i="7" s="1"/>
  <c r="AE66" i="7"/>
  <c r="AA66" i="7"/>
  <c r="Z66" i="7"/>
  <c r="Y66" i="7"/>
  <c r="T66" i="7"/>
  <c r="U66" i="7" s="1"/>
  <c r="S66" i="7"/>
  <c r="L66" i="7"/>
  <c r="M66" i="7" s="1"/>
  <c r="K66" i="7"/>
  <c r="C66" i="7"/>
  <c r="AV65" i="7"/>
  <c r="AW65" i="7" s="1"/>
  <c r="AX65" i="7" s="1"/>
  <c r="AT65" i="7"/>
  <c r="AU65" i="7" s="1"/>
  <c r="AS65" i="7"/>
  <c r="AR65" i="7"/>
  <c r="AQ65" i="7"/>
  <c r="AL65" i="7"/>
  <c r="AM65" i="7" s="1"/>
  <c r="AK65" i="7"/>
  <c r="AF65" i="7"/>
  <c r="AG65" i="7" s="1"/>
  <c r="AE65" i="7"/>
  <c r="Z65" i="7"/>
  <c r="AA65" i="7" s="1"/>
  <c r="Y65" i="7"/>
  <c r="U65" i="7"/>
  <c r="T65" i="7"/>
  <c r="S65" i="7"/>
  <c r="L65" i="7"/>
  <c r="M65" i="7" s="1"/>
  <c r="K65" i="7"/>
  <c r="C65" i="7"/>
  <c r="AV64" i="7"/>
  <c r="AW64" i="7" s="1"/>
  <c r="AX64" i="7" s="1"/>
  <c r="AT64" i="7"/>
  <c r="AU64" i="7" s="1"/>
  <c r="AS64" i="7"/>
  <c r="AR64" i="7"/>
  <c r="AQ64" i="7"/>
  <c r="AL64" i="7"/>
  <c r="AM64" i="7" s="1"/>
  <c r="AK64" i="7"/>
  <c r="AF64" i="7"/>
  <c r="AG64" i="7" s="1"/>
  <c r="AE64" i="7"/>
  <c r="Z64" i="7"/>
  <c r="AA64" i="7" s="1"/>
  <c r="Y64" i="7"/>
  <c r="T64" i="7"/>
  <c r="U64" i="7" s="1"/>
  <c r="S64" i="7"/>
  <c r="L64" i="7"/>
  <c r="M64" i="7" s="1"/>
  <c r="K64" i="7"/>
  <c r="C64" i="7"/>
  <c r="AV63" i="7"/>
  <c r="AW63" i="7" s="1"/>
  <c r="AX63" i="7" s="1"/>
  <c r="AT63" i="7"/>
  <c r="AU63" i="7" s="1"/>
  <c r="AS63" i="7"/>
  <c r="AR63" i="7"/>
  <c r="AQ63" i="7"/>
  <c r="AL63" i="7"/>
  <c r="AM63" i="7" s="1"/>
  <c r="AK63" i="7"/>
  <c r="AG63" i="7"/>
  <c r="AF63" i="7"/>
  <c r="AE63" i="7"/>
  <c r="Z63" i="7"/>
  <c r="AA63" i="7" s="1"/>
  <c r="Y63" i="7"/>
  <c r="T63" i="7"/>
  <c r="U63" i="7" s="1"/>
  <c r="S63" i="7"/>
  <c r="L63" i="7"/>
  <c r="M63" i="7" s="1"/>
  <c r="K63" i="7"/>
  <c r="C63" i="7"/>
  <c r="AV62" i="7"/>
  <c r="AW62" i="7" s="1"/>
  <c r="AX62" i="7" s="1"/>
  <c r="AT62" i="7"/>
  <c r="AU62" i="7" s="1"/>
  <c r="AS62" i="7"/>
  <c r="AR62" i="7"/>
  <c r="AQ62" i="7"/>
  <c r="AL62" i="7"/>
  <c r="AM62" i="7" s="1"/>
  <c r="AK62" i="7"/>
  <c r="AF62" i="7"/>
  <c r="AG62" i="7" s="1"/>
  <c r="AE62" i="7"/>
  <c r="AA62" i="7"/>
  <c r="Z62" i="7"/>
  <c r="Y62" i="7"/>
  <c r="T62" i="7"/>
  <c r="U62" i="7" s="1"/>
  <c r="S62" i="7"/>
  <c r="L62" i="7"/>
  <c r="M62" i="7" s="1"/>
  <c r="K62" i="7"/>
  <c r="C62" i="7"/>
  <c r="AV61" i="7"/>
  <c r="AW61" i="7" s="1"/>
  <c r="AX61" i="7" s="1"/>
  <c r="AT61" i="7"/>
  <c r="AU61" i="7" s="1"/>
  <c r="AS61" i="7"/>
  <c r="AR61" i="7"/>
  <c r="AQ61" i="7"/>
  <c r="AL61" i="7"/>
  <c r="AM61" i="7" s="1"/>
  <c r="AK61" i="7"/>
  <c r="AF61" i="7"/>
  <c r="AG61" i="7" s="1"/>
  <c r="AE61" i="7"/>
  <c r="Z61" i="7"/>
  <c r="AA61" i="7" s="1"/>
  <c r="Y61" i="7"/>
  <c r="T61" i="7"/>
  <c r="U61" i="7" s="1"/>
  <c r="S61" i="7"/>
  <c r="L61" i="7"/>
  <c r="M61" i="7" s="1"/>
  <c r="K61" i="7"/>
  <c r="C61" i="7"/>
  <c r="AV60" i="7"/>
  <c r="AW60" i="7" s="1"/>
  <c r="AX60" i="7" s="1"/>
  <c r="AT60" i="7"/>
  <c r="AU60" i="7" s="1"/>
  <c r="AS60" i="7"/>
  <c r="AR60" i="7"/>
  <c r="AQ60" i="7"/>
  <c r="AL60" i="7"/>
  <c r="AM60" i="7" s="1"/>
  <c r="AK60" i="7"/>
  <c r="AF60" i="7"/>
  <c r="AG60" i="7" s="1"/>
  <c r="AE60" i="7"/>
  <c r="AA60" i="7"/>
  <c r="Z60" i="7"/>
  <c r="Y60" i="7"/>
  <c r="T60" i="7"/>
  <c r="U60" i="7" s="1"/>
  <c r="S60" i="7"/>
  <c r="L60" i="7"/>
  <c r="M60" i="7" s="1"/>
  <c r="K60" i="7"/>
  <c r="C60" i="7"/>
  <c r="AV59" i="7"/>
  <c r="AW59" i="7" s="1"/>
  <c r="AX59" i="7" s="1"/>
  <c r="AT59" i="7"/>
  <c r="AU59" i="7" s="1"/>
  <c r="AS59" i="7"/>
  <c r="AR59" i="7"/>
  <c r="AQ59" i="7"/>
  <c r="AL59" i="7"/>
  <c r="AM59" i="7" s="1"/>
  <c r="AK59" i="7"/>
  <c r="AG59" i="7"/>
  <c r="AF59" i="7"/>
  <c r="AE59" i="7"/>
  <c r="Z59" i="7"/>
  <c r="AA59" i="7" s="1"/>
  <c r="Y59" i="7"/>
  <c r="T59" i="7"/>
  <c r="U59" i="7" s="1"/>
  <c r="S59" i="7"/>
  <c r="L59" i="7"/>
  <c r="M59" i="7" s="1"/>
  <c r="K59" i="7"/>
  <c r="C59" i="7"/>
  <c r="AV58" i="7"/>
  <c r="AW58" i="7" s="1"/>
  <c r="AX58" i="7" s="1"/>
  <c r="AT58" i="7"/>
  <c r="AU58" i="7" s="1"/>
  <c r="AS58" i="7"/>
  <c r="AR58" i="7"/>
  <c r="AQ58" i="7"/>
  <c r="AL58" i="7"/>
  <c r="AM58" i="7" s="1"/>
  <c r="AK58" i="7"/>
  <c r="AF58" i="7"/>
  <c r="AG58" i="7" s="1"/>
  <c r="AE58" i="7"/>
  <c r="Z58" i="7"/>
  <c r="AA58" i="7" s="1"/>
  <c r="Y58" i="7"/>
  <c r="T58" i="7"/>
  <c r="U58" i="7" s="1"/>
  <c r="S58" i="7"/>
  <c r="L58" i="7"/>
  <c r="M58" i="7" s="1"/>
  <c r="K58" i="7"/>
  <c r="C58" i="7"/>
  <c r="AV57" i="7"/>
  <c r="AW57" i="7" s="1"/>
  <c r="AX57" i="7" s="1"/>
  <c r="AT57" i="7"/>
  <c r="AU57" i="7" s="1"/>
  <c r="AS57" i="7"/>
  <c r="AR57" i="7"/>
  <c r="AQ57" i="7"/>
  <c r="AL57" i="7"/>
  <c r="AM57" i="7" s="1"/>
  <c r="AK57" i="7"/>
  <c r="AF57" i="7"/>
  <c r="AG57" i="7" s="1"/>
  <c r="AE57" i="7"/>
  <c r="AA57" i="7"/>
  <c r="Z57" i="7"/>
  <c r="Y57" i="7"/>
  <c r="T57" i="7"/>
  <c r="U57" i="7" s="1"/>
  <c r="S57" i="7"/>
  <c r="L57" i="7"/>
  <c r="M57" i="7" s="1"/>
  <c r="K57" i="7"/>
  <c r="C57" i="7"/>
  <c r="AV56" i="7"/>
  <c r="AW56" i="7" s="1"/>
  <c r="AX56" i="7" s="1"/>
  <c r="AT56" i="7"/>
  <c r="AU56" i="7" s="1"/>
  <c r="AS56" i="7"/>
  <c r="AR56" i="7"/>
  <c r="AQ56" i="7"/>
  <c r="AL56" i="7"/>
  <c r="AM56" i="7" s="1"/>
  <c r="AK56" i="7"/>
  <c r="AF56" i="7"/>
  <c r="AG56" i="7" s="1"/>
  <c r="AE56" i="7"/>
  <c r="Z56" i="7"/>
  <c r="AA56" i="7" s="1"/>
  <c r="Y56" i="7"/>
  <c r="T56" i="7"/>
  <c r="U56" i="7" s="1"/>
  <c r="S56" i="7"/>
  <c r="L56" i="7"/>
  <c r="M56" i="7" s="1"/>
  <c r="K56" i="7"/>
  <c r="C56" i="7"/>
  <c r="AV55" i="7"/>
  <c r="AW55" i="7" s="1"/>
  <c r="AX55" i="7" s="1"/>
  <c r="AT55" i="7"/>
  <c r="AU55" i="7" s="1"/>
  <c r="AS55" i="7"/>
  <c r="AR55" i="7"/>
  <c r="AQ55" i="7"/>
  <c r="AL55" i="7"/>
  <c r="AM55" i="7" s="1"/>
  <c r="AK55" i="7"/>
  <c r="AF55" i="7"/>
  <c r="AG55" i="7" s="1"/>
  <c r="AE55" i="7"/>
  <c r="Z55" i="7"/>
  <c r="AA55" i="7" s="1"/>
  <c r="Y55" i="7"/>
  <c r="T55" i="7"/>
  <c r="U55" i="7" s="1"/>
  <c r="S55" i="7"/>
  <c r="L55" i="7"/>
  <c r="M55" i="7" s="1"/>
  <c r="K55" i="7"/>
  <c r="C55" i="7"/>
  <c r="AV54" i="7"/>
  <c r="AW54" i="7" s="1"/>
  <c r="AX54" i="7" s="1"/>
  <c r="AT54" i="7"/>
  <c r="AU54" i="7" s="1"/>
  <c r="AS54" i="7"/>
  <c r="AR54" i="7"/>
  <c r="AQ54" i="7"/>
  <c r="AL54" i="7"/>
  <c r="AM54" i="7" s="1"/>
  <c r="AK54" i="7"/>
  <c r="AF54" i="7"/>
  <c r="AG54" i="7" s="1"/>
  <c r="AE54" i="7"/>
  <c r="AA54" i="7"/>
  <c r="Z54" i="7"/>
  <c r="Y54" i="7"/>
  <c r="T54" i="7"/>
  <c r="U54" i="7" s="1"/>
  <c r="S54" i="7"/>
  <c r="L54" i="7"/>
  <c r="M54" i="7" s="1"/>
  <c r="K54" i="7"/>
  <c r="C54" i="7"/>
  <c r="AV53" i="7"/>
  <c r="AW53" i="7" s="1"/>
  <c r="AX53" i="7" s="1"/>
  <c r="AT53" i="7"/>
  <c r="AU53" i="7" s="1"/>
  <c r="AS53" i="7"/>
  <c r="AR53" i="7"/>
  <c r="AQ53" i="7"/>
  <c r="AL53" i="7"/>
  <c r="AM53" i="7" s="1"/>
  <c r="AK53" i="7"/>
  <c r="AF53" i="7"/>
  <c r="AG53" i="7" s="1"/>
  <c r="AE53" i="7"/>
  <c r="Z53" i="7"/>
  <c r="AA53" i="7" s="1"/>
  <c r="Y53" i="7"/>
  <c r="T53" i="7"/>
  <c r="U53" i="7" s="1"/>
  <c r="S53" i="7"/>
  <c r="L53" i="7"/>
  <c r="M53" i="7" s="1"/>
  <c r="K53" i="7"/>
  <c r="C53" i="7"/>
  <c r="AV52" i="7"/>
  <c r="AW52" i="7" s="1"/>
  <c r="AX52" i="7" s="1"/>
  <c r="AT52" i="7"/>
  <c r="AU52" i="7" s="1"/>
  <c r="AS52" i="7"/>
  <c r="AR52" i="7"/>
  <c r="AQ52" i="7"/>
  <c r="AL52" i="7"/>
  <c r="AM52" i="7" s="1"/>
  <c r="AK52" i="7"/>
  <c r="AF52" i="7"/>
  <c r="AG52" i="7" s="1"/>
  <c r="AE52" i="7"/>
  <c r="Z52" i="7"/>
  <c r="AA52" i="7" s="1"/>
  <c r="Y52" i="7"/>
  <c r="T52" i="7"/>
  <c r="U52" i="7" s="1"/>
  <c r="S52" i="7"/>
  <c r="L52" i="7"/>
  <c r="M52" i="7" s="1"/>
  <c r="K52" i="7"/>
  <c r="C52" i="7"/>
  <c r="AV51" i="7"/>
  <c r="AW51" i="7" s="1"/>
  <c r="AX51" i="7" s="1"/>
  <c r="AT51" i="7"/>
  <c r="AU51" i="7" s="1"/>
  <c r="AS51" i="7"/>
  <c r="AR51" i="7"/>
  <c r="AQ51" i="7"/>
  <c r="AL51" i="7"/>
  <c r="AM51" i="7" s="1"/>
  <c r="AK51" i="7"/>
  <c r="AF51" i="7"/>
  <c r="AG51" i="7" s="1"/>
  <c r="AE51" i="7"/>
  <c r="AA51" i="7"/>
  <c r="Z51" i="7"/>
  <c r="Y51" i="7"/>
  <c r="T51" i="7"/>
  <c r="U51" i="7" s="1"/>
  <c r="S51" i="7"/>
  <c r="L51" i="7"/>
  <c r="M51" i="7" s="1"/>
  <c r="K51" i="7"/>
  <c r="C51" i="7"/>
  <c r="AV50" i="7"/>
  <c r="AW50" i="7" s="1"/>
  <c r="AX50" i="7" s="1"/>
  <c r="AT50" i="7"/>
  <c r="AU50" i="7" s="1"/>
  <c r="AS50" i="7"/>
  <c r="AR50" i="7"/>
  <c r="AQ50" i="7"/>
  <c r="AL50" i="7"/>
  <c r="AM50" i="7" s="1"/>
  <c r="AK50" i="7"/>
  <c r="AF50" i="7"/>
  <c r="AG50" i="7" s="1"/>
  <c r="AE50" i="7"/>
  <c r="AA50" i="7"/>
  <c r="Z50" i="7"/>
  <c r="Y50" i="7"/>
  <c r="T50" i="7"/>
  <c r="U50" i="7" s="1"/>
  <c r="S50" i="7"/>
  <c r="L50" i="7"/>
  <c r="M50" i="7" s="1"/>
  <c r="K50" i="7"/>
  <c r="C50" i="7"/>
  <c r="AV49" i="7"/>
  <c r="AW49" i="7" s="1"/>
  <c r="AX49" i="7" s="1"/>
  <c r="AT49" i="7"/>
  <c r="AU49" i="7" s="1"/>
  <c r="AS49" i="7"/>
  <c r="AR49" i="7"/>
  <c r="AQ49" i="7"/>
  <c r="AL49" i="7"/>
  <c r="AM49" i="7" s="1"/>
  <c r="AK49" i="7"/>
  <c r="AF49" i="7"/>
  <c r="AG49" i="7" s="1"/>
  <c r="AE49" i="7"/>
  <c r="Z49" i="7"/>
  <c r="AA49" i="7" s="1"/>
  <c r="Y49" i="7"/>
  <c r="T49" i="7"/>
  <c r="U49" i="7" s="1"/>
  <c r="S49" i="7"/>
  <c r="L49" i="7"/>
  <c r="M49" i="7" s="1"/>
  <c r="K49" i="7"/>
  <c r="C49" i="7"/>
  <c r="AV48" i="7"/>
  <c r="AW48" i="7" s="1"/>
  <c r="AX48" i="7" s="1"/>
  <c r="AT48" i="7"/>
  <c r="AU48" i="7" s="1"/>
  <c r="AS48" i="7"/>
  <c r="AR48" i="7"/>
  <c r="AQ48" i="7"/>
  <c r="AL48" i="7"/>
  <c r="AM48" i="7" s="1"/>
  <c r="AK48" i="7"/>
  <c r="AF48" i="7"/>
  <c r="AG48" i="7" s="1"/>
  <c r="AE48" i="7"/>
  <c r="Z48" i="7"/>
  <c r="AA48" i="7" s="1"/>
  <c r="Y48" i="7"/>
  <c r="T48" i="7"/>
  <c r="U48" i="7" s="1"/>
  <c r="S48" i="7"/>
  <c r="L48" i="7"/>
  <c r="M48" i="7" s="1"/>
  <c r="K48" i="7"/>
  <c r="C48" i="7"/>
  <c r="AV47" i="7"/>
  <c r="AW47" i="7" s="1"/>
  <c r="AX47" i="7" s="1"/>
  <c r="AT47" i="7"/>
  <c r="AU47" i="7" s="1"/>
  <c r="AS47" i="7"/>
  <c r="AR47" i="7"/>
  <c r="AQ47" i="7"/>
  <c r="AL47" i="7"/>
  <c r="AM47" i="7" s="1"/>
  <c r="AK47" i="7"/>
  <c r="AF47" i="7"/>
  <c r="AG47" i="7" s="1"/>
  <c r="AE47" i="7"/>
  <c r="Z47" i="7"/>
  <c r="AA47" i="7" s="1"/>
  <c r="Y47" i="7"/>
  <c r="T47" i="7"/>
  <c r="U47" i="7" s="1"/>
  <c r="S47" i="7"/>
  <c r="L47" i="7"/>
  <c r="M47" i="7" s="1"/>
  <c r="K47" i="7"/>
  <c r="C47" i="7"/>
  <c r="AV46" i="7"/>
  <c r="AW46" i="7" s="1"/>
  <c r="AX46" i="7" s="1"/>
  <c r="AT46" i="7"/>
  <c r="AU46" i="7" s="1"/>
  <c r="AS46" i="7"/>
  <c r="AR46" i="7"/>
  <c r="AQ46" i="7"/>
  <c r="AL46" i="7"/>
  <c r="AM46" i="7" s="1"/>
  <c r="AK46" i="7"/>
  <c r="AF46" i="7"/>
  <c r="AG46" i="7" s="1"/>
  <c r="AE46" i="7"/>
  <c r="AA46" i="7"/>
  <c r="Z46" i="7"/>
  <c r="Y46" i="7"/>
  <c r="T46" i="7"/>
  <c r="U46" i="7" s="1"/>
  <c r="S46" i="7"/>
  <c r="L46" i="7"/>
  <c r="M46" i="7" s="1"/>
  <c r="K46" i="7"/>
  <c r="C46" i="7"/>
  <c r="AV45" i="7"/>
  <c r="AW45" i="7" s="1"/>
  <c r="AX45" i="7" s="1"/>
  <c r="AT45" i="7"/>
  <c r="AU45" i="7" s="1"/>
  <c r="AS45" i="7"/>
  <c r="AR45" i="7"/>
  <c r="AQ45" i="7"/>
  <c r="AL45" i="7"/>
  <c r="AM45" i="7" s="1"/>
  <c r="AK45" i="7"/>
  <c r="AF45" i="7"/>
  <c r="AG45" i="7" s="1"/>
  <c r="AE45" i="7"/>
  <c r="Z45" i="7"/>
  <c r="AA45" i="7" s="1"/>
  <c r="Y45" i="7"/>
  <c r="T45" i="7"/>
  <c r="U45" i="7" s="1"/>
  <c r="S45" i="7"/>
  <c r="L45" i="7"/>
  <c r="M45" i="7" s="1"/>
  <c r="K45" i="7"/>
  <c r="C45" i="7"/>
  <c r="AV44" i="7"/>
  <c r="AW44" i="7" s="1"/>
  <c r="AX44" i="7" s="1"/>
  <c r="AT44" i="7"/>
  <c r="AU44" i="7" s="1"/>
  <c r="AS44" i="7"/>
  <c r="AR44" i="7"/>
  <c r="AQ44" i="7"/>
  <c r="AL44" i="7"/>
  <c r="AM44" i="7" s="1"/>
  <c r="AK44" i="7"/>
  <c r="AF44" i="7"/>
  <c r="AG44" i="7" s="1"/>
  <c r="AE44" i="7"/>
  <c r="AA44" i="7"/>
  <c r="Z44" i="7"/>
  <c r="Y44" i="7"/>
  <c r="T44" i="7"/>
  <c r="U44" i="7" s="1"/>
  <c r="S44" i="7"/>
  <c r="L44" i="7"/>
  <c r="M44" i="7" s="1"/>
  <c r="K44" i="7"/>
  <c r="C44" i="7"/>
  <c r="AV43" i="7"/>
  <c r="AW43" i="7" s="1"/>
  <c r="AX43" i="7" s="1"/>
  <c r="AT43" i="7"/>
  <c r="AU43" i="7" s="1"/>
  <c r="AS43" i="7"/>
  <c r="AR43" i="7"/>
  <c r="AQ43" i="7"/>
  <c r="AL43" i="7"/>
  <c r="AM43" i="7" s="1"/>
  <c r="AK43" i="7"/>
  <c r="AF43" i="7"/>
  <c r="AG43" i="7" s="1"/>
  <c r="AE43" i="7"/>
  <c r="AA43" i="7"/>
  <c r="Z43" i="7"/>
  <c r="Y43" i="7"/>
  <c r="T43" i="7"/>
  <c r="U43" i="7" s="1"/>
  <c r="S43" i="7"/>
  <c r="L43" i="7"/>
  <c r="M43" i="7" s="1"/>
  <c r="K43" i="7"/>
  <c r="C43" i="7"/>
  <c r="AV42" i="7"/>
  <c r="AW42" i="7" s="1"/>
  <c r="AX42" i="7" s="1"/>
  <c r="AT42" i="7"/>
  <c r="AU42" i="7" s="1"/>
  <c r="AS42" i="7"/>
  <c r="AR42" i="7"/>
  <c r="AQ42" i="7"/>
  <c r="AL42" i="7"/>
  <c r="AM42" i="7" s="1"/>
  <c r="AK42" i="7"/>
  <c r="AG42" i="7"/>
  <c r="AF42" i="7"/>
  <c r="AE42" i="7"/>
  <c r="Z42" i="7"/>
  <c r="AA42" i="7" s="1"/>
  <c r="Y42" i="7"/>
  <c r="T42" i="7"/>
  <c r="U42" i="7" s="1"/>
  <c r="S42" i="7"/>
  <c r="L42" i="7"/>
  <c r="M42" i="7" s="1"/>
  <c r="K42" i="7"/>
  <c r="C42" i="7"/>
  <c r="AV41" i="7"/>
  <c r="AW41" i="7" s="1"/>
  <c r="AX41" i="7" s="1"/>
  <c r="AT41" i="7"/>
  <c r="AU41" i="7" s="1"/>
  <c r="AS41" i="7"/>
  <c r="AR41" i="7"/>
  <c r="AQ41" i="7"/>
  <c r="AL41" i="7"/>
  <c r="AM41" i="7" s="1"/>
  <c r="AK41" i="7"/>
  <c r="AF41" i="7"/>
  <c r="AG41" i="7" s="1"/>
  <c r="AE41" i="7"/>
  <c r="Z41" i="7"/>
  <c r="AA41" i="7" s="1"/>
  <c r="Y41" i="7"/>
  <c r="T41" i="7"/>
  <c r="U41" i="7" s="1"/>
  <c r="S41" i="7"/>
  <c r="L41" i="7"/>
  <c r="M41" i="7" s="1"/>
  <c r="K41" i="7"/>
  <c r="C41" i="7"/>
  <c r="AV40" i="7"/>
  <c r="AW40" i="7" s="1"/>
  <c r="AX40" i="7" s="1"/>
  <c r="AT40" i="7"/>
  <c r="AU40" i="7" s="1"/>
  <c r="AS40" i="7"/>
  <c r="AR40" i="7"/>
  <c r="AQ40" i="7"/>
  <c r="AL40" i="7"/>
  <c r="AM40" i="7" s="1"/>
  <c r="AK40" i="7"/>
  <c r="AF40" i="7"/>
  <c r="AG40" i="7" s="1"/>
  <c r="AE40" i="7"/>
  <c r="Z40" i="7"/>
  <c r="AA40" i="7" s="1"/>
  <c r="Y40" i="7"/>
  <c r="T40" i="7"/>
  <c r="U40" i="7" s="1"/>
  <c r="S40" i="7"/>
  <c r="L40" i="7"/>
  <c r="M40" i="7" s="1"/>
  <c r="K40" i="7"/>
  <c r="C40" i="7"/>
  <c r="AV39" i="7"/>
  <c r="AW39" i="7" s="1"/>
  <c r="AX39" i="7" s="1"/>
  <c r="AT39" i="7"/>
  <c r="AU39" i="7" s="1"/>
  <c r="AS39" i="7"/>
  <c r="AR39" i="7"/>
  <c r="AQ39" i="7"/>
  <c r="AL39" i="7"/>
  <c r="AM39" i="7" s="1"/>
  <c r="AK39" i="7"/>
  <c r="AF39" i="7"/>
  <c r="AG39" i="7" s="1"/>
  <c r="AE39" i="7"/>
  <c r="Z39" i="7"/>
  <c r="AA39" i="7" s="1"/>
  <c r="Y39" i="7"/>
  <c r="T39" i="7"/>
  <c r="U39" i="7" s="1"/>
  <c r="S39" i="7"/>
  <c r="L39" i="7"/>
  <c r="M39" i="7" s="1"/>
  <c r="K39" i="7"/>
  <c r="C39" i="7"/>
  <c r="AV38" i="7"/>
  <c r="AW38" i="7" s="1"/>
  <c r="AX38" i="7" s="1"/>
  <c r="AT38" i="7"/>
  <c r="AU38" i="7" s="1"/>
  <c r="AS38" i="7"/>
  <c r="AR38" i="7"/>
  <c r="AQ38" i="7"/>
  <c r="AL38" i="7"/>
  <c r="AM38" i="7" s="1"/>
  <c r="AK38" i="7"/>
  <c r="AF38" i="7"/>
  <c r="AG38" i="7" s="1"/>
  <c r="AE38" i="7"/>
  <c r="Z38" i="7"/>
  <c r="AA38" i="7" s="1"/>
  <c r="Y38" i="7"/>
  <c r="T38" i="7"/>
  <c r="U38" i="7" s="1"/>
  <c r="S38" i="7"/>
  <c r="L38" i="7"/>
  <c r="M38" i="7" s="1"/>
  <c r="K38" i="7"/>
  <c r="C38" i="7"/>
  <c r="AV37" i="7"/>
  <c r="AW37" i="7" s="1"/>
  <c r="AX37" i="7" s="1"/>
  <c r="AT37" i="7"/>
  <c r="AU37" i="7" s="1"/>
  <c r="AS37" i="7"/>
  <c r="AR37" i="7"/>
  <c r="AQ37" i="7"/>
  <c r="AL37" i="7"/>
  <c r="AM37" i="7" s="1"/>
  <c r="AK37" i="7"/>
  <c r="AF37" i="7"/>
  <c r="AG37" i="7" s="1"/>
  <c r="AE37" i="7"/>
  <c r="Z37" i="7"/>
  <c r="AA37" i="7" s="1"/>
  <c r="Y37" i="7"/>
  <c r="T37" i="7"/>
  <c r="U37" i="7" s="1"/>
  <c r="S37" i="7"/>
  <c r="L37" i="7"/>
  <c r="M37" i="7" s="1"/>
  <c r="K37" i="7"/>
  <c r="C37" i="7"/>
  <c r="AV36" i="7"/>
  <c r="AW36" i="7" s="1"/>
  <c r="AX36" i="7" s="1"/>
  <c r="AT36" i="7"/>
  <c r="AU36" i="7" s="1"/>
  <c r="AS36" i="7"/>
  <c r="AR36" i="7"/>
  <c r="AQ36" i="7"/>
  <c r="AM36" i="7"/>
  <c r="AL36" i="7"/>
  <c r="AK36" i="7"/>
  <c r="AF36" i="7"/>
  <c r="AG36" i="7" s="1"/>
  <c r="AE36" i="7"/>
  <c r="Z36" i="7"/>
  <c r="AA36" i="7" s="1"/>
  <c r="Y36" i="7"/>
  <c r="T36" i="7"/>
  <c r="U36" i="7" s="1"/>
  <c r="S36" i="7"/>
  <c r="L36" i="7"/>
  <c r="M36" i="7" s="1"/>
  <c r="K36" i="7"/>
  <c r="C36" i="7"/>
  <c r="AV35" i="7"/>
  <c r="AW35" i="7" s="1"/>
  <c r="AX35" i="7" s="1"/>
  <c r="AU35" i="7"/>
  <c r="AT35" i="7"/>
  <c r="AS35" i="7"/>
  <c r="AR35" i="7"/>
  <c r="AQ35" i="7"/>
  <c r="AL35" i="7"/>
  <c r="AM35" i="7" s="1"/>
  <c r="AK35" i="7"/>
  <c r="AF35" i="7"/>
  <c r="AG35" i="7" s="1"/>
  <c r="AE35" i="7"/>
  <c r="Z35" i="7"/>
  <c r="AA35" i="7" s="1"/>
  <c r="Y35" i="7"/>
  <c r="T35" i="7"/>
  <c r="U35" i="7" s="1"/>
  <c r="S35" i="7"/>
  <c r="L35" i="7"/>
  <c r="M35" i="7" s="1"/>
  <c r="K35" i="7"/>
  <c r="C35" i="7"/>
  <c r="AV34" i="7"/>
  <c r="AW34" i="7" s="1"/>
  <c r="AX34" i="7" s="1"/>
  <c r="AU34" i="7"/>
  <c r="AT34" i="7"/>
  <c r="AS34" i="7"/>
  <c r="AR34" i="7"/>
  <c r="AQ34" i="7"/>
  <c r="AM34" i="7"/>
  <c r="AL34" i="7"/>
  <c r="AK34" i="7"/>
  <c r="AF34" i="7"/>
  <c r="AG34" i="7" s="1"/>
  <c r="AE34" i="7"/>
  <c r="Z34" i="7"/>
  <c r="AA34" i="7" s="1"/>
  <c r="Y34" i="7"/>
  <c r="T34" i="7"/>
  <c r="U34" i="7" s="1"/>
  <c r="S34" i="7"/>
  <c r="M34" i="7"/>
  <c r="L34" i="7"/>
  <c r="K34" i="7"/>
  <c r="C34" i="7"/>
  <c r="AV33" i="7"/>
  <c r="AW33" i="7" s="1"/>
  <c r="AX33" i="7" s="1"/>
  <c r="AU33" i="7"/>
  <c r="AT33" i="7"/>
  <c r="AS33" i="7"/>
  <c r="AR33" i="7"/>
  <c r="AQ33" i="7"/>
  <c r="AM33" i="7"/>
  <c r="AL33" i="7"/>
  <c r="AK33" i="7"/>
  <c r="AF33" i="7"/>
  <c r="AG33" i="7" s="1"/>
  <c r="AE33" i="7"/>
  <c r="Z33" i="7"/>
  <c r="AA33" i="7" s="1"/>
  <c r="Y33" i="7"/>
  <c r="T33" i="7"/>
  <c r="U33" i="7" s="1"/>
  <c r="S33" i="7"/>
  <c r="L33" i="7"/>
  <c r="M33" i="7" s="1"/>
  <c r="K33" i="7"/>
  <c r="C33" i="7"/>
  <c r="AV32" i="7"/>
  <c r="AW32" i="7" s="1"/>
  <c r="AX32" i="7" s="1"/>
  <c r="AT32" i="7"/>
  <c r="AU32" i="7" s="1"/>
  <c r="AS32" i="7"/>
  <c r="AR32" i="7"/>
  <c r="AQ32" i="7"/>
  <c r="AL32" i="7"/>
  <c r="AM32" i="7" s="1"/>
  <c r="AK32" i="7"/>
  <c r="AF32" i="7"/>
  <c r="AG32" i="7" s="1"/>
  <c r="AE32" i="7"/>
  <c r="Z32" i="7"/>
  <c r="AA32" i="7" s="1"/>
  <c r="Y32" i="7"/>
  <c r="T32" i="7"/>
  <c r="U32" i="7" s="1"/>
  <c r="S32" i="7"/>
  <c r="L32" i="7"/>
  <c r="M32" i="7" s="1"/>
  <c r="K32" i="7"/>
  <c r="C32" i="7"/>
  <c r="AV31" i="7"/>
  <c r="AW31" i="7" s="1"/>
  <c r="AX31" i="7" s="1"/>
  <c r="AU31" i="7"/>
  <c r="AT31" i="7"/>
  <c r="AS31" i="7"/>
  <c r="AR31" i="7"/>
  <c r="AQ31" i="7"/>
  <c r="AM31" i="7"/>
  <c r="AL31" i="7"/>
  <c r="AK31" i="7"/>
  <c r="AF31" i="7"/>
  <c r="AG31" i="7" s="1"/>
  <c r="AE31" i="7"/>
  <c r="Z31" i="7"/>
  <c r="AA31" i="7" s="1"/>
  <c r="Y31" i="7"/>
  <c r="T31" i="7"/>
  <c r="U31" i="7" s="1"/>
  <c r="S31" i="7"/>
  <c r="L31" i="7"/>
  <c r="M31" i="7" s="1"/>
  <c r="K31" i="7"/>
  <c r="C31" i="7"/>
  <c r="AV30" i="7"/>
  <c r="AW30" i="7" s="1"/>
  <c r="AX30" i="7" s="1"/>
  <c r="AU30" i="7"/>
  <c r="AT30" i="7"/>
  <c r="AS30" i="7"/>
  <c r="AR30" i="7"/>
  <c r="AQ30" i="7"/>
  <c r="AL30" i="7"/>
  <c r="AM30" i="7" s="1"/>
  <c r="AK30" i="7"/>
  <c r="AF30" i="7"/>
  <c r="AG30" i="7" s="1"/>
  <c r="AE30" i="7"/>
  <c r="Z30" i="7"/>
  <c r="AA30" i="7" s="1"/>
  <c r="Y30" i="7"/>
  <c r="T30" i="7"/>
  <c r="U30" i="7" s="1"/>
  <c r="S30" i="7"/>
  <c r="M30" i="7"/>
  <c r="L30" i="7"/>
  <c r="K30" i="7"/>
  <c r="C30" i="7"/>
  <c r="AV29" i="7"/>
  <c r="AW29" i="7" s="1"/>
  <c r="AX29" i="7" s="1"/>
  <c r="AU29" i="7"/>
  <c r="AT29" i="7"/>
  <c r="AS29" i="7"/>
  <c r="AR29" i="7"/>
  <c r="AQ29" i="7"/>
  <c r="AL29" i="7"/>
  <c r="AM29" i="7" s="1"/>
  <c r="AK29" i="7"/>
  <c r="AF29" i="7"/>
  <c r="AG29" i="7" s="1"/>
  <c r="AE29" i="7"/>
  <c r="Z29" i="7"/>
  <c r="AA29" i="7" s="1"/>
  <c r="Y29" i="7"/>
  <c r="T29" i="7"/>
  <c r="U29" i="7" s="1"/>
  <c r="S29" i="7"/>
  <c r="L29" i="7"/>
  <c r="M29" i="7" s="1"/>
  <c r="K29" i="7"/>
  <c r="C29" i="7"/>
  <c r="AV28" i="7"/>
  <c r="AW28" i="7" s="1"/>
  <c r="AX28" i="7" s="1"/>
  <c r="AT28" i="7"/>
  <c r="AU28" i="7" s="1"/>
  <c r="AS28" i="7"/>
  <c r="AR28" i="7"/>
  <c r="AQ28" i="7"/>
  <c r="AM28" i="7"/>
  <c r="AL28" i="7"/>
  <c r="AK28" i="7"/>
  <c r="AF28" i="7"/>
  <c r="AG28" i="7" s="1"/>
  <c r="AE28" i="7"/>
  <c r="Z28" i="7"/>
  <c r="AA28" i="7" s="1"/>
  <c r="Y28" i="7"/>
  <c r="T28" i="7"/>
  <c r="U28" i="7" s="1"/>
  <c r="S28" i="7"/>
  <c r="L28" i="7"/>
  <c r="M28" i="7" s="1"/>
  <c r="K28" i="7"/>
  <c r="C28" i="7"/>
  <c r="AV27" i="7"/>
  <c r="AW27" i="7" s="1"/>
  <c r="AX27" i="7" s="1"/>
  <c r="AT27" i="7"/>
  <c r="AU27" i="7" s="1"/>
  <c r="AS27" i="7"/>
  <c r="AR27" i="7"/>
  <c r="AQ27" i="7"/>
  <c r="AL27" i="7"/>
  <c r="AM27" i="7" s="1"/>
  <c r="AK27" i="7"/>
  <c r="AF27" i="7"/>
  <c r="AG27" i="7" s="1"/>
  <c r="AE27" i="7"/>
  <c r="Z27" i="7"/>
  <c r="AA27" i="7" s="1"/>
  <c r="Y27" i="7"/>
  <c r="T27" i="7"/>
  <c r="U27" i="7" s="1"/>
  <c r="S27" i="7"/>
  <c r="L27" i="7"/>
  <c r="M27" i="7" s="1"/>
  <c r="K27" i="7"/>
  <c r="C27" i="7"/>
  <c r="AV26" i="7"/>
  <c r="AW26" i="7" s="1"/>
  <c r="AX26" i="7" s="1"/>
  <c r="AT26" i="7"/>
  <c r="AU26" i="7" s="1"/>
  <c r="AS26" i="7"/>
  <c r="AR26" i="7"/>
  <c r="AQ26" i="7"/>
  <c r="AM26" i="7"/>
  <c r="AL26" i="7"/>
  <c r="AK26" i="7"/>
  <c r="AF26" i="7"/>
  <c r="AG26" i="7" s="1"/>
  <c r="AE26" i="7"/>
  <c r="Z26" i="7"/>
  <c r="AA26" i="7" s="1"/>
  <c r="Y26" i="7"/>
  <c r="T26" i="7"/>
  <c r="U26" i="7" s="1"/>
  <c r="S26" i="7"/>
  <c r="M26" i="7"/>
  <c r="L26" i="7"/>
  <c r="K26" i="7"/>
  <c r="C26" i="7"/>
  <c r="AV25" i="7"/>
  <c r="AW25" i="7" s="1"/>
  <c r="AX25" i="7" s="1"/>
  <c r="AT25" i="7"/>
  <c r="AU25" i="7" s="1"/>
  <c r="AS25" i="7"/>
  <c r="AR25" i="7"/>
  <c r="AQ25" i="7"/>
  <c r="AM25" i="7"/>
  <c r="AL25" i="7"/>
  <c r="AK25" i="7"/>
  <c r="AF25" i="7"/>
  <c r="AG25" i="7" s="1"/>
  <c r="AE25" i="7"/>
  <c r="Z25" i="7"/>
  <c r="AA25" i="7" s="1"/>
  <c r="Y25" i="7"/>
  <c r="T25" i="7"/>
  <c r="U25" i="7" s="1"/>
  <c r="S25" i="7"/>
  <c r="L25" i="7"/>
  <c r="M25" i="7" s="1"/>
  <c r="K25" i="7"/>
  <c r="C25" i="7"/>
  <c r="AV24" i="7"/>
  <c r="AW24" i="7" s="1"/>
  <c r="AX24" i="7" s="1"/>
  <c r="AT24" i="7"/>
  <c r="AU24" i="7" s="1"/>
  <c r="AS24" i="7"/>
  <c r="AR24" i="7"/>
  <c r="AQ24" i="7"/>
  <c r="AL24" i="7"/>
  <c r="AM24" i="7" s="1"/>
  <c r="AK24" i="7"/>
  <c r="AF24" i="7"/>
  <c r="AG24" i="7" s="1"/>
  <c r="AE24" i="7"/>
  <c r="Z24" i="7"/>
  <c r="AA24" i="7" s="1"/>
  <c r="Y24" i="7"/>
  <c r="T24" i="7"/>
  <c r="U24" i="7" s="1"/>
  <c r="S24" i="7"/>
  <c r="L24" i="7"/>
  <c r="M24" i="7" s="1"/>
  <c r="K24" i="7"/>
  <c r="C24" i="7"/>
  <c r="AV23" i="7"/>
  <c r="AW23" i="7" s="1"/>
  <c r="AX23" i="7" s="1"/>
  <c r="AT23" i="7"/>
  <c r="AU23" i="7" s="1"/>
  <c r="AS23" i="7"/>
  <c r="AR23" i="7"/>
  <c r="AQ23" i="7"/>
  <c r="AM23" i="7"/>
  <c r="AL23" i="7"/>
  <c r="AK23" i="7"/>
  <c r="AF23" i="7"/>
  <c r="AG23" i="7" s="1"/>
  <c r="AE23" i="7"/>
  <c r="Z23" i="7"/>
  <c r="AA23" i="7" s="1"/>
  <c r="Y23" i="7"/>
  <c r="T23" i="7"/>
  <c r="U23" i="7" s="1"/>
  <c r="S23" i="7"/>
  <c r="L23" i="7"/>
  <c r="M23" i="7" s="1"/>
  <c r="K23" i="7"/>
  <c r="C23" i="7"/>
  <c r="AV22" i="7"/>
  <c r="AW22" i="7" s="1"/>
  <c r="AX22" i="7" s="1"/>
  <c r="AT22" i="7"/>
  <c r="AU22" i="7" s="1"/>
  <c r="AS22" i="7"/>
  <c r="AR22" i="7"/>
  <c r="AQ22" i="7"/>
  <c r="AM22" i="7"/>
  <c r="AL22" i="7"/>
  <c r="AK22" i="7"/>
  <c r="AF22" i="7"/>
  <c r="AG22" i="7" s="1"/>
  <c r="AE22" i="7"/>
  <c r="Z22" i="7"/>
  <c r="AA22" i="7" s="1"/>
  <c r="Y22" i="7"/>
  <c r="T22" i="7"/>
  <c r="U22" i="7" s="1"/>
  <c r="S22" i="7"/>
  <c r="M22" i="7"/>
  <c r="L22" i="7"/>
  <c r="K22" i="7"/>
  <c r="C22" i="7"/>
  <c r="AV21" i="7"/>
  <c r="AW21" i="7" s="1"/>
  <c r="AX21" i="7" s="1"/>
  <c r="AT21" i="7"/>
  <c r="AU21" i="7" s="1"/>
  <c r="AS21" i="7"/>
  <c r="AR21" i="7"/>
  <c r="AQ21" i="7"/>
  <c r="AL21" i="7"/>
  <c r="AM21" i="7" s="1"/>
  <c r="AK21" i="7"/>
  <c r="AF21" i="7"/>
  <c r="AG21" i="7" s="1"/>
  <c r="AE21" i="7"/>
  <c r="Z21" i="7"/>
  <c r="AA21" i="7" s="1"/>
  <c r="Y21" i="7"/>
  <c r="T21" i="7"/>
  <c r="U21" i="7" s="1"/>
  <c r="S21" i="7"/>
  <c r="L21" i="7"/>
  <c r="M21" i="7" s="1"/>
  <c r="K21" i="7"/>
  <c r="C21" i="7"/>
  <c r="AV20" i="7"/>
  <c r="AW20" i="7" s="1"/>
  <c r="AX20" i="7" s="1"/>
  <c r="AT20" i="7"/>
  <c r="AU20" i="7" s="1"/>
  <c r="AS20" i="7"/>
  <c r="AR20" i="7"/>
  <c r="AQ20" i="7"/>
  <c r="AL20" i="7"/>
  <c r="AM20" i="7" s="1"/>
  <c r="AK20" i="7"/>
  <c r="AF20" i="7"/>
  <c r="AG20" i="7" s="1"/>
  <c r="AE20" i="7"/>
  <c r="Z20" i="7"/>
  <c r="AA20" i="7" s="1"/>
  <c r="Y20" i="7"/>
  <c r="T20" i="7"/>
  <c r="U20" i="7" s="1"/>
  <c r="S20" i="7"/>
  <c r="L20" i="7"/>
  <c r="M20" i="7" s="1"/>
  <c r="K20" i="7"/>
  <c r="C20" i="7"/>
  <c r="AV19" i="7"/>
  <c r="AW19" i="7" s="1"/>
  <c r="AX19" i="7" s="1"/>
  <c r="AU19" i="7"/>
  <c r="AT19" i="7"/>
  <c r="AS19" i="7"/>
  <c r="AR19" i="7"/>
  <c r="AQ19" i="7"/>
  <c r="AM19" i="7"/>
  <c r="AL19" i="7"/>
  <c r="AK19" i="7"/>
  <c r="AF19" i="7"/>
  <c r="AG19" i="7" s="1"/>
  <c r="AE19" i="7"/>
  <c r="Z19" i="7"/>
  <c r="AA19" i="7" s="1"/>
  <c r="Y19" i="7"/>
  <c r="T19" i="7"/>
  <c r="U19" i="7" s="1"/>
  <c r="S19" i="7"/>
  <c r="L19" i="7"/>
  <c r="M19" i="7" s="1"/>
  <c r="K19" i="7"/>
  <c r="C19" i="7"/>
  <c r="AK16" i="7"/>
  <c r="AE16" i="7"/>
  <c r="Y16" i="7"/>
  <c r="S16" i="7"/>
  <c r="K16" i="7"/>
  <c r="L11" i="7"/>
  <c r="AR10" i="7"/>
  <c r="AB10" i="7"/>
  <c r="L10" i="7"/>
  <c r="AI7" i="7"/>
  <c r="F7" i="7"/>
  <c r="AI5" i="7"/>
  <c r="S5" i="7"/>
  <c r="F5" i="7"/>
  <c r="AV119" i="2"/>
  <c r="AW119" i="2" s="1"/>
  <c r="AX119" i="2" s="1"/>
  <c r="AT119" i="2"/>
  <c r="AU119" i="2" s="1"/>
  <c r="AS119" i="2"/>
  <c r="AR119" i="2"/>
  <c r="AQ119" i="2"/>
  <c r="AL119" i="2"/>
  <c r="AM119" i="2" s="1"/>
  <c r="AK119" i="2"/>
  <c r="AF119" i="2"/>
  <c r="AG119" i="2" s="1"/>
  <c r="AE119" i="2"/>
  <c r="Z119" i="2"/>
  <c r="AA119" i="2" s="1"/>
  <c r="Y119" i="2"/>
  <c r="T119" i="2"/>
  <c r="U119" i="2" s="1"/>
  <c r="S119" i="2"/>
  <c r="L119" i="2"/>
  <c r="M119" i="2" s="1"/>
  <c r="K119" i="2"/>
  <c r="AV118" i="2"/>
  <c r="AW118" i="2" s="1"/>
  <c r="AX118" i="2" s="1"/>
  <c r="AT118" i="2"/>
  <c r="AU118" i="2" s="1"/>
  <c r="AS118" i="2"/>
  <c r="AR118" i="2"/>
  <c r="AQ118" i="2"/>
  <c r="AL118" i="2"/>
  <c r="AM118" i="2" s="1"/>
  <c r="AK118" i="2"/>
  <c r="AF118" i="2"/>
  <c r="AG118" i="2" s="1"/>
  <c r="AE118" i="2"/>
  <c r="Z118" i="2"/>
  <c r="AA118" i="2" s="1"/>
  <c r="Y118" i="2"/>
  <c r="T118" i="2"/>
  <c r="U118" i="2" s="1"/>
  <c r="S118" i="2"/>
  <c r="L118" i="2"/>
  <c r="M118" i="2" s="1"/>
  <c r="K118" i="2"/>
  <c r="AV117" i="2"/>
  <c r="AW117" i="2" s="1"/>
  <c r="AX117" i="2" s="1"/>
  <c r="AT117" i="2"/>
  <c r="AU117" i="2" s="1"/>
  <c r="AS117" i="2"/>
  <c r="AR117" i="2"/>
  <c r="AQ117" i="2"/>
  <c r="AL117" i="2"/>
  <c r="AM117" i="2" s="1"/>
  <c r="AK117" i="2"/>
  <c r="AF117" i="2"/>
  <c r="AG117" i="2" s="1"/>
  <c r="AE117" i="2"/>
  <c r="Z117" i="2"/>
  <c r="AA117" i="2" s="1"/>
  <c r="Y117" i="2"/>
  <c r="U117" i="2"/>
  <c r="T117" i="2"/>
  <c r="S117" i="2"/>
  <c r="L117" i="2"/>
  <c r="M117" i="2" s="1"/>
  <c r="K117" i="2"/>
  <c r="AV116" i="2"/>
  <c r="AW116" i="2" s="1"/>
  <c r="AX116" i="2" s="1"/>
  <c r="AT116" i="2"/>
  <c r="AU116" i="2" s="1"/>
  <c r="AS116" i="2"/>
  <c r="AR116" i="2"/>
  <c r="AQ116" i="2"/>
  <c r="AL116" i="2"/>
  <c r="AM116" i="2" s="1"/>
  <c r="AK116" i="2"/>
  <c r="AF116" i="2"/>
  <c r="AG116" i="2" s="1"/>
  <c r="AE116" i="2"/>
  <c r="Z116" i="2"/>
  <c r="AA116" i="2" s="1"/>
  <c r="Y116" i="2"/>
  <c r="T116" i="2"/>
  <c r="U116" i="2" s="1"/>
  <c r="S116" i="2"/>
  <c r="L116" i="2"/>
  <c r="M116" i="2" s="1"/>
  <c r="K116" i="2"/>
  <c r="AV115" i="2"/>
  <c r="AW115" i="2" s="1"/>
  <c r="AX115" i="2" s="1"/>
  <c r="AT115" i="2"/>
  <c r="AU115" i="2" s="1"/>
  <c r="AS115" i="2"/>
  <c r="AR115" i="2"/>
  <c r="AQ115" i="2"/>
  <c r="AL115" i="2"/>
  <c r="AM115" i="2" s="1"/>
  <c r="AK115" i="2"/>
  <c r="AF115" i="2"/>
  <c r="AG115" i="2" s="1"/>
  <c r="AE115" i="2"/>
  <c r="Z115" i="2"/>
  <c r="AA115" i="2" s="1"/>
  <c r="Y115" i="2"/>
  <c r="T115" i="2"/>
  <c r="U115" i="2" s="1"/>
  <c r="S115" i="2"/>
  <c r="L115" i="2"/>
  <c r="M115" i="2" s="1"/>
  <c r="K115" i="2"/>
  <c r="AV114" i="2"/>
  <c r="AW114" i="2" s="1"/>
  <c r="AX114" i="2" s="1"/>
  <c r="AT114" i="2"/>
  <c r="AU114" i="2" s="1"/>
  <c r="AS114" i="2"/>
  <c r="AR114" i="2"/>
  <c r="AQ114" i="2"/>
  <c r="AL114" i="2"/>
  <c r="AM114" i="2" s="1"/>
  <c r="AK114" i="2"/>
  <c r="AF114" i="2"/>
  <c r="AG114" i="2" s="1"/>
  <c r="AE114" i="2"/>
  <c r="AA114" i="2"/>
  <c r="Z114" i="2"/>
  <c r="Y114" i="2"/>
  <c r="T114" i="2"/>
  <c r="U114" i="2" s="1"/>
  <c r="S114" i="2"/>
  <c r="L114" i="2"/>
  <c r="M114" i="2" s="1"/>
  <c r="K114" i="2"/>
  <c r="AV113" i="2"/>
  <c r="AW113" i="2" s="1"/>
  <c r="AX113" i="2" s="1"/>
  <c r="AU113" i="2"/>
  <c r="AT113" i="2"/>
  <c r="AS113" i="2"/>
  <c r="AR113" i="2"/>
  <c r="AQ113" i="2"/>
  <c r="AL113" i="2"/>
  <c r="AM113" i="2" s="1"/>
  <c r="AK113" i="2"/>
  <c r="AF113" i="2"/>
  <c r="AG113" i="2" s="1"/>
  <c r="AE113" i="2"/>
  <c r="Z113" i="2"/>
  <c r="AA113" i="2" s="1"/>
  <c r="Y113" i="2"/>
  <c r="T113" i="2"/>
  <c r="U113" i="2" s="1"/>
  <c r="S113" i="2"/>
  <c r="L113" i="2"/>
  <c r="M113" i="2" s="1"/>
  <c r="K113" i="2"/>
  <c r="AV112" i="2"/>
  <c r="AW112" i="2" s="1"/>
  <c r="AX112" i="2" s="1"/>
  <c r="AT112" i="2"/>
  <c r="AU112" i="2" s="1"/>
  <c r="AS112" i="2"/>
  <c r="AR112" i="2"/>
  <c r="AQ112" i="2"/>
  <c r="AL112" i="2"/>
  <c r="AM112" i="2" s="1"/>
  <c r="AK112" i="2"/>
  <c r="AF112" i="2"/>
  <c r="AG112" i="2" s="1"/>
  <c r="AE112" i="2"/>
  <c r="Z112" i="2"/>
  <c r="AA112" i="2" s="1"/>
  <c r="Y112" i="2"/>
  <c r="T112" i="2"/>
  <c r="U112" i="2" s="1"/>
  <c r="S112" i="2"/>
  <c r="L112" i="2"/>
  <c r="M112" i="2" s="1"/>
  <c r="K112" i="2"/>
  <c r="AV111" i="2"/>
  <c r="AW111" i="2" s="1"/>
  <c r="AX111" i="2" s="1"/>
  <c r="AT111" i="2"/>
  <c r="AU111" i="2" s="1"/>
  <c r="AS111" i="2"/>
  <c r="AR111" i="2"/>
  <c r="AQ111" i="2"/>
  <c r="AL111" i="2"/>
  <c r="AM111" i="2" s="1"/>
  <c r="AK111" i="2"/>
  <c r="AF111" i="2"/>
  <c r="AG111" i="2" s="1"/>
  <c r="AE111" i="2"/>
  <c r="Z111" i="2"/>
  <c r="AA111" i="2" s="1"/>
  <c r="Y111" i="2"/>
  <c r="T111" i="2"/>
  <c r="U111" i="2" s="1"/>
  <c r="S111" i="2"/>
  <c r="L111" i="2"/>
  <c r="M111" i="2" s="1"/>
  <c r="K111" i="2"/>
  <c r="AV110" i="2"/>
  <c r="AW110" i="2" s="1"/>
  <c r="AX110" i="2" s="1"/>
  <c r="AT110" i="2"/>
  <c r="AU110" i="2" s="1"/>
  <c r="AS110" i="2"/>
  <c r="AR110" i="2"/>
  <c r="AQ110" i="2"/>
  <c r="AL110" i="2"/>
  <c r="AM110" i="2" s="1"/>
  <c r="AK110" i="2"/>
  <c r="AF110" i="2"/>
  <c r="AG110" i="2" s="1"/>
  <c r="AE110" i="2"/>
  <c r="Z110" i="2"/>
  <c r="AA110" i="2" s="1"/>
  <c r="Y110" i="2"/>
  <c r="T110" i="2"/>
  <c r="U110" i="2" s="1"/>
  <c r="S110" i="2"/>
  <c r="L110" i="2"/>
  <c r="M110" i="2" s="1"/>
  <c r="K110" i="2"/>
  <c r="AV109" i="2"/>
  <c r="AW109" i="2" s="1"/>
  <c r="AX109" i="2" s="1"/>
  <c r="AT109" i="2"/>
  <c r="AU109" i="2" s="1"/>
  <c r="AS109" i="2"/>
  <c r="AR109" i="2"/>
  <c r="AQ109" i="2"/>
  <c r="AL109" i="2"/>
  <c r="AM109" i="2" s="1"/>
  <c r="AK109" i="2"/>
  <c r="AF109" i="2"/>
  <c r="AG109" i="2" s="1"/>
  <c r="AE109" i="2"/>
  <c r="Z109" i="2"/>
  <c r="AA109" i="2" s="1"/>
  <c r="Y109" i="2"/>
  <c r="T109" i="2"/>
  <c r="U109" i="2" s="1"/>
  <c r="S109" i="2"/>
  <c r="L109" i="2"/>
  <c r="M109" i="2" s="1"/>
  <c r="K109" i="2"/>
  <c r="AV108" i="2"/>
  <c r="AW108" i="2" s="1"/>
  <c r="AX108" i="2" s="1"/>
  <c r="AT108" i="2"/>
  <c r="AU108" i="2" s="1"/>
  <c r="AS108" i="2"/>
  <c r="AR108" i="2"/>
  <c r="AQ108" i="2"/>
  <c r="AL108" i="2"/>
  <c r="AM108" i="2" s="1"/>
  <c r="AK108" i="2"/>
  <c r="AF108" i="2"/>
  <c r="AG108" i="2" s="1"/>
  <c r="AE108" i="2"/>
  <c r="AA108" i="2"/>
  <c r="Z108" i="2"/>
  <c r="Y108" i="2"/>
  <c r="T108" i="2"/>
  <c r="U108" i="2" s="1"/>
  <c r="S108" i="2"/>
  <c r="L108" i="2"/>
  <c r="M108" i="2" s="1"/>
  <c r="K108" i="2"/>
  <c r="AV107" i="2"/>
  <c r="AW107" i="2" s="1"/>
  <c r="AX107" i="2" s="1"/>
  <c r="AT107" i="2"/>
  <c r="AU107" i="2" s="1"/>
  <c r="AS107" i="2"/>
  <c r="AR107" i="2"/>
  <c r="AQ107" i="2"/>
  <c r="AL107" i="2"/>
  <c r="AM107" i="2" s="1"/>
  <c r="AK107" i="2"/>
  <c r="AG107" i="2"/>
  <c r="AF107" i="2"/>
  <c r="AE107" i="2"/>
  <c r="Z107" i="2"/>
  <c r="AA107" i="2" s="1"/>
  <c r="Y107" i="2"/>
  <c r="T107" i="2"/>
  <c r="U107" i="2" s="1"/>
  <c r="S107" i="2"/>
  <c r="L107" i="2"/>
  <c r="M107" i="2" s="1"/>
  <c r="K107" i="2"/>
  <c r="AV106" i="2"/>
  <c r="AW106" i="2" s="1"/>
  <c r="AX106" i="2" s="1"/>
  <c r="AT106" i="2"/>
  <c r="AU106" i="2" s="1"/>
  <c r="AS106" i="2"/>
  <c r="AR106" i="2"/>
  <c r="AQ106" i="2"/>
  <c r="AL106" i="2"/>
  <c r="AM106" i="2" s="1"/>
  <c r="AK106" i="2"/>
  <c r="AF106" i="2"/>
  <c r="AG106" i="2" s="1"/>
  <c r="AE106" i="2"/>
  <c r="Z106" i="2"/>
  <c r="AA106" i="2" s="1"/>
  <c r="Y106" i="2"/>
  <c r="T106" i="2"/>
  <c r="U106" i="2" s="1"/>
  <c r="S106" i="2"/>
  <c r="L106" i="2"/>
  <c r="M106" i="2" s="1"/>
  <c r="K106" i="2"/>
  <c r="AV105" i="2"/>
  <c r="AW105" i="2" s="1"/>
  <c r="AX105" i="2" s="1"/>
  <c r="AT105" i="2"/>
  <c r="AU105" i="2" s="1"/>
  <c r="AS105" i="2"/>
  <c r="AR105" i="2"/>
  <c r="AQ105" i="2"/>
  <c r="AL105" i="2"/>
  <c r="AM105" i="2" s="1"/>
  <c r="AK105" i="2"/>
  <c r="AF105" i="2"/>
  <c r="AG105" i="2" s="1"/>
  <c r="AE105" i="2"/>
  <c r="Z105" i="2"/>
  <c r="AA105" i="2" s="1"/>
  <c r="Y105" i="2"/>
  <c r="T105" i="2"/>
  <c r="U105" i="2" s="1"/>
  <c r="S105" i="2"/>
  <c r="L105" i="2"/>
  <c r="M105" i="2" s="1"/>
  <c r="K105" i="2"/>
  <c r="AV104" i="2"/>
  <c r="AW104" i="2" s="1"/>
  <c r="AX104" i="2" s="1"/>
  <c r="AT104" i="2"/>
  <c r="AU104" i="2" s="1"/>
  <c r="AS104" i="2"/>
  <c r="AR104" i="2"/>
  <c r="AQ104" i="2"/>
  <c r="AL104" i="2"/>
  <c r="AM104" i="2" s="1"/>
  <c r="AK104" i="2"/>
  <c r="AF104" i="2"/>
  <c r="AG104" i="2" s="1"/>
  <c r="AE104" i="2"/>
  <c r="Z104" i="2"/>
  <c r="AA104" i="2" s="1"/>
  <c r="Y104" i="2"/>
  <c r="T104" i="2"/>
  <c r="U104" i="2" s="1"/>
  <c r="S104" i="2"/>
  <c r="L104" i="2"/>
  <c r="M104" i="2" s="1"/>
  <c r="K104" i="2"/>
  <c r="AV103" i="2"/>
  <c r="AW103" i="2" s="1"/>
  <c r="AX103" i="2" s="1"/>
  <c r="AT103" i="2"/>
  <c r="AU103" i="2" s="1"/>
  <c r="AS103" i="2"/>
  <c r="AR103" i="2"/>
  <c r="AQ103" i="2"/>
  <c r="AL103" i="2"/>
  <c r="AM103" i="2" s="1"/>
  <c r="AK103" i="2"/>
  <c r="AF103" i="2"/>
  <c r="AG103" i="2" s="1"/>
  <c r="AE103" i="2"/>
  <c r="Z103" i="2"/>
  <c r="AA103" i="2" s="1"/>
  <c r="Y103" i="2"/>
  <c r="T103" i="2"/>
  <c r="U103" i="2" s="1"/>
  <c r="S103" i="2"/>
  <c r="L103" i="2"/>
  <c r="M103" i="2" s="1"/>
  <c r="K103" i="2"/>
  <c r="AV102" i="2"/>
  <c r="AW102" i="2" s="1"/>
  <c r="AX102" i="2" s="1"/>
  <c r="AT102" i="2"/>
  <c r="AU102" i="2" s="1"/>
  <c r="AS102" i="2"/>
  <c r="AR102" i="2"/>
  <c r="AQ102" i="2"/>
  <c r="AL102" i="2"/>
  <c r="AM102" i="2" s="1"/>
  <c r="AK102" i="2"/>
  <c r="AF102" i="2"/>
  <c r="AG102" i="2" s="1"/>
  <c r="AE102" i="2"/>
  <c r="AA102" i="2"/>
  <c r="Z102" i="2"/>
  <c r="Y102" i="2"/>
  <c r="T102" i="2"/>
  <c r="U102" i="2" s="1"/>
  <c r="S102" i="2"/>
  <c r="L102" i="2"/>
  <c r="M102" i="2" s="1"/>
  <c r="K102" i="2"/>
  <c r="AV101" i="2"/>
  <c r="AW101" i="2" s="1"/>
  <c r="AX101" i="2" s="1"/>
  <c r="AU101" i="2"/>
  <c r="AT101" i="2"/>
  <c r="AS101" i="2"/>
  <c r="AR101" i="2"/>
  <c r="AQ101" i="2"/>
  <c r="AL101" i="2"/>
  <c r="AM101" i="2" s="1"/>
  <c r="AK101" i="2"/>
  <c r="AF101" i="2"/>
  <c r="AG101" i="2" s="1"/>
  <c r="AE101" i="2"/>
  <c r="Z101" i="2"/>
  <c r="AA101" i="2" s="1"/>
  <c r="Y101" i="2"/>
  <c r="U101" i="2"/>
  <c r="T101" i="2"/>
  <c r="S101" i="2"/>
  <c r="L101" i="2"/>
  <c r="M101" i="2" s="1"/>
  <c r="K101" i="2"/>
  <c r="AV100" i="2"/>
  <c r="AW100" i="2" s="1"/>
  <c r="AX100" i="2" s="1"/>
  <c r="AT100" i="2"/>
  <c r="AU100" i="2" s="1"/>
  <c r="AS100" i="2"/>
  <c r="AR100" i="2"/>
  <c r="AQ100" i="2"/>
  <c r="AL100" i="2"/>
  <c r="AM100" i="2" s="1"/>
  <c r="AK100" i="2"/>
  <c r="AF100" i="2"/>
  <c r="AG100" i="2" s="1"/>
  <c r="AE100" i="2"/>
  <c r="Z100" i="2"/>
  <c r="AA100" i="2" s="1"/>
  <c r="Y100" i="2"/>
  <c r="T100" i="2"/>
  <c r="U100" i="2" s="1"/>
  <c r="S100" i="2"/>
  <c r="L100" i="2"/>
  <c r="M100" i="2" s="1"/>
  <c r="K100" i="2"/>
  <c r="AV99" i="2"/>
  <c r="AW99" i="2" s="1"/>
  <c r="AX99" i="2" s="1"/>
  <c r="AT99" i="2"/>
  <c r="AU99" i="2" s="1"/>
  <c r="AS99" i="2"/>
  <c r="AR99" i="2"/>
  <c r="AQ99" i="2"/>
  <c r="AL99" i="2"/>
  <c r="AM99" i="2" s="1"/>
  <c r="AK99" i="2"/>
  <c r="AG99" i="2"/>
  <c r="AF99" i="2"/>
  <c r="AE99" i="2"/>
  <c r="Z99" i="2"/>
  <c r="AA99" i="2" s="1"/>
  <c r="Y99" i="2"/>
  <c r="T99" i="2"/>
  <c r="U99" i="2" s="1"/>
  <c r="S99" i="2"/>
  <c r="L99" i="2"/>
  <c r="M99" i="2" s="1"/>
  <c r="K99" i="2"/>
  <c r="AV98" i="2"/>
  <c r="AW98" i="2" s="1"/>
  <c r="AX98" i="2" s="1"/>
  <c r="AT98" i="2"/>
  <c r="AU98" i="2" s="1"/>
  <c r="AS98" i="2"/>
  <c r="AR98" i="2"/>
  <c r="AQ98" i="2"/>
  <c r="AL98" i="2"/>
  <c r="AM98" i="2" s="1"/>
  <c r="AK98" i="2"/>
  <c r="AF98" i="2"/>
  <c r="AG98" i="2" s="1"/>
  <c r="AE98" i="2"/>
  <c r="Z98" i="2"/>
  <c r="AA98" i="2" s="1"/>
  <c r="Y98" i="2"/>
  <c r="T98" i="2"/>
  <c r="U98" i="2" s="1"/>
  <c r="S98" i="2"/>
  <c r="L98" i="2"/>
  <c r="M98" i="2" s="1"/>
  <c r="K98" i="2"/>
  <c r="AV97" i="2"/>
  <c r="AW97" i="2" s="1"/>
  <c r="AX97" i="2" s="1"/>
  <c r="AT97" i="2"/>
  <c r="AU97" i="2" s="1"/>
  <c r="AS97" i="2"/>
  <c r="AR97" i="2"/>
  <c r="AQ97" i="2"/>
  <c r="AL97" i="2"/>
  <c r="AM97" i="2" s="1"/>
  <c r="AK97" i="2"/>
  <c r="AF97" i="2"/>
  <c r="AG97" i="2" s="1"/>
  <c r="AE97" i="2"/>
  <c r="Z97" i="2"/>
  <c r="AA97" i="2" s="1"/>
  <c r="Y97" i="2"/>
  <c r="T97" i="2"/>
  <c r="U97" i="2" s="1"/>
  <c r="S97" i="2"/>
  <c r="L97" i="2"/>
  <c r="M97" i="2" s="1"/>
  <c r="K97" i="2"/>
  <c r="AV96" i="2"/>
  <c r="AW96" i="2" s="1"/>
  <c r="AX96" i="2" s="1"/>
  <c r="AT96" i="2"/>
  <c r="AU96" i="2" s="1"/>
  <c r="AS96" i="2"/>
  <c r="AR96" i="2"/>
  <c r="AQ96" i="2"/>
  <c r="AL96" i="2"/>
  <c r="AM96" i="2" s="1"/>
  <c r="AK96" i="2"/>
  <c r="AF96" i="2"/>
  <c r="AG96" i="2" s="1"/>
  <c r="AE96" i="2"/>
  <c r="AA96" i="2"/>
  <c r="Z96" i="2"/>
  <c r="Y96" i="2"/>
  <c r="T96" i="2"/>
  <c r="U96" i="2" s="1"/>
  <c r="S96" i="2"/>
  <c r="L96" i="2"/>
  <c r="M96" i="2" s="1"/>
  <c r="K96" i="2"/>
  <c r="AV95" i="2"/>
  <c r="AW95" i="2" s="1"/>
  <c r="AX95" i="2" s="1"/>
  <c r="AU95" i="2"/>
  <c r="AT95" i="2"/>
  <c r="AS95" i="2"/>
  <c r="AR95" i="2"/>
  <c r="AQ95" i="2"/>
  <c r="AL95" i="2"/>
  <c r="AM95" i="2" s="1"/>
  <c r="AK95" i="2"/>
  <c r="AF95" i="2"/>
  <c r="AG95" i="2" s="1"/>
  <c r="AE95" i="2"/>
  <c r="Z95" i="2"/>
  <c r="AA95" i="2" s="1"/>
  <c r="Y95" i="2"/>
  <c r="T95" i="2"/>
  <c r="U95" i="2" s="1"/>
  <c r="S95" i="2"/>
  <c r="L95" i="2"/>
  <c r="M95" i="2" s="1"/>
  <c r="K95" i="2"/>
  <c r="AV94" i="2"/>
  <c r="AW94" i="2" s="1"/>
  <c r="AX94" i="2" s="1"/>
  <c r="AT94" i="2"/>
  <c r="AU94" i="2" s="1"/>
  <c r="AS94" i="2"/>
  <c r="AR94" i="2"/>
  <c r="AQ94" i="2"/>
  <c r="AL94" i="2"/>
  <c r="AM94" i="2" s="1"/>
  <c r="AK94" i="2"/>
  <c r="AF94" i="2"/>
  <c r="AG94" i="2" s="1"/>
  <c r="AE94" i="2"/>
  <c r="Z94" i="2"/>
  <c r="AA94" i="2" s="1"/>
  <c r="Y94" i="2"/>
  <c r="T94" i="2"/>
  <c r="U94" i="2" s="1"/>
  <c r="S94" i="2"/>
  <c r="L94" i="2"/>
  <c r="M94" i="2" s="1"/>
  <c r="K94" i="2"/>
  <c r="AV93" i="2"/>
  <c r="AW93" i="2" s="1"/>
  <c r="AX93" i="2" s="1"/>
  <c r="AT93" i="2"/>
  <c r="AU93" i="2" s="1"/>
  <c r="AS93" i="2"/>
  <c r="AR93" i="2"/>
  <c r="AQ93" i="2"/>
  <c r="AL93" i="2"/>
  <c r="AM93" i="2" s="1"/>
  <c r="AK93" i="2"/>
  <c r="AG93" i="2"/>
  <c r="AF93" i="2"/>
  <c r="AE93" i="2"/>
  <c r="Z93" i="2"/>
  <c r="AA93" i="2" s="1"/>
  <c r="Y93" i="2"/>
  <c r="T93" i="2"/>
  <c r="U93" i="2" s="1"/>
  <c r="S93" i="2"/>
  <c r="L93" i="2"/>
  <c r="M93" i="2" s="1"/>
  <c r="K93" i="2"/>
  <c r="AV92" i="2"/>
  <c r="AW92" i="2" s="1"/>
  <c r="AX92" i="2" s="1"/>
  <c r="AT92" i="2"/>
  <c r="AU92" i="2" s="1"/>
  <c r="AS92" i="2"/>
  <c r="AR92" i="2"/>
  <c r="AQ92" i="2"/>
  <c r="AL92" i="2"/>
  <c r="AM92" i="2" s="1"/>
  <c r="AK92" i="2"/>
  <c r="AF92" i="2"/>
  <c r="AG92" i="2" s="1"/>
  <c r="AE92" i="2"/>
  <c r="Z92" i="2"/>
  <c r="AA92" i="2" s="1"/>
  <c r="Y92" i="2"/>
  <c r="T92" i="2"/>
  <c r="U92" i="2" s="1"/>
  <c r="S92" i="2"/>
  <c r="L92" i="2"/>
  <c r="M92" i="2" s="1"/>
  <c r="K92" i="2"/>
  <c r="AV91" i="2"/>
  <c r="AW91" i="2" s="1"/>
  <c r="AX91" i="2" s="1"/>
  <c r="AT91" i="2"/>
  <c r="AU91" i="2" s="1"/>
  <c r="AS91" i="2"/>
  <c r="AR91" i="2"/>
  <c r="AQ91" i="2"/>
  <c r="AL91" i="2"/>
  <c r="AM91" i="2" s="1"/>
  <c r="AK91" i="2"/>
  <c r="AF91" i="2"/>
  <c r="AG91" i="2" s="1"/>
  <c r="AE91" i="2"/>
  <c r="Z91" i="2"/>
  <c r="AA91" i="2" s="1"/>
  <c r="Y91" i="2"/>
  <c r="T91" i="2"/>
  <c r="U91" i="2" s="1"/>
  <c r="S91" i="2"/>
  <c r="L91" i="2"/>
  <c r="M91" i="2" s="1"/>
  <c r="K91" i="2"/>
  <c r="AV90" i="2"/>
  <c r="AW90" i="2" s="1"/>
  <c r="AX90" i="2" s="1"/>
  <c r="AT90" i="2"/>
  <c r="AU90" i="2" s="1"/>
  <c r="AS90" i="2"/>
  <c r="AR90" i="2"/>
  <c r="AQ90" i="2"/>
  <c r="AL90" i="2"/>
  <c r="AM90" i="2" s="1"/>
  <c r="AK90" i="2"/>
  <c r="AF90" i="2"/>
  <c r="AG90" i="2" s="1"/>
  <c r="AE90" i="2"/>
  <c r="AA90" i="2"/>
  <c r="Z90" i="2"/>
  <c r="Y90" i="2"/>
  <c r="T90" i="2"/>
  <c r="U90" i="2" s="1"/>
  <c r="S90" i="2"/>
  <c r="L90" i="2"/>
  <c r="M90" i="2" s="1"/>
  <c r="K90" i="2"/>
  <c r="AV89" i="2"/>
  <c r="AW89" i="2" s="1"/>
  <c r="AX89" i="2" s="1"/>
  <c r="AT89" i="2"/>
  <c r="AU89" i="2" s="1"/>
  <c r="AS89" i="2"/>
  <c r="AR89" i="2"/>
  <c r="AQ89" i="2"/>
  <c r="AL89" i="2"/>
  <c r="AM89" i="2" s="1"/>
  <c r="AK89" i="2"/>
  <c r="AF89" i="2"/>
  <c r="AG89" i="2" s="1"/>
  <c r="AE89" i="2"/>
  <c r="Z89" i="2"/>
  <c r="AA89" i="2" s="1"/>
  <c r="Y89" i="2"/>
  <c r="T89" i="2"/>
  <c r="U89" i="2" s="1"/>
  <c r="S89" i="2"/>
  <c r="L89" i="2"/>
  <c r="M89" i="2" s="1"/>
  <c r="K89" i="2"/>
  <c r="AV88" i="2"/>
  <c r="AW88" i="2" s="1"/>
  <c r="AX88" i="2" s="1"/>
  <c r="AT88" i="2"/>
  <c r="AU88" i="2" s="1"/>
  <c r="AS88" i="2"/>
  <c r="AR88" i="2"/>
  <c r="AQ88" i="2"/>
  <c r="AL88" i="2"/>
  <c r="AM88" i="2" s="1"/>
  <c r="AK88" i="2"/>
  <c r="AF88" i="2"/>
  <c r="AG88" i="2" s="1"/>
  <c r="AE88" i="2"/>
  <c r="Z88" i="2"/>
  <c r="AA88" i="2" s="1"/>
  <c r="Y88" i="2"/>
  <c r="T88" i="2"/>
  <c r="U88" i="2" s="1"/>
  <c r="S88" i="2"/>
  <c r="L88" i="2"/>
  <c r="M88" i="2" s="1"/>
  <c r="K88" i="2"/>
  <c r="AV87" i="2"/>
  <c r="AW87" i="2" s="1"/>
  <c r="AX87" i="2" s="1"/>
  <c r="AT87" i="2"/>
  <c r="AU87" i="2" s="1"/>
  <c r="AS87" i="2"/>
  <c r="AR87" i="2"/>
  <c r="AQ87" i="2"/>
  <c r="AL87" i="2"/>
  <c r="AM87" i="2" s="1"/>
  <c r="AK87" i="2"/>
  <c r="AF87" i="2"/>
  <c r="AG87" i="2" s="1"/>
  <c r="AE87" i="2"/>
  <c r="Z87" i="2"/>
  <c r="AA87" i="2" s="1"/>
  <c r="Y87" i="2"/>
  <c r="U87" i="2"/>
  <c r="T87" i="2"/>
  <c r="S87" i="2"/>
  <c r="L87" i="2"/>
  <c r="M87" i="2" s="1"/>
  <c r="K87" i="2"/>
  <c r="AV86" i="2"/>
  <c r="AW86" i="2" s="1"/>
  <c r="AX86" i="2" s="1"/>
  <c r="AT86" i="2"/>
  <c r="AU86" i="2" s="1"/>
  <c r="AS86" i="2"/>
  <c r="AR86" i="2"/>
  <c r="AQ86" i="2"/>
  <c r="AL86" i="2"/>
  <c r="AM86" i="2" s="1"/>
  <c r="AK86" i="2"/>
  <c r="AF86" i="2"/>
  <c r="AG86" i="2" s="1"/>
  <c r="AE86" i="2"/>
  <c r="Z86" i="2"/>
  <c r="AA86" i="2" s="1"/>
  <c r="Y86" i="2"/>
  <c r="T86" i="2"/>
  <c r="U86" i="2" s="1"/>
  <c r="S86" i="2"/>
  <c r="L86" i="2"/>
  <c r="M86" i="2" s="1"/>
  <c r="K86" i="2"/>
  <c r="AV85" i="2"/>
  <c r="AW85" i="2" s="1"/>
  <c r="AX85" i="2" s="1"/>
  <c r="AT85" i="2"/>
  <c r="AU85" i="2" s="1"/>
  <c r="AS85" i="2"/>
  <c r="AR85" i="2"/>
  <c r="AQ85" i="2"/>
  <c r="AL85" i="2"/>
  <c r="AM85" i="2" s="1"/>
  <c r="AK85" i="2"/>
  <c r="AF85" i="2"/>
  <c r="AG85" i="2" s="1"/>
  <c r="AE85" i="2"/>
  <c r="Z85" i="2"/>
  <c r="AA85" i="2" s="1"/>
  <c r="Y85" i="2"/>
  <c r="T85" i="2"/>
  <c r="U85" i="2" s="1"/>
  <c r="S85" i="2"/>
  <c r="L85" i="2"/>
  <c r="M85" i="2" s="1"/>
  <c r="K85" i="2"/>
  <c r="AV84" i="2"/>
  <c r="AW84" i="2" s="1"/>
  <c r="AX84" i="2" s="1"/>
  <c r="AT84" i="2"/>
  <c r="AU84" i="2" s="1"/>
  <c r="AS84" i="2"/>
  <c r="AR84" i="2"/>
  <c r="AQ84" i="2"/>
  <c r="AL84" i="2"/>
  <c r="AM84" i="2" s="1"/>
  <c r="AK84" i="2"/>
  <c r="AF84" i="2"/>
  <c r="AG84" i="2" s="1"/>
  <c r="AE84" i="2"/>
  <c r="AA84" i="2"/>
  <c r="Z84" i="2"/>
  <c r="Y84" i="2"/>
  <c r="T84" i="2"/>
  <c r="U84" i="2" s="1"/>
  <c r="S84" i="2"/>
  <c r="L84" i="2"/>
  <c r="M84" i="2" s="1"/>
  <c r="K84" i="2"/>
  <c r="AV83" i="2"/>
  <c r="AW83" i="2" s="1"/>
  <c r="AX83" i="2" s="1"/>
  <c r="AT83" i="2"/>
  <c r="AU83" i="2" s="1"/>
  <c r="AS83" i="2"/>
  <c r="AR83" i="2"/>
  <c r="AQ83" i="2"/>
  <c r="AL83" i="2"/>
  <c r="AM83" i="2" s="1"/>
  <c r="AK83" i="2"/>
  <c r="AG83" i="2"/>
  <c r="AF83" i="2"/>
  <c r="AE83" i="2"/>
  <c r="Z83" i="2"/>
  <c r="AA83" i="2" s="1"/>
  <c r="Y83" i="2"/>
  <c r="T83" i="2"/>
  <c r="U83" i="2" s="1"/>
  <c r="S83" i="2"/>
  <c r="L83" i="2"/>
  <c r="M83" i="2" s="1"/>
  <c r="K83" i="2"/>
  <c r="AV82" i="2"/>
  <c r="AW82" i="2" s="1"/>
  <c r="AX82" i="2" s="1"/>
  <c r="AT82" i="2"/>
  <c r="AU82" i="2" s="1"/>
  <c r="AS82" i="2"/>
  <c r="AR82" i="2"/>
  <c r="AQ82" i="2"/>
  <c r="AL82" i="2"/>
  <c r="AM82" i="2" s="1"/>
  <c r="AK82" i="2"/>
  <c r="AF82" i="2"/>
  <c r="AG82" i="2" s="1"/>
  <c r="AE82" i="2"/>
  <c r="Z82" i="2"/>
  <c r="AA82" i="2" s="1"/>
  <c r="Y82" i="2"/>
  <c r="T82" i="2"/>
  <c r="U82" i="2" s="1"/>
  <c r="S82" i="2"/>
  <c r="L82" i="2"/>
  <c r="M82" i="2" s="1"/>
  <c r="K82" i="2"/>
  <c r="AV81" i="2"/>
  <c r="AW81" i="2" s="1"/>
  <c r="AX81" i="2" s="1"/>
  <c r="AT81" i="2"/>
  <c r="AU81" i="2" s="1"/>
  <c r="AS81" i="2"/>
  <c r="AR81" i="2"/>
  <c r="AQ81" i="2"/>
  <c r="AL81" i="2"/>
  <c r="AM81" i="2" s="1"/>
  <c r="AK81" i="2"/>
  <c r="AG81" i="2"/>
  <c r="AF81" i="2"/>
  <c r="AE81" i="2"/>
  <c r="Z81" i="2"/>
  <c r="AA81" i="2" s="1"/>
  <c r="Y81" i="2"/>
  <c r="T81" i="2"/>
  <c r="U81" i="2" s="1"/>
  <c r="S81" i="2"/>
  <c r="L81" i="2"/>
  <c r="M81" i="2" s="1"/>
  <c r="K81" i="2"/>
  <c r="AV80" i="2"/>
  <c r="AW80" i="2" s="1"/>
  <c r="AX80" i="2" s="1"/>
  <c r="AT80" i="2"/>
  <c r="AU80" i="2" s="1"/>
  <c r="AS80" i="2"/>
  <c r="AR80" i="2"/>
  <c r="AQ80" i="2"/>
  <c r="AL80" i="2"/>
  <c r="AM80" i="2" s="1"/>
  <c r="AK80" i="2"/>
  <c r="AF80" i="2"/>
  <c r="AG80" i="2" s="1"/>
  <c r="AE80" i="2"/>
  <c r="AA80" i="2"/>
  <c r="Z80" i="2"/>
  <c r="Y80" i="2"/>
  <c r="T80" i="2"/>
  <c r="U80" i="2" s="1"/>
  <c r="S80" i="2"/>
  <c r="L80" i="2"/>
  <c r="M80" i="2" s="1"/>
  <c r="K80" i="2"/>
  <c r="AV79" i="2"/>
  <c r="AW79" i="2" s="1"/>
  <c r="AX79" i="2" s="1"/>
  <c r="AU79" i="2"/>
  <c r="AT79" i="2"/>
  <c r="AS79" i="2"/>
  <c r="AR79" i="2"/>
  <c r="AQ79" i="2"/>
  <c r="AL79" i="2"/>
  <c r="AM79" i="2" s="1"/>
  <c r="AK79" i="2"/>
  <c r="AF79" i="2"/>
  <c r="AG79" i="2" s="1"/>
  <c r="AE79" i="2"/>
  <c r="Z79" i="2"/>
  <c r="AA79" i="2" s="1"/>
  <c r="Y79" i="2"/>
  <c r="T79" i="2"/>
  <c r="U79" i="2" s="1"/>
  <c r="S79" i="2"/>
  <c r="L79" i="2"/>
  <c r="M79" i="2" s="1"/>
  <c r="K79" i="2"/>
  <c r="AV78" i="2"/>
  <c r="AW78" i="2" s="1"/>
  <c r="AX78" i="2" s="1"/>
  <c r="AT78" i="2"/>
  <c r="AU78" i="2" s="1"/>
  <c r="AS78" i="2"/>
  <c r="AR78" i="2"/>
  <c r="AQ78" i="2"/>
  <c r="AL78" i="2"/>
  <c r="AM78" i="2" s="1"/>
  <c r="AK78" i="2"/>
  <c r="AF78" i="2"/>
  <c r="AG78" i="2" s="1"/>
  <c r="AE78" i="2"/>
  <c r="Z78" i="2"/>
  <c r="AA78" i="2" s="1"/>
  <c r="Y78" i="2"/>
  <c r="T78" i="2"/>
  <c r="U78" i="2" s="1"/>
  <c r="S78" i="2"/>
  <c r="L78" i="2"/>
  <c r="M78" i="2" s="1"/>
  <c r="K78" i="2"/>
  <c r="AV77" i="2"/>
  <c r="AW77" i="2" s="1"/>
  <c r="AX77" i="2" s="1"/>
  <c r="AU77" i="2"/>
  <c r="AT77" i="2"/>
  <c r="AS77" i="2"/>
  <c r="AR77" i="2"/>
  <c r="AQ77" i="2"/>
  <c r="AL77" i="2"/>
  <c r="AM77" i="2" s="1"/>
  <c r="AK77" i="2"/>
  <c r="AF77" i="2"/>
  <c r="AG77" i="2" s="1"/>
  <c r="AE77" i="2"/>
  <c r="Z77" i="2"/>
  <c r="AA77" i="2" s="1"/>
  <c r="Y77" i="2"/>
  <c r="T77" i="2"/>
  <c r="U77" i="2" s="1"/>
  <c r="S77" i="2"/>
  <c r="L77" i="2"/>
  <c r="M77" i="2" s="1"/>
  <c r="K77" i="2"/>
  <c r="AV76" i="2"/>
  <c r="AW76" i="2" s="1"/>
  <c r="AX76" i="2" s="1"/>
  <c r="AT76" i="2"/>
  <c r="AU76" i="2" s="1"/>
  <c r="AS76" i="2"/>
  <c r="AR76" i="2"/>
  <c r="AQ76" i="2"/>
  <c r="AL76" i="2"/>
  <c r="AM76" i="2" s="1"/>
  <c r="AK76" i="2"/>
  <c r="AF76" i="2"/>
  <c r="AG76" i="2" s="1"/>
  <c r="AE76" i="2"/>
  <c r="AA76" i="2"/>
  <c r="Z76" i="2"/>
  <c r="Y76" i="2"/>
  <c r="T76" i="2"/>
  <c r="U76" i="2" s="1"/>
  <c r="S76" i="2"/>
  <c r="L76" i="2"/>
  <c r="M76" i="2" s="1"/>
  <c r="K76" i="2"/>
  <c r="AV75" i="2"/>
  <c r="AW75" i="2" s="1"/>
  <c r="AX75" i="2" s="1"/>
  <c r="AT75" i="2"/>
  <c r="AU75" i="2" s="1"/>
  <c r="AS75" i="2"/>
  <c r="AR75" i="2"/>
  <c r="AQ75" i="2"/>
  <c r="AL75" i="2"/>
  <c r="AM75" i="2" s="1"/>
  <c r="AK75" i="2"/>
  <c r="AF75" i="2"/>
  <c r="AG75" i="2" s="1"/>
  <c r="AE75" i="2"/>
  <c r="Z75" i="2"/>
  <c r="AA75" i="2" s="1"/>
  <c r="Y75" i="2"/>
  <c r="U75" i="2"/>
  <c r="T75" i="2"/>
  <c r="S75" i="2"/>
  <c r="L75" i="2"/>
  <c r="M75" i="2" s="1"/>
  <c r="K75" i="2"/>
  <c r="AV74" i="2"/>
  <c r="AW74" i="2" s="1"/>
  <c r="AX74" i="2" s="1"/>
  <c r="AT74" i="2"/>
  <c r="AU74" i="2" s="1"/>
  <c r="AS74" i="2"/>
  <c r="AR74" i="2"/>
  <c r="AQ74" i="2"/>
  <c r="AL74" i="2"/>
  <c r="AM74" i="2" s="1"/>
  <c r="AK74" i="2"/>
  <c r="AF74" i="2"/>
  <c r="AG74" i="2" s="1"/>
  <c r="AE74" i="2"/>
  <c r="Z74" i="2"/>
  <c r="AA74" i="2" s="1"/>
  <c r="Y74" i="2"/>
  <c r="T74" i="2"/>
  <c r="U74" i="2" s="1"/>
  <c r="S74" i="2"/>
  <c r="L74" i="2"/>
  <c r="M74" i="2" s="1"/>
  <c r="K74" i="2"/>
  <c r="AV73" i="2"/>
  <c r="AW73" i="2" s="1"/>
  <c r="AX73" i="2" s="1"/>
  <c r="AT73" i="2"/>
  <c r="AU73" i="2" s="1"/>
  <c r="AS73" i="2"/>
  <c r="AR73" i="2"/>
  <c r="AQ73" i="2"/>
  <c r="AL73" i="2"/>
  <c r="AM73" i="2" s="1"/>
  <c r="AK73" i="2"/>
  <c r="AF73" i="2"/>
  <c r="AG73" i="2" s="1"/>
  <c r="AE73" i="2"/>
  <c r="Z73" i="2"/>
  <c r="AA73" i="2" s="1"/>
  <c r="Y73" i="2"/>
  <c r="T73" i="2"/>
  <c r="U73" i="2" s="1"/>
  <c r="S73" i="2"/>
  <c r="L73" i="2"/>
  <c r="M73" i="2" s="1"/>
  <c r="K73" i="2"/>
  <c r="AV72" i="2"/>
  <c r="AW72" i="2" s="1"/>
  <c r="AX72" i="2" s="1"/>
  <c r="AT72" i="2"/>
  <c r="AU72" i="2" s="1"/>
  <c r="AS72" i="2"/>
  <c r="AR72" i="2"/>
  <c r="AQ72" i="2"/>
  <c r="AL72" i="2"/>
  <c r="AM72" i="2" s="1"/>
  <c r="AK72" i="2"/>
  <c r="AF72" i="2"/>
  <c r="AG72" i="2" s="1"/>
  <c r="AE72" i="2"/>
  <c r="AA72" i="2"/>
  <c r="Z72" i="2"/>
  <c r="Y72" i="2"/>
  <c r="T72" i="2"/>
  <c r="U72" i="2" s="1"/>
  <c r="S72" i="2"/>
  <c r="L72" i="2"/>
  <c r="M72" i="2" s="1"/>
  <c r="K72" i="2"/>
  <c r="AV71" i="2"/>
  <c r="AW71" i="2" s="1"/>
  <c r="AX71" i="2" s="1"/>
  <c r="AT71" i="2"/>
  <c r="AU71" i="2" s="1"/>
  <c r="AS71" i="2"/>
  <c r="AR71" i="2"/>
  <c r="AQ71" i="2"/>
  <c r="AL71" i="2"/>
  <c r="AM71" i="2" s="1"/>
  <c r="AK71" i="2"/>
  <c r="AG71" i="2"/>
  <c r="AF71" i="2"/>
  <c r="AE71" i="2"/>
  <c r="Z71" i="2"/>
  <c r="AA71" i="2" s="1"/>
  <c r="Y71" i="2"/>
  <c r="T71" i="2"/>
  <c r="U71" i="2" s="1"/>
  <c r="S71" i="2"/>
  <c r="L71" i="2"/>
  <c r="M71" i="2" s="1"/>
  <c r="K71" i="2"/>
  <c r="AV70" i="2"/>
  <c r="AW70" i="2" s="1"/>
  <c r="AX70" i="2" s="1"/>
  <c r="AT70" i="2"/>
  <c r="AU70" i="2" s="1"/>
  <c r="AS70" i="2"/>
  <c r="AR70" i="2"/>
  <c r="AQ70" i="2"/>
  <c r="AL70" i="2"/>
  <c r="AM70" i="2" s="1"/>
  <c r="AK70" i="2"/>
  <c r="AG70" i="2"/>
  <c r="AF70" i="2"/>
  <c r="AE70" i="2"/>
  <c r="Z70" i="2"/>
  <c r="AA70" i="2" s="1"/>
  <c r="Y70" i="2"/>
  <c r="T70" i="2"/>
  <c r="U70" i="2" s="1"/>
  <c r="S70" i="2"/>
  <c r="L70" i="2"/>
  <c r="M70" i="2" s="1"/>
  <c r="K70" i="2"/>
  <c r="K20" i="2"/>
  <c r="L20" i="2"/>
  <c r="M20" i="2" s="1"/>
  <c r="S20" i="2"/>
  <c r="T20" i="2"/>
  <c r="U20" i="2" s="1"/>
  <c r="Y20" i="2"/>
  <c r="Z20" i="2"/>
  <c r="AA20" i="2"/>
  <c r="AE20" i="2"/>
  <c r="AF20" i="2"/>
  <c r="AG20" i="2" s="1"/>
  <c r="AK20" i="2"/>
  <c r="AL20" i="2"/>
  <c r="AM20" i="2" s="1"/>
  <c r="AQ20" i="2"/>
  <c r="AR20" i="2"/>
  <c r="AS20" i="2"/>
  <c r="AT20" i="2"/>
  <c r="AU20" i="2" s="1"/>
  <c r="AV20" i="2"/>
  <c r="AW20" i="2" s="1"/>
  <c r="AX20" i="2" s="1"/>
  <c r="K21" i="2"/>
  <c r="L21" i="2"/>
  <c r="M21" i="2" s="1"/>
  <c r="S21" i="2"/>
  <c r="T21" i="2"/>
  <c r="U21" i="2"/>
  <c r="Y21" i="2"/>
  <c r="Z21" i="2"/>
  <c r="AA21" i="2" s="1"/>
  <c r="AE21" i="2"/>
  <c r="AF21" i="2"/>
  <c r="AG21" i="2" s="1"/>
  <c r="AK21" i="2"/>
  <c r="AL21" i="2"/>
  <c r="AM21" i="2"/>
  <c r="AQ21" i="2"/>
  <c r="AR21" i="2"/>
  <c r="AS21" i="2"/>
  <c r="AT21" i="2"/>
  <c r="AU21" i="2"/>
  <c r="AV21" i="2"/>
  <c r="AW21" i="2" s="1"/>
  <c r="AX21" i="2" s="1"/>
  <c r="K22" i="2"/>
  <c r="L22" i="2"/>
  <c r="M22" i="2" s="1"/>
  <c r="S22" i="2"/>
  <c r="T22" i="2"/>
  <c r="U22" i="2" s="1"/>
  <c r="Y22" i="2"/>
  <c r="Z22" i="2"/>
  <c r="AA22" i="2"/>
  <c r="AE22" i="2"/>
  <c r="AF22" i="2"/>
  <c r="AG22" i="2" s="1"/>
  <c r="AK22" i="2"/>
  <c r="AL22" i="2"/>
  <c r="AM22" i="2" s="1"/>
  <c r="AQ22" i="2"/>
  <c r="AR22" i="2"/>
  <c r="AS22" i="2"/>
  <c r="AT22" i="2"/>
  <c r="AU22" i="2" s="1"/>
  <c r="AV22" i="2"/>
  <c r="AW22" i="2" s="1"/>
  <c r="AX22" i="2" s="1"/>
  <c r="K23" i="2"/>
  <c r="L23" i="2"/>
  <c r="M23" i="2" s="1"/>
  <c r="S23" i="2"/>
  <c r="T23" i="2"/>
  <c r="U23" i="2"/>
  <c r="Y23" i="2"/>
  <c r="Z23" i="2"/>
  <c r="AA23" i="2" s="1"/>
  <c r="AE23" i="2"/>
  <c r="AF23" i="2"/>
  <c r="AG23" i="2" s="1"/>
  <c r="AK23" i="2"/>
  <c r="AL23" i="2"/>
  <c r="AM23" i="2"/>
  <c r="AQ23" i="2"/>
  <c r="AR23" i="2"/>
  <c r="AS23" i="2"/>
  <c r="AT23" i="2"/>
  <c r="AU23" i="2"/>
  <c r="AV23" i="2"/>
  <c r="AW23" i="2" s="1"/>
  <c r="AX23" i="2" s="1"/>
  <c r="K24" i="2"/>
  <c r="L24" i="2"/>
  <c r="M24" i="2" s="1"/>
  <c r="S24" i="2"/>
  <c r="T24" i="2"/>
  <c r="U24" i="2" s="1"/>
  <c r="Y24" i="2"/>
  <c r="Z24" i="2"/>
  <c r="AA24" i="2" s="1"/>
  <c r="AE24" i="2"/>
  <c r="AF24" i="2"/>
  <c r="AG24" i="2"/>
  <c r="AK24" i="2"/>
  <c r="AL24" i="2"/>
  <c r="AM24" i="2" s="1"/>
  <c r="AQ24" i="2"/>
  <c r="AR24" i="2"/>
  <c r="AS24" i="2"/>
  <c r="AT24" i="2"/>
  <c r="AU24" i="2" s="1"/>
  <c r="AV24" i="2"/>
  <c r="AW24" i="2" s="1"/>
  <c r="AX24" i="2" s="1"/>
  <c r="K25" i="2"/>
  <c r="L25" i="2"/>
  <c r="M25" i="2" s="1"/>
  <c r="S25" i="2"/>
  <c r="T25" i="2"/>
  <c r="U25" i="2" s="1"/>
  <c r="Y25" i="2"/>
  <c r="Z25" i="2"/>
  <c r="AA25" i="2" s="1"/>
  <c r="AE25" i="2"/>
  <c r="AF25" i="2"/>
  <c r="AG25" i="2"/>
  <c r="AK25" i="2"/>
  <c r="AL25" i="2"/>
  <c r="AM25" i="2" s="1"/>
  <c r="AQ25" i="2"/>
  <c r="AR25" i="2"/>
  <c r="AS25" i="2"/>
  <c r="AT25" i="2"/>
  <c r="AU25" i="2" s="1"/>
  <c r="AV25" i="2"/>
  <c r="AW25" i="2" s="1"/>
  <c r="AX25" i="2" s="1"/>
  <c r="K26" i="2"/>
  <c r="L26" i="2"/>
  <c r="M26" i="2" s="1"/>
  <c r="S26" i="2"/>
  <c r="T26" i="2"/>
  <c r="U26" i="2" s="1"/>
  <c r="Y26" i="2"/>
  <c r="Z26" i="2"/>
  <c r="AA26" i="2" s="1"/>
  <c r="AE26" i="2"/>
  <c r="AF26" i="2"/>
  <c r="AG26" i="2" s="1"/>
  <c r="AK26" i="2"/>
  <c r="AL26" i="2"/>
  <c r="AM26" i="2" s="1"/>
  <c r="AQ26" i="2"/>
  <c r="AR26" i="2"/>
  <c r="AS26" i="2"/>
  <c r="AT26" i="2"/>
  <c r="AU26" i="2"/>
  <c r="AV26" i="2"/>
  <c r="AW26" i="2" s="1"/>
  <c r="AX26" i="2" s="1"/>
  <c r="K27" i="2"/>
  <c r="L27" i="2"/>
  <c r="M27" i="2" s="1"/>
  <c r="S27" i="2"/>
  <c r="T27" i="2"/>
  <c r="U27" i="2" s="1"/>
  <c r="Y27" i="2"/>
  <c r="Z27" i="2"/>
  <c r="AA27" i="2" s="1"/>
  <c r="AE27" i="2"/>
  <c r="AF27" i="2"/>
  <c r="AG27" i="2" s="1"/>
  <c r="AK27" i="2"/>
  <c r="AL27" i="2"/>
  <c r="AM27" i="2" s="1"/>
  <c r="AQ27" i="2"/>
  <c r="AR27" i="2"/>
  <c r="AS27" i="2"/>
  <c r="AT27" i="2"/>
  <c r="AU27" i="2" s="1"/>
  <c r="AV27" i="2"/>
  <c r="AW27" i="2" s="1"/>
  <c r="AX27" i="2" s="1"/>
  <c r="K28" i="2"/>
  <c r="L28" i="2"/>
  <c r="M28" i="2" s="1"/>
  <c r="S28" i="2"/>
  <c r="T28" i="2"/>
  <c r="U28" i="2" s="1"/>
  <c r="Y28" i="2"/>
  <c r="Z28" i="2"/>
  <c r="AA28" i="2" s="1"/>
  <c r="AE28" i="2"/>
  <c r="AF28" i="2"/>
  <c r="AG28" i="2" s="1"/>
  <c r="AK28" i="2"/>
  <c r="AL28" i="2"/>
  <c r="AM28" i="2"/>
  <c r="AQ28" i="2"/>
  <c r="AR28" i="2"/>
  <c r="AS28" i="2"/>
  <c r="AT28" i="2"/>
  <c r="AU28" i="2" s="1"/>
  <c r="AV28" i="2"/>
  <c r="AW28" i="2" s="1"/>
  <c r="AX28" i="2" s="1"/>
  <c r="K29" i="2"/>
  <c r="L29" i="2"/>
  <c r="M29" i="2" s="1"/>
  <c r="S29" i="2"/>
  <c r="T29" i="2"/>
  <c r="U29" i="2"/>
  <c r="Y29" i="2"/>
  <c r="Z29" i="2"/>
  <c r="AA29" i="2" s="1"/>
  <c r="AE29" i="2"/>
  <c r="AF29" i="2"/>
  <c r="AG29" i="2" s="1"/>
  <c r="AK29" i="2"/>
  <c r="AL29" i="2"/>
  <c r="AM29" i="2" s="1"/>
  <c r="AQ29" i="2"/>
  <c r="AR29" i="2"/>
  <c r="AS29" i="2"/>
  <c r="AT29" i="2"/>
  <c r="AU29" i="2" s="1"/>
  <c r="AV29" i="2"/>
  <c r="AW29" i="2" s="1"/>
  <c r="AX29" i="2" s="1"/>
  <c r="K30" i="2"/>
  <c r="L30" i="2"/>
  <c r="M30" i="2" s="1"/>
  <c r="S30" i="2"/>
  <c r="T30" i="2"/>
  <c r="U30" i="2"/>
  <c r="Y30" i="2"/>
  <c r="Z30" i="2"/>
  <c r="AA30" i="2"/>
  <c r="AE30" i="2"/>
  <c r="AF30" i="2"/>
  <c r="AG30" i="2"/>
  <c r="AK30" i="2"/>
  <c r="AL30" i="2"/>
  <c r="AM30" i="2" s="1"/>
  <c r="AQ30" i="2"/>
  <c r="AR30" i="2"/>
  <c r="AS30" i="2"/>
  <c r="AT30" i="2"/>
  <c r="AU30" i="2" s="1"/>
  <c r="AV30" i="2"/>
  <c r="AW30" i="2" s="1"/>
  <c r="AX30" i="2" s="1"/>
  <c r="K31" i="2"/>
  <c r="L31" i="2"/>
  <c r="M31" i="2" s="1"/>
  <c r="S31" i="2"/>
  <c r="T31" i="2"/>
  <c r="U31" i="2"/>
  <c r="Y31" i="2"/>
  <c r="Z31" i="2"/>
  <c r="AA31" i="2" s="1"/>
  <c r="AE31" i="2"/>
  <c r="AF31" i="2"/>
  <c r="AG31" i="2" s="1"/>
  <c r="AK31" i="2"/>
  <c r="AL31" i="2"/>
  <c r="AM31" i="2" s="1"/>
  <c r="AQ31" i="2"/>
  <c r="AR31" i="2"/>
  <c r="AS31" i="2"/>
  <c r="AT31" i="2"/>
  <c r="AU31" i="2" s="1"/>
  <c r="AV31" i="2"/>
  <c r="AW31" i="2" s="1"/>
  <c r="AX31" i="2" s="1"/>
  <c r="K32" i="2"/>
  <c r="L32" i="2"/>
  <c r="M32" i="2" s="1"/>
  <c r="S32" i="2"/>
  <c r="T32" i="2"/>
  <c r="U32" i="2" s="1"/>
  <c r="Y32" i="2"/>
  <c r="Z32" i="2"/>
  <c r="AA32" i="2"/>
  <c r="AE32" i="2"/>
  <c r="AF32" i="2"/>
  <c r="AG32" i="2" s="1"/>
  <c r="AK32" i="2"/>
  <c r="AL32" i="2"/>
  <c r="AM32" i="2"/>
  <c r="AQ32" i="2"/>
  <c r="AR32" i="2"/>
  <c r="AS32" i="2"/>
  <c r="AT32" i="2"/>
  <c r="AU32" i="2" s="1"/>
  <c r="AV32" i="2"/>
  <c r="AW32" i="2" s="1"/>
  <c r="AX32" i="2" s="1"/>
  <c r="K33" i="2"/>
  <c r="L33" i="2"/>
  <c r="M33" i="2" s="1"/>
  <c r="S33" i="2"/>
  <c r="T33" i="2"/>
  <c r="U33" i="2"/>
  <c r="Y33" i="2"/>
  <c r="Z33" i="2"/>
  <c r="AA33" i="2" s="1"/>
  <c r="AE33" i="2"/>
  <c r="AF33" i="2"/>
  <c r="AG33" i="2" s="1"/>
  <c r="AK33" i="2"/>
  <c r="AL33" i="2"/>
  <c r="AM33" i="2" s="1"/>
  <c r="AQ33" i="2"/>
  <c r="AR33" i="2"/>
  <c r="AS33" i="2"/>
  <c r="AT33" i="2"/>
  <c r="AU33" i="2" s="1"/>
  <c r="AV33" i="2"/>
  <c r="AW33" i="2" s="1"/>
  <c r="AX33" i="2" s="1"/>
  <c r="K34" i="2"/>
  <c r="L34" i="2"/>
  <c r="M34" i="2" s="1"/>
  <c r="S34" i="2"/>
  <c r="T34" i="2"/>
  <c r="U34" i="2" s="1"/>
  <c r="Y34" i="2"/>
  <c r="Z34" i="2"/>
  <c r="AA34" i="2" s="1"/>
  <c r="AE34" i="2"/>
  <c r="AF34" i="2"/>
  <c r="AG34" i="2" s="1"/>
  <c r="AK34" i="2"/>
  <c r="AL34" i="2"/>
  <c r="AM34" i="2" s="1"/>
  <c r="AQ34" i="2"/>
  <c r="AR34" i="2"/>
  <c r="AS34" i="2"/>
  <c r="AT34" i="2"/>
  <c r="AU34" i="2" s="1"/>
  <c r="AV34" i="2"/>
  <c r="AW34" i="2" s="1"/>
  <c r="AX34" i="2" s="1"/>
  <c r="K35" i="2"/>
  <c r="L35" i="2"/>
  <c r="M35" i="2" s="1"/>
  <c r="S35" i="2"/>
  <c r="T35" i="2"/>
  <c r="U35" i="2"/>
  <c r="Y35" i="2"/>
  <c r="Z35" i="2"/>
  <c r="AA35" i="2" s="1"/>
  <c r="AE35" i="2"/>
  <c r="AF35" i="2"/>
  <c r="AG35" i="2"/>
  <c r="AK35" i="2"/>
  <c r="AL35" i="2"/>
  <c r="AM35" i="2" s="1"/>
  <c r="AQ35" i="2"/>
  <c r="AR35" i="2"/>
  <c r="AS35" i="2"/>
  <c r="AT35" i="2"/>
  <c r="AU35" i="2" s="1"/>
  <c r="AV35" i="2"/>
  <c r="AW35" i="2" s="1"/>
  <c r="AX35" i="2" s="1"/>
  <c r="K36" i="2"/>
  <c r="L36" i="2"/>
  <c r="M36" i="2" s="1"/>
  <c r="S36" i="2"/>
  <c r="T36" i="2"/>
  <c r="U36" i="2" s="1"/>
  <c r="Y36" i="2"/>
  <c r="Z36" i="2"/>
  <c r="AA36" i="2" s="1"/>
  <c r="AE36" i="2"/>
  <c r="AF36" i="2"/>
  <c r="AG36" i="2" s="1"/>
  <c r="AK36" i="2"/>
  <c r="AL36" i="2"/>
  <c r="AM36" i="2"/>
  <c r="AQ36" i="2"/>
  <c r="AR36" i="2"/>
  <c r="AS36" i="2"/>
  <c r="AT36" i="2"/>
  <c r="AU36" i="2" s="1"/>
  <c r="AV36" i="2"/>
  <c r="AW36" i="2" s="1"/>
  <c r="AX36" i="2" s="1"/>
  <c r="K37" i="2"/>
  <c r="L37" i="2"/>
  <c r="M37" i="2" s="1"/>
  <c r="S37" i="2"/>
  <c r="T37" i="2"/>
  <c r="U37" i="2" s="1"/>
  <c r="Y37" i="2"/>
  <c r="Z37" i="2"/>
  <c r="AA37" i="2" s="1"/>
  <c r="AE37" i="2"/>
  <c r="AF37" i="2"/>
  <c r="AG37" i="2" s="1"/>
  <c r="AK37" i="2"/>
  <c r="AL37" i="2"/>
  <c r="AM37" i="2" s="1"/>
  <c r="AQ37" i="2"/>
  <c r="AR37" i="2"/>
  <c r="AS37" i="2"/>
  <c r="AT37" i="2"/>
  <c r="AU37" i="2" s="1"/>
  <c r="AV37" i="2"/>
  <c r="AW37" i="2" s="1"/>
  <c r="AX37" i="2" s="1"/>
  <c r="K38" i="2"/>
  <c r="L38" i="2"/>
  <c r="M38" i="2" s="1"/>
  <c r="S38" i="2"/>
  <c r="T38" i="2"/>
  <c r="U38" i="2" s="1"/>
  <c r="Y38" i="2"/>
  <c r="Z38" i="2"/>
  <c r="AA38" i="2"/>
  <c r="AE38" i="2"/>
  <c r="AF38" i="2"/>
  <c r="AG38" i="2" s="1"/>
  <c r="AK38" i="2"/>
  <c r="AL38" i="2"/>
  <c r="AM38" i="2" s="1"/>
  <c r="AQ38" i="2"/>
  <c r="AR38" i="2"/>
  <c r="AS38" i="2"/>
  <c r="AT38" i="2"/>
  <c r="AU38" i="2"/>
  <c r="AV38" i="2"/>
  <c r="AW38" i="2" s="1"/>
  <c r="AX38" i="2" s="1"/>
  <c r="K39" i="2"/>
  <c r="L39" i="2"/>
  <c r="M39" i="2" s="1"/>
  <c r="S39" i="2"/>
  <c r="T39" i="2"/>
  <c r="U39" i="2" s="1"/>
  <c r="Y39" i="2"/>
  <c r="Z39" i="2"/>
  <c r="AA39" i="2" s="1"/>
  <c r="AE39" i="2"/>
  <c r="AF39" i="2"/>
  <c r="AG39" i="2" s="1"/>
  <c r="AK39" i="2"/>
  <c r="AL39" i="2"/>
  <c r="AM39" i="2" s="1"/>
  <c r="AQ39" i="2"/>
  <c r="AR39" i="2"/>
  <c r="AS39" i="2"/>
  <c r="AT39" i="2"/>
  <c r="AU39" i="2" s="1"/>
  <c r="AV39" i="2"/>
  <c r="AW39" i="2" s="1"/>
  <c r="AX39" i="2" s="1"/>
  <c r="K40" i="2"/>
  <c r="L40" i="2"/>
  <c r="M40" i="2" s="1"/>
  <c r="S40" i="2"/>
  <c r="T40" i="2"/>
  <c r="U40" i="2" s="1"/>
  <c r="Y40" i="2"/>
  <c r="Z40" i="2"/>
  <c r="AA40" i="2" s="1"/>
  <c r="AE40" i="2"/>
  <c r="AF40" i="2"/>
  <c r="AG40" i="2" s="1"/>
  <c r="AK40" i="2"/>
  <c r="AL40" i="2"/>
  <c r="AM40" i="2"/>
  <c r="AQ40" i="2"/>
  <c r="AR40" i="2"/>
  <c r="AS40" i="2"/>
  <c r="AT40" i="2"/>
  <c r="AU40" i="2"/>
  <c r="AV40" i="2"/>
  <c r="AW40" i="2" s="1"/>
  <c r="AX40" i="2" s="1"/>
  <c r="K41" i="2"/>
  <c r="L41" i="2"/>
  <c r="M41" i="2" s="1"/>
  <c r="S41" i="2"/>
  <c r="T41" i="2"/>
  <c r="U41" i="2"/>
  <c r="Y41" i="2"/>
  <c r="Z41" i="2"/>
  <c r="AA41" i="2" s="1"/>
  <c r="AE41" i="2"/>
  <c r="AF41" i="2"/>
  <c r="AG41" i="2" s="1"/>
  <c r="AK41" i="2"/>
  <c r="AL41" i="2"/>
  <c r="AM41" i="2" s="1"/>
  <c r="AQ41" i="2"/>
  <c r="AR41" i="2"/>
  <c r="AS41" i="2"/>
  <c r="AT41" i="2"/>
  <c r="AU41" i="2"/>
  <c r="AV41" i="2"/>
  <c r="AW41" i="2" s="1"/>
  <c r="AX41" i="2" s="1"/>
  <c r="K42" i="2"/>
  <c r="L42" i="2"/>
  <c r="M42" i="2" s="1"/>
  <c r="S42" i="2"/>
  <c r="T42" i="2"/>
  <c r="U42" i="2"/>
  <c r="Y42" i="2"/>
  <c r="Z42" i="2"/>
  <c r="AA42" i="2" s="1"/>
  <c r="AE42" i="2"/>
  <c r="AF42" i="2"/>
  <c r="AG42" i="2" s="1"/>
  <c r="AK42" i="2"/>
  <c r="AL42" i="2"/>
  <c r="AM42" i="2"/>
  <c r="AQ42" i="2"/>
  <c r="AR42" i="2"/>
  <c r="AS42" i="2"/>
  <c r="AT42" i="2"/>
  <c r="AU42" i="2" s="1"/>
  <c r="AV42" i="2"/>
  <c r="AW42" i="2" s="1"/>
  <c r="AX42" i="2" s="1"/>
  <c r="K43" i="2"/>
  <c r="L43" i="2"/>
  <c r="M43" i="2" s="1"/>
  <c r="S43" i="2"/>
  <c r="T43" i="2"/>
  <c r="U43" i="2"/>
  <c r="Y43" i="2"/>
  <c r="Z43" i="2"/>
  <c r="AA43" i="2" s="1"/>
  <c r="AE43" i="2"/>
  <c r="AF43" i="2"/>
  <c r="AG43" i="2" s="1"/>
  <c r="AK43" i="2"/>
  <c r="AL43" i="2"/>
  <c r="AM43" i="2" s="1"/>
  <c r="AQ43" i="2"/>
  <c r="AR43" i="2"/>
  <c r="AS43" i="2"/>
  <c r="AT43" i="2"/>
  <c r="AU43" i="2" s="1"/>
  <c r="AV43" i="2"/>
  <c r="AW43" i="2" s="1"/>
  <c r="AX43" i="2" s="1"/>
  <c r="K44" i="2"/>
  <c r="L44" i="2"/>
  <c r="M44" i="2" s="1"/>
  <c r="S44" i="2"/>
  <c r="T44" i="2"/>
  <c r="U44" i="2" s="1"/>
  <c r="Y44" i="2"/>
  <c r="Z44" i="2"/>
  <c r="AA44" i="2"/>
  <c r="AE44" i="2"/>
  <c r="AF44" i="2"/>
  <c r="AG44" i="2" s="1"/>
  <c r="AK44" i="2"/>
  <c r="AL44" i="2"/>
  <c r="AM44" i="2" s="1"/>
  <c r="AQ44" i="2"/>
  <c r="AR44" i="2"/>
  <c r="AS44" i="2"/>
  <c r="AT44" i="2"/>
  <c r="AU44" i="2" s="1"/>
  <c r="AV44" i="2"/>
  <c r="AW44" i="2" s="1"/>
  <c r="AX44" i="2" s="1"/>
  <c r="K45" i="2"/>
  <c r="L45" i="2"/>
  <c r="M45" i="2" s="1"/>
  <c r="S45" i="2"/>
  <c r="T45" i="2"/>
  <c r="U45" i="2"/>
  <c r="Y45" i="2"/>
  <c r="Z45" i="2"/>
  <c r="AA45" i="2" s="1"/>
  <c r="AE45" i="2"/>
  <c r="AF45" i="2"/>
  <c r="AG45" i="2"/>
  <c r="AK45" i="2"/>
  <c r="AL45" i="2"/>
  <c r="AM45" i="2"/>
  <c r="AQ45" i="2"/>
  <c r="AR45" i="2"/>
  <c r="AS45" i="2"/>
  <c r="AT45" i="2"/>
  <c r="AU45" i="2"/>
  <c r="AV45" i="2"/>
  <c r="AW45" i="2" s="1"/>
  <c r="AX45" i="2" s="1"/>
  <c r="K46" i="2"/>
  <c r="L46" i="2"/>
  <c r="M46" i="2" s="1"/>
  <c r="S46" i="2"/>
  <c r="T46" i="2"/>
  <c r="U46" i="2" s="1"/>
  <c r="Y46" i="2"/>
  <c r="Z46" i="2"/>
  <c r="AA46" i="2"/>
  <c r="AE46" i="2"/>
  <c r="AF46" i="2"/>
  <c r="AG46" i="2" s="1"/>
  <c r="AK46" i="2"/>
  <c r="AL46" i="2"/>
  <c r="AM46" i="2" s="1"/>
  <c r="AQ46" i="2"/>
  <c r="AR46" i="2"/>
  <c r="AS46" i="2"/>
  <c r="AT46" i="2"/>
  <c r="AU46" i="2" s="1"/>
  <c r="AV46" i="2"/>
  <c r="AW46" i="2" s="1"/>
  <c r="AX46" i="2" s="1"/>
  <c r="K47" i="2"/>
  <c r="L47" i="2"/>
  <c r="M47" i="2" s="1"/>
  <c r="S47" i="2"/>
  <c r="T47" i="2"/>
  <c r="U47" i="2"/>
  <c r="Y47" i="2"/>
  <c r="Z47" i="2"/>
  <c r="AA47" i="2" s="1"/>
  <c r="AE47" i="2"/>
  <c r="AF47" i="2"/>
  <c r="AG47" i="2"/>
  <c r="AK47" i="2"/>
  <c r="AL47" i="2"/>
  <c r="AM47" i="2"/>
  <c r="AQ47" i="2"/>
  <c r="AR47" i="2"/>
  <c r="AS47" i="2"/>
  <c r="AT47" i="2"/>
  <c r="AU47" i="2" s="1"/>
  <c r="AV47" i="2"/>
  <c r="AW47" i="2" s="1"/>
  <c r="AX47" i="2" s="1"/>
  <c r="K48" i="2"/>
  <c r="L48" i="2"/>
  <c r="M48" i="2" s="1"/>
  <c r="S48" i="2"/>
  <c r="T48" i="2"/>
  <c r="U48" i="2" s="1"/>
  <c r="Y48" i="2"/>
  <c r="Z48" i="2"/>
  <c r="AA48" i="2" s="1"/>
  <c r="AE48" i="2"/>
  <c r="AF48" i="2"/>
  <c r="AG48" i="2"/>
  <c r="AK48" i="2"/>
  <c r="AL48" i="2"/>
  <c r="AM48" i="2" s="1"/>
  <c r="AQ48" i="2"/>
  <c r="AR48" i="2"/>
  <c r="AS48" i="2"/>
  <c r="AT48" i="2"/>
  <c r="AU48" i="2" s="1"/>
  <c r="AV48" i="2"/>
  <c r="AW48" i="2" s="1"/>
  <c r="AX48" i="2" s="1"/>
  <c r="K49" i="2"/>
  <c r="L49" i="2"/>
  <c r="M49" i="2" s="1"/>
  <c r="S49" i="2"/>
  <c r="T49" i="2"/>
  <c r="U49" i="2" s="1"/>
  <c r="Y49" i="2"/>
  <c r="Z49" i="2"/>
  <c r="AA49" i="2" s="1"/>
  <c r="AE49" i="2"/>
  <c r="AF49" i="2"/>
  <c r="AG49" i="2" s="1"/>
  <c r="AK49" i="2"/>
  <c r="AL49" i="2"/>
  <c r="AM49" i="2" s="1"/>
  <c r="AQ49" i="2"/>
  <c r="AR49" i="2"/>
  <c r="AS49" i="2"/>
  <c r="AT49" i="2"/>
  <c r="AU49" i="2"/>
  <c r="AV49" i="2"/>
  <c r="AW49" i="2" s="1"/>
  <c r="AX49" i="2" s="1"/>
  <c r="K50" i="2"/>
  <c r="L50" i="2"/>
  <c r="M50" i="2" s="1"/>
  <c r="S50" i="2"/>
  <c r="T50" i="2"/>
  <c r="U50" i="2" s="1"/>
  <c r="Y50" i="2"/>
  <c r="Z50" i="2"/>
  <c r="AA50" i="2" s="1"/>
  <c r="AE50" i="2"/>
  <c r="AF50" i="2"/>
  <c r="AG50" i="2" s="1"/>
  <c r="AK50" i="2"/>
  <c r="AL50" i="2"/>
  <c r="AM50" i="2" s="1"/>
  <c r="AQ50" i="2"/>
  <c r="AR50" i="2"/>
  <c r="AS50" i="2"/>
  <c r="AT50" i="2"/>
  <c r="AU50" i="2" s="1"/>
  <c r="AV50" i="2"/>
  <c r="AW50" i="2" s="1"/>
  <c r="AX50" i="2" s="1"/>
  <c r="K51" i="2"/>
  <c r="L51" i="2"/>
  <c r="M51" i="2" s="1"/>
  <c r="S51" i="2"/>
  <c r="T51" i="2"/>
  <c r="U51" i="2" s="1"/>
  <c r="Y51" i="2"/>
  <c r="Z51" i="2"/>
  <c r="AA51" i="2" s="1"/>
  <c r="AE51" i="2"/>
  <c r="AF51" i="2"/>
  <c r="AG51" i="2"/>
  <c r="AK51" i="2"/>
  <c r="AL51" i="2"/>
  <c r="AM51" i="2" s="1"/>
  <c r="AQ51" i="2"/>
  <c r="AR51" i="2"/>
  <c r="AS51" i="2"/>
  <c r="AT51" i="2"/>
  <c r="AU51" i="2" s="1"/>
  <c r="AV51" i="2"/>
  <c r="AW51" i="2" s="1"/>
  <c r="AX51" i="2" s="1"/>
  <c r="K52" i="2"/>
  <c r="L52" i="2"/>
  <c r="M52" i="2" s="1"/>
  <c r="S52" i="2"/>
  <c r="T52" i="2"/>
  <c r="U52" i="2" s="1"/>
  <c r="Y52" i="2"/>
  <c r="Z52" i="2"/>
  <c r="AA52" i="2" s="1"/>
  <c r="AE52" i="2"/>
  <c r="AF52" i="2"/>
  <c r="AG52" i="2" s="1"/>
  <c r="AK52" i="2"/>
  <c r="AL52" i="2"/>
  <c r="AM52" i="2" s="1"/>
  <c r="AQ52" i="2"/>
  <c r="AR52" i="2"/>
  <c r="AS52" i="2"/>
  <c r="AT52" i="2"/>
  <c r="AU52" i="2"/>
  <c r="AV52" i="2"/>
  <c r="AW52" i="2" s="1"/>
  <c r="AX52" i="2" s="1"/>
  <c r="K53" i="2"/>
  <c r="L53" i="2"/>
  <c r="M53" i="2" s="1"/>
  <c r="S53" i="2"/>
  <c r="T53" i="2"/>
  <c r="U53" i="2"/>
  <c r="Y53" i="2"/>
  <c r="Z53" i="2"/>
  <c r="AA53" i="2" s="1"/>
  <c r="AE53" i="2"/>
  <c r="AF53" i="2"/>
  <c r="AG53" i="2"/>
  <c r="AK53" i="2"/>
  <c r="AL53" i="2"/>
  <c r="AM53" i="2" s="1"/>
  <c r="AQ53" i="2"/>
  <c r="AR53" i="2"/>
  <c r="AS53" i="2"/>
  <c r="AT53" i="2"/>
  <c r="AU53" i="2"/>
  <c r="AV53" i="2"/>
  <c r="AW53" i="2" s="1"/>
  <c r="AX53" i="2" s="1"/>
  <c r="K54" i="2"/>
  <c r="L54" i="2"/>
  <c r="M54" i="2" s="1"/>
  <c r="S54" i="2"/>
  <c r="T54" i="2"/>
  <c r="U54" i="2"/>
  <c r="Y54" i="2"/>
  <c r="Z54" i="2"/>
  <c r="AA54" i="2"/>
  <c r="AE54" i="2"/>
  <c r="AF54" i="2"/>
  <c r="AG54" i="2"/>
  <c r="AK54" i="2"/>
  <c r="AL54" i="2"/>
  <c r="AM54" i="2" s="1"/>
  <c r="AQ54" i="2"/>
  <c r="AR54" i="2"/>
  <c r="AS54" i="2"/>
  <c r="AT54" i="2"/>
  <c r="AU54" i="2" s="1"/>
  <c r="AV54" i="2"/>
  <c r="AW54" i="2" s="1"/>
  <c r="AX54" i="2" s="1"/>
  <c r="K55" i="2"/>
  <c r="L55" i="2"/>
  <c r="M55" i="2" s="1"/>
  <c r="S55" i="2"/>
  <c r="T55" i="2"/>
  <c r="U55" i="2"/>
  <c r="Y55" i="2"/>
  <c r="Z55" i="2"/>
  <c r="AA55" i="2" s="1"/>
  <c r="AE55" i="2"/>
  <c r="AF55" i="2"/>
  <c r="AG55" i="2" s="1"/>
  <c r="AK55" i="2"/>
  <c r="AL55" i="2"/>
  <c r="AM55" i="2" s="1"/>
  <c r="AQ55" i="2"/>
  <c r="AR55" i="2"/>
  <c r="AS55" i="2"/>
  <c r="AT55" i="2"/>
  <c r="AU55" i="2"/>
  <c r="AV55" i="2"/>
  <c r="AW55" i="2" s="1"/>
  <c r="AX55" i="2" s="1"/>
  <c r="K56" i="2"/>
  <c r="L56" i="2"/>
  <c r="M56" i="2" s="1"/>
  <c r="S56" i="2"/>
  <c r="T56" i="2"/>
  <c r="U56" i="2" s="1"/>
  <c r="Y56" i="2"/>
  <c r="Z56" i="2"/>
  <c r="AA56" i="2"/>
  <c r="AE56" i="2"/>
  <c r="AF56" i="2"/>
  <c r="AG56" i="2" s="1"/>
  <c r="AK56" i="2"/>
  <c r="AL56" i="2"/>
  <c r="AM56" i="2" s="1"/>
  <c r="AQ56" i="2"/>
  <c r="AR56" i="2"/>
  <c r="AS56" i="2"/>
  <c r="AT56" i="2"/>
  <c r="AU56" i="2" s="1"/>
  <c r="AV56" i="2"/>
  <c r="AW56" i="2" s="1"/>
  <c r="AX56" i="2" s="1"/>
  <c r="K57" i="2"/>
  <c r="L57" i="2"/>
  <c r="M57" i="2" s="1"/>
  <c r="S57" i="2"/>
  <c r="T57" i="2"/>
  <c r="U57" i="2"/>
  <c r="Y57" i="2"/>
  <c r="Z57" i="2"/>
  <c r="AA57" i="2" s="1"/>
  <c r="AE57" i="2"/>
  <c r="AF57" i="2"/>
  <c r="AG57" i="2" s="1"/>
  <c r="AK57" i="2"/>
  <c r="AL57" i="2"/>
  <c r="AM57" i="2" s="1"/>
  <c r="AQ57" i="2"/>
  <c r="AR57" i="2"/>
  <c r="AS57" i="2"/>
  <c r="AT57" i="2"/>
  <c r="AU57" i="2" s="1"/>
  <c r="AV57" i="2"/>
  <c r="AW57" i="2" s="1"/>
  <c r="AX57" i="2" s="1"/>
  <c r="K58" i="2"/>
  <c r="L58" i="2"/>
  <c r="M58" i="2" s="1"/>
  <c r="S58" i="2"/>
  <c r="T58" i="2"/>
  <c r="U58" i="2" s="1"/>
  <c r="Y58" i="2"/>
  <c r="Z58" i="2"/>
  <c r="AA58" i="2" s="1"/>
  <c r="AE58" i="2"/>
  <c r="AF58" i="2"/>
  <c r="AG58" i="2" s="1"/>
  <c r="AK58" i="2"/>
  <c r="AL58" i="2"/>
  <c r="AM58" i="2" s="1"/>
  <c r="AQ58" i="2"/>
  <c r="AR58" i="2"/>
  <c r="AS58" i="2"/>
  <c r="AT58" i="2"/>
  <c r="AU58" i="2" s="1"/>
  <c r="AV58" i="2"/>
  <c r="AW58" i="2" s="1"/>
  <c r="AX58" i="2" s="1"/>
  <c r="K59" i="2"/>
  <c r="L59" i="2"/>
  <c r="M59" i="2" s="1"/>
  <c r="S59" i="2"/>
  <c r="T59" i="2"/>
  <c r="U59" i="2"/>
  <c r="Y59" i="2"/>
  <c r="Z59" i="2"/>
  <c r="AA59" i="2" s="1"/>
  <c r="AE59" i="2"/>
  <c r="AF59" i="2"/>
  <c r="AG59" i="2" s="1"/>
  <c r="AK59" i="2"/>
  <c r="AL59" i="2"/>
  <c r="AM59" i="2"/>
  <c r="AQ59" i="2"/>
  <c r="AR59" i="2"/>
  <c r="AS59" i="2"/>
  <c r="AT59" i="2"/>
  <c r="AU59" i="2" s="1"/>
  <c r="AV59" i="2"/>
  <c r="AW59" i="2" s="1"/>
  <c r="AX59" i="2" s="1"/>
  <c r="K60" i="2"/>
  <c r="L60" i="2"/>
  <c r="M60" i="2" s="1"/>
  <c r="S60" i="2"/>
  <c r="T60" i="2"/>
  <c r="U60" i="2" s="1"/>
  <c r="Y60" i="2"/>
  <c r="Z60" i="2"/>
  <c r="AA60" i="2" s="1"/>
  <c r="AE60" i="2"/>
  <c r="AF60" i="2"/>
  <c r="AG60" i="2" s="1"/>
  <c r="AK60" i="2"/>
  <c r="AL60" i="2"/>
  <c r="AM60" i="2" s="1"/>
  <c r="AQ60" i="2"/>
  <c r="AR60" i="2"/>
  <c r="AS60" i="2"/>
  <c r="AT60" i="2"/>
  <c r="AU60" i="2" s="1"/>
  <c r="AV60" i="2"/>
  <c r="AW60" i="2" s="1"/>
  <c r="AX60" i="2" s="1"/>
  <c r="K61" i="2"/>
  <c r="L61" i="2"/>
  <c r="M61" i="2" s="1"/>
  <c r="S61" i="2"/>
  <c r="T61" i="2"/>
  <c r="U61" i="2" s="1"/>
  <c r="Y61" i="2"/>
  <c r="Z61" i="2"/>
  <c r="AA61" i="2" s="1"/>
  <c r="AE61" i="2"/>
  <c r="AF61" i="2"/>
  <c r="AG61" i="2"/>
  <c r="AK61" i="2"/>
  <c r="AL61" i="2"/>
  <c r="AM61" i="2" s="1"/>
  <c r="AQ61" i="2"/>
  <c r="AR61" i="2"/>
  <c r="AS61" i="2"/>
  <c r="AT61" i="2"/>
  <c r="AU61" i="2"/>
  <c r="AV61" i="2"/>
  <c r="AW61" i="2" s="1"/>
  <c r="AX61" i="2" s="1"/>
  <c r="K62" i="2"/>
  <c r="L62" i="2"/>
  <c r="M62" i="2" s="1"/>
  <c r="S62" i="2"/>
  <c r="T62" i="2"/>
  <c r="U62" i="2" s="1"/>
  <c r="Y62" i="2"/>
  <c r="Z62" i="2"/>
  <c r="AA62" i="2"/>
  <c r="AE62" i="2"/>
  <c r="AF62" i="2"/>
  <c r="AG62" i="2" s="1"/>
  <c r="AK62" i="2"/>
  <c r="AL62" i="2"/>
  <c r="AM62" i="2" s="1"/>
  <c r="AQ62" i="2"/>
  <c r="AR62" i="2"/>
  <c r="AS62" i="2"/>
  <c r="AT62" i="2"/>
  <c r="AU62" i="2"/>
  <c r="AV62" i="2"/>
  <c r="AW62" i="2" s="1"/>
  <c r="AX62" i="2" s="1"/>
  <c r="K63" i="2"/>
  <c r="L63" i="2"/>
  <c r="M63" i="2" s="1"/>
  <c r="S63" i="2"/>
  <c r="T63" i="2"/>
  <c r="U63" i="2" s="1"/>
  <c r="Y63" i="2"/>
  <c r="Z63" i="2"/>
  <c r="AA63" i="2" s="1"/>
  <c r="AE63" i="2"/>
  <c r="AF63" i="2"/>
  <c r="AG63" i="2"/>
  <c r="AK63" i="2"/>
  <c r="AL63" i="2"/>
  <c r="AM63" i="2" s="1"/>
  <c r="AQ63" i="2"/>
  <c r="AR63" i="2"/>
  <c r="AS63" i="2"/>
  <c r="AT63" i="2"/>
  <c r="AU63" i="2" s="1"/>
  <c r="AV63" i="2"/>
  <c r="AW63" i="2" s="1"/>
  <c r="AX63" i="2" s="1"/>
  <c r="K64" i="2"/>
  <c r="L64" i="2"/>
  <c r="M64" i="2" s="1"/>
  <c r="S64" i="2"/>
  <c r="T64" i="2"/>
  <c r="U64" i="2" s="1"/>
  <c r="Y64" i="2"/>
  <c r="Z64" i="2"/>
  <c r="AA64" i="2" s="1"/>
  <c r="AE64" i="2"/>
  <c r="AF64" i="2"/>
  <c r="AG64" i="2" s="1"/>
  <c r="AK64" i="2"/>
  <c r="AL64" i="2"/>
  <c r="AM64" i="2"/>
  <c r="AQ64" i="2"/>
  <c r="AR64" i="2"/>
  <c r="AS64" i="2"/>
  <c r="AT64" i="2"/>
  <c r="AU64" i="2" s="1"/>
  <c r="AV64" i="2"/>
  <c r="AW64" i="2" s="1"/>
  <c r="AX64" i="2" s="1"/>
  <c r="K65" i="2"/>
  <c r="L65" i="2"/>
  <c r="M65" i="2" s="1"/>
  <c r="S65" i="2"/>
  <c r="T65" i="2"/>
  <c r="U65" i="2"/>
  <c r="Y65" i="2"/>
  <c r="Z65" i="2"/>
  <c r="AA65" i="2" s="1"/>
  <c r="AE65" i="2"/>
  <c r="AF65" i="2"/>
  <c r="AG65" i="2"/>
  <c r="AK65" i="2"/>
  <c r="AL65" i="2"/>
  <c r="AM65" i="2" s="1"/>
  <c r="AQ65" i="2"/>
  <c r="AR65" i="2"/>
  <c r="AS65" i="2"/>
  <c r="AT65" i="2"/>
  <c r="AU65" i="2"/>
  <c r="AV65" i="2"/>
  <c r="AW65" i="2" s="1"/>
  <c r="AX65" i="2" s="1"/>
  <c r="K66" i="2"/>
  <c r="L66" i="2"/>
  <c r="M66" i="2" s="1"/>
  <c r="S66" i="2"/>
  <c r="T66" i="2"/>
  <c r="U66" i="2"/>
  <c r="Y66" i="2"/>
  <c r="Z66" i="2"/>
  <c r="AA66" i="2" s="1"/>
  <c r="AE66" i="2"/>
  <c r="AF66" i="2"/>
  <c r="AG66" i="2" s="1"/>
  <c r="AK66" i="2"/>
  <c r="AL66" i="2"/>
  <c r="AM66" i="2"/>
  <c r="AQ66" i="2"/>
  <c r="AR66" i="2"/>
  <c r="AS66" i="2"/>
  <c r="AT66" i="2"/>
  <c r="AU66" i="2" s="1"/>
  <c r="AV66" i="2"/>
  <c r="AW66" i="2" s="1"/>
  <c r="AX66" i="2" s="1"/>
  <c r="K67" i="2"/>
  <c r="L67" i="2"/>
  <c r="M67" i="2" s="1"/>
  <c r="S67" i="2"/>
  <c r="T67" i="2"/>
  <c r="U67" i="2"/>
  <c r="Y67" i="2"/>
  <c r="Z67" i="2"/>
  <c r="AA67" i="2" s="1"/>
  <c r="AE67" i="2"/>
  <c r="AF67" i="2"/>
  <c r="AG67" i="2" s="1"/>
  <c r="AK67" i="2"/>
  <c r="AL67" i="2"/>
  <c r="AM67" i="2" s="1"/>
  <c r="AQ67" i="2"/>
  <c r="AR67" i="2"/>
  <c r="AS67" i="2"/>
  <c r="AT67" i="2"/>
  <c r="AU67" i="2" s="1"/>
  <c r="AV67" i="2"/>
  <c r="AW67" i="2" s="1"/>
  <c r="AX67" i="2" s="1"/>
  <c r="K68" i="2"/>
  <c r="L68" i="2"/>
  <c r="M68" i="2" s="1"/>
  <c r="S68" i="2"/>
  <c r="T68" i="2"/>
  <c r="U68" i="2" s="1"/>
  <c r="Y68" i="2"/>
  <c r="Z68" i="2"/>
  <c r="AA68" i="2"/>
  <c r="AE68" i="2"/>
  <c r="AF68" i="2"/>
  <c r="AG68" i="2" s="1"/>
  <c r="AK68" i="2"/>
  <c r="AL68" i="2"/>
  <c r="AM68" i="2" s="1"/>
  <c r="AQ68" i="2"/>
  <c r="AR68" i="2"/>
  <c r="AS68" i="2"/>
  <c r="AT68" i="2"/>
  <c r="AU68" i="2"/>
  <c r="AV68" i="2"/>
  <c r="AW68" i="2" s="1"/>
  <c r="AX68" i="2" s="1"/>
  <c r="AR10" i="2"/>
  <c r="AB10" i="2"/>
  <c r="L11" i="2"/>
  <c r="L10" i="2"/>
  <c r="AI7" i="2"/>
  <c r="AI5" i="2"/>
  <c r="S5" i="2"/>
  <c r="F7" i="2"/>
  <c r="F5" i="2"/>
  <c r="C70"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AS19" i="2"/>
  <c r="AR19" i="2"/>
  <c r="AQ19" i="2"/>
  <c r="AK19" i="2"/>
  <c r="AE19" i="2"/>
  <c r="Y19" i="2"/>
  <c r="S19" i="2"/>
  <c r="K19" i="2"/>
  <c r="C19" i="2"/>
  <c r="AK16" i="2"/>
  <c r="AE16" i="2"/>
  <c r="Y16" i="2"/>
  <c r="S16" i="2"/>
  <c r="K16" i="2"/>
  <c r="Z19" i="2" l="1"/>
  <c r="AA19" i="2" s="1"/>
  <c r="L19" i="2"/>
  <c r="M19" i="2" s="1"/>
  <c r="T19" i="2"/>
  <c r="U19" i="2" s="1"/>
  <c r="AF19" i="2"/>
  <c r="AG19" i="2" s="1"/>
  <c r="AL19" i="2"/>
  <c r="AM19" i="2" s="1"/>
  <c r="AT19" i="2"/>
  <c r="AU19" i="2" s="1"/>
  <c r="F90" i="5" l="1"/>
  <c r="F40" i="5"/>
  <c r="F74" i="5"/>
  <c r="F18" i="5"/>
  <c r="F59" i="5"/>
  <c r="F84" i="5"/>
  <c r="F112" i="5"/>
  <c r="AV19" i="2"/>
  <c r="AW19" i="2" s="1"/>
  <c r="F14" i="5" s="1"/>
  <c r="I14" i="5" s="1"/>
  <c r="F71" i="5"/>
  <c r="F107" i="5"/>
  <c r="F102" i="5"/>
  <c r="F75" i="5"/>
  <c r="F83" i="5"/>
  <c r="F110" i="5"/>
  <c r="F100" i="5"/>
  <c r="F96" i="5"/>
  <c r="F89" i="5"/>
  <c r="F97" i="5"/>
  <c r="F91" i="5"/>
  <c r="F104" i="5"/>
  <c r="F82" i="5"/>
  <c r="F99" i="5"/>
  <c r="F66" i="5"/>
  <c r="F103" i="5"/>
  <c r="I102" i="5" l="1"/>
  <c r="J102" i="5" s="1"/>
  <c r="I103" i="5"/>
  <c r="J103" i="5" s="1"/>
  <c r="I71" i="5"/>
  <c r="J71" i="5" s="1"/>
  <c r="I91" i="5"/>
  <c r="J91" i="5" s="1"/>
  <c r="I99" i="5"/>
  <c r="J99" i="5" s="1"/>
  <c r="I96" i="5"/>
  <c r="J96" i="5" s="1"/>
  <c r="I75" i="5"/>
  <c r="J75" i="5" s="1"/>
  <c r="I82" i="5"/>
  <c r="J82" i="5" s="1"/>
  <c r="I100" i="5"/>
  <c r="J100" i="5" s="1"/>
  <c r="I66" i="5"/>
  <c r="J66" i="5" s="1"/>
  <c r="I107" i="5"/>
  <c r="J107" i="5" s="1"/>
  <c r="I104" i="5"/>
  <c r="J104" i="5" s="1"/>
  <c r="I112" i="5"/>
  <c r="J112" i="5" s="1"/>
  <c r="I97" i="5"/>
  <c r="J97" i="5" s="1"/>
  <c r="I89" i="5"/>
  <c r="J89" i="5" s="1"/>
  <c r="I59" i="5"/>
  <c r="J59" i="5" s="1"/>
  <c r="I74" i="5"/>
  <c r="J74" i="5" s="1"/>
  <c r="I110" i="5"/>
  <c r="J110" i="5" s="1"/>
  <c r="I40" i="5"/>
  <c r="J40" i="5" s="1"/>
  <c r="I84" i="5"/>
  <c r="J84" i="5" s="1"/>
  <c r="I18" i="5"/>
  <c r="J18" i="5" s="1"/>
  <c r="I83" i="5"/>
  <c r="J83" i="5" s="1"/>
  <c r="I90" i="5"/>
  <c r="J90" i="5" s="1"/>
  <c r="F67" i="5"/>
  <c r="F85" i="5"/>
  <c r="F108" i="5"/>
  <c r="F81" i="5"/>
  <c r="F113" i="5"/>
  <c r="F111" i="5"/>
  <c r="F106" i="5"/>
  <c r="F80" i="5"/>
  <c r="F70" i="5"/>
  <c r="F76" i="5"/>
  <c r="F72" i="5"/>
  <c r="F86" i="5"/>
  <c r="F77" i="5"/>
  <c r="F79" i="5"/>
  <c r="F105" i="5"/>
  <c r="F95" i="5"/>
  <c r="F68" i="5"/>
  <c r="F69" i="5"/>
  <c r="F73" i="5"/>
  <c r="F57" i="5"/>
  <c r="F44" i="5"/>
  <c r="F31" i="5"/>
  <c r="F21" i="5"/>
  <c r="F24" i="5"/>
  <c r="F39" i="5"/>
  <c r="F17" i="5"/>
  <c r="F42" i="5"/>
  <c r="F60" i="5"/>
  <c r="F34" i="5"/>
  <c r="F23" i="5"/>
  <c r="F46" i="5"/>
  <c r="F62" i="5"/>
  <c r="F50" i="5"/>
  <c r="F35" i="5"/>
  <c r="F47" i="5"/>
  <c r="F36" i="5"/>
  <c r="F53" i="5"/>
  <c r="F16" i="5"/>
  <c r="F28" i="5"/>
  <c r="F27" i="5"/>
  <c r="F52" i="5"/>
  <c r="F37" i="5"/>
  <c r="F26" i="5"/>
  <c r="F30" i="5"/>
  <c r="F45" i="5"/>
  <c r="F22" i="5"/>
  <c r="F15" i="5"/>
  <c r="F25" i="5"/>
  <c r="F98" i="5"/>
  <c r="F87" i="5"/>
  <c r="J14" i="5"/>
  <c r="F109" i="5"/>
  <c r="F48" i="5"/>
  <c r="F88" i="5"/>
  <c r="F114" i="5"/>
  <c r="F94" i="5"/>
  <c r="F93" i="5"/>
  <c r="AX19" i="2"/>
  <c r="F101" i="5"/>
  <c r="F92" i="5"/>
  <c r="F78" i="5"/>
  <c r="F58" i="5"/>
  <c r="I87" i="5" l="1"/>
  <c r="J87" i="5" s="1"/>
  <c r="I78" i="5"/>
  <c r="J78" i="5" s="1"/>
  <c r="I22" i="5"/>
  <c r="J22" i="5" s="1"/>
  <c r="I16" i="5"/>
  <c r="J16" i="5" s="1"/>
  <c r="I53" i="5"/>
  <c r="J53" i="5" s="1"/>
  <c r="I86" i="5"/>
  <c r="J86" i="5" s="1"/>
  <c r="I101" i="5"/>
  <c r="J101" i="5" s="1"/>
  <c r="I93" i="5"/>
  <c r="J93" i="5" s="1"/>
  <c r="I39" i="5"/>
  <c r="J39" i="5" s="1"/>
  <c r="I92" i="5"/>
  <c r="J92" i="5" s="1"/>
  <c r="I72" i="5"/>
  <c r="J72" i="5" s="1"/>
  <c r="I35" i="5"/>
  <c r="J35" i="5" s="1"/>
  <c r="I57" i="5"/>
  <c r="J57" i="5" s="1"/>
  <c r="I50" i="5"/>
  <c r="J50" i="5" s="1"/>
  <c r="I94" i="5"/>
  <c r="J94" i="5" s="1"/>
  <c r="I114" i="5"/>
  <c r="J114" i="5" s="1"/>
  <c r="I106" i="5"/>
  <c r="J106" i="5" s="1"/>
  <c r="I17" i="5"/>
  <c r="J17" i="5" s="1"/>
  <c r="I77" i="5"/>
  <c r="J77" i="5" s="1"/>
  <c r="I25" i="5"/>
  <c r="J25" i="5" s="1"/>
  <c r="I21" i="5"/>
  <c r="J21" i="5" s="1"/>
  <c r="I30" i="5"/>
  <c r="J30" i="5" s="1"/>
  <c r="I88" i="5"/>
  <c r="J88" i="5" s="1"/>
  <c r="I79" i="5"/>
  <c r="J79" i="5" s="1"/>
  <c r="I24" i="5"/>
  <c r="J24" i="5" s="1"/>
  <c r="I47" i="5"/>
  <c r="J47" i="5" s="1"/>
  <c r="I44" i="5"/>
  <c r="J44" i="5" s="1"/>
  <c r="I62" i="5"/>
  <c r="J62" i="5" s="1"/>
  <c r="I46" i="5"/>
  <c r="J46" i="5" s="1"/>
  <c r="I23" i="5"/>
  <c r="J23" i="5" s="1"/>
  <c r="I69" i="5"/>
  <c r="J69" i="5" s="1"/>
  <c r="I52" i="5"/>
  <c r="J52" i="5" s="1"/>
  <c r="I68" i="5"/>
  <c r="J68" i="5" s="1"/>
  <c r="I113" i="5"/>
  <c r="J113" i="5" s="1"/>
  <c r="I58" i="5"/>
  <c r="J58" i="5" s="1"/>
  <c r="I98" i="5"/>
  <c r="J98" i="5" s="1"/>
  <c r="I31" i="5"/>
  <c r="J31" i="5" s="1"/>
  <c r="I45" i="5"/>
  <c r="J45" i="5" s="1"/>
  <c r="I80" i="5"/>
  <c r="J80" i="5" s="1"/>
  <c r="I73" i="5"/>
  <c r="J73" i="5" s="1"/>
  <c r="I34" i="5"/>
  <c r="J34" i="5" s="1"/>
  <c r="I27" i="5"/>
  <c r="J27" i="5" s="1"/>
  <c r="I60" i="5"/>
  <c r="J60" i="5" s="1"/>
  <c r="I95" i="5"/>
  <c r="J95" i="5" s="1"/>
  <c r="I81" i="5"/>
  <c r="J81" i="5" s="1"/>
  <c r="I85" i="5"/>
  <c r="J85" i="5" s="1"/>
  <c r="I67" i="5"/>
  <c r="J67" i="5" s="1"/>
  <c r="I36" i="5"/>
  <c r="J36" i="5" s="1"/>
  <c r="I15" i="5"/>
  <c r="J15" i="5" s="1"/>
  <c r="I76" i="5"/>
  <c r="J76" i="5" s="1"/>
  <c r="I70" i="5"/>
  <c r="J70" i="5" s="1"/>
  <c r="I26" i="5"/>
  <c r="J26" i="5" s="1"/>
  <c r="I37" i="5"/>
  <c r="J37" i="5" s="1"/>
  <c r="I111" i="5"/>
  <c r="J111" i="5" s="1"/>
  <c r="I48" i="5"/>
  <c r="J48" i="5" s="1"/>
  <c r="I109" i="5"/>
  <c r="J109" i="5" s="1"/>
  <c r="I28" i="5"/>
  <c r="J28" i="5" s="1"/>
  <c r="I42" i="5"/>
  <c r="J42" i="5" s="1"/>
  <c r="I105" i="5"/>
  <c r="J105" i="5" s="1"/>
  <c r="I108" i="5"/>
  <c r="J108" i="5" s="1"/>
  <c r="F29" i="5"/>
  <c r="F61" i="5"/>
  <c r="F41" i="5"/>
  <c r="F19" i="5"/>
  <c r="F49" i="5"/>
  <c r="F54" i="5"/>
  <c r="F33" i="5"/>
  <c r="F38" i="5"/>
  <c r="F51" i="5"/>
  <c r="F32" i="5"/>
  <c r="F43" i="5"/>
  <c r="F56" i="5"/>
  <c r="F20" i="5"/>
  <c r="F55" i="5"/>
  <c r="F63" i="5"/>
  <c r="F65" i="5"/>
  <c r="I56" i="5" l="1"/>
  <c r="J56" i="5" s="1"/>
  <c r="I49" i="5"/>
  <c r="J49" i="5" s="1"/>
  <c r="I54" i="5"/>
  <c r="J54" i="5" s="1"/>
  <c r="I41" i="5"/>
  <c r="J41" i="5" s="1"/>
  <c r="I43" i="5"/>
  <c r="J43" i="5" s="1"/>
  <c r="I32" i="5"/>
  <c r="J32" i="5" s="1"/>
  <c r="I51" i="5"/>
  <c r="J51" i="5" s="1"/>
  <c r="I65" i="5"/>
  <c r="J65" i="5" s="1"/>
  <c r="I63" i="5"/>
  <c r="J63" i="5" s="1"/>
  <c r="I61" i="5"/>
  <c r="J61" i="5" s="1"/>
  <c r="I38" i="5"/>
  <c r="J38" i="5" s="1"/>
  <c r="I33" i="5"/>
  <c r="J33" i="5" s="1"/>
  <c r="I19" i="5"/>
  <c r="J19" i="5" s="1"/>
  <c r="I55" i="5"/>
  <c r="J55" i="5" s="1"/>
  <c r="I20" i="5"/>
  <c r="J20" i="5" s="1"/>
  <c r="I29" i="5"/>
  <c r="J29" i="5" s="1"/>
</calcChain>
</file>

<file path=xl/sharedStrings.xml><?xml version="1.0" encoding="utf-8"?>
<sst xmlns="http://schemas.openxmlformats.org/spreadsheetml/2006/main" count="261" uniqueCount="79">
  <si>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</si>
  <si>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</si>
  <si>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</si>
  <si>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</si>
  <si>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</si>
  <si>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</si>
  <si>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</si>
  <si>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</si>
  <si>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</si>
  <si>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</si>
  <si>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</si>
  <si>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</si>
  <si>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</si>
  <si>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</si>
  <si>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</si>
  <si>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</si>
  <si>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</si>
  <si>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</si>
  <si>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</si>
  <si>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</si>
  <si>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</si>
  <si>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</si>
  <si>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</si>
  <si>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</si>
  <si>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</si>
  <si>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</si>
  <si>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</si>
  <si>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</si>
  <si>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COGNITIVE DOMAIN</t>
  </si>
  <si>
    <t>AFFECTIVE DOMAIN</t>
  </si>
  <si>
    <t>BEHAVIORAL DOMAIN</t>
  </si>
  <si>
    <t>Total</t>
  </si>
  <si>
    <t>PS</t>
  </si>
  <si>
    <t>WS</t>
  </si>
  <si>
    <t>ST1</t>
  </si>
  <si>
    <t>ST2</t>
  </si>
  <si>
    <t>TE</t>
  </si>
  <si>
    <t>WS ST1</t>
  </si>
  <si>
    <t>WS ST2</t>
  </si>
  <si>
    <t>WS TE</t>
  </si>
  <si>
    <t>HIGHEST POSSIBLE SCORE</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</si>
  <si>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</si>
  <si>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</si>
  <si>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</si>
  <si>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</si>
  <si>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</si>
  <si>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</si>
  <si>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</si>
  <si>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</si>
  <si>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</si>
  <si>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</si>
  <si>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</si>
  <si>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</si>
  <si>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</si>
  <si>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</si>
  <si>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</si>
  <si>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</si>
  <si>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</si>
  <si>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</si>
  <si>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</si>
  <si>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</si>
  <si>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</si>
  <si>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</si>
  <si>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</si>
  <si>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</si>
  <si>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</si>
  <si>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</si>
  <si>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SECOND TERM</t>
  </si>
  <si>
    <t>THIRD TERM</t>
  </si>
  <si>
    <r>
      <t xml:space="preserve">Sheet Protection Password: </t>
    </r>
    <r>
      <rPr>
        <b/>
        <sz val="12"/>
        <color rgb="FFFF0000"/>
        <rFont val="Arial"/>
        <family val="2"/>
      </rPr>
      <t>password123</t>
    </r>
  </si>
  <si>
    <t>\</t>
  </si>
  <si>
    <t>Region V</t>
  </si>
  <si>
    <t>Masbate</t>
  </si>
  <si>
    <t>Danao Elementary School</t>
  </si>
  <si>
    <t>2026-2027</t>
  </si>
  <si>
    <t>Joan D. Alcantara</t>
  </si>
  <si>
    <t>Ronel C. Ramos</t>
  </si>
  <si>
    <t>GMRC</t>
  </si>
  <si>
    <t>Gumamela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</si>
</sst>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scheme val="minor"/>
    </font>
    <font>
      <sz val="9"/>
      <color theme="1"/>
      <name val="Arial"/>
      <family val="2"/>
    </font>
    <font>
      <b/>
      <sz val="9"/>
      <color theme="1"/>
      <name val="Arial"/>
      <family val="2"/>
    </font>
    <font>
      <sz val="12"/>
      <color theme="1"/>
      <name val="Arial"/>
      <family val="2"/>
    </font>
    <font>
      <b/>
      <sz val="26"/>
      <color rgb="FF000000"/>
      <name val="Arial"/>
      <family val="2"/>
      <scheme val="minor"/>
    </font>
    <font>
      <b/>
      <sz val="10"/>
      <color rgb="FF000000"/>
      <name val="Arial"/>
      <family val="2"/>
      <scheme val="minor"/>
    </font>
    <font>
      <b/>
      <sz val="23"/>
      <color rgb="FF002060"/>
      <name val="Arial"/>
      <family val="2"/>
    </font>
    <font>
      <b/>
      <sz val="10"/>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bgColor indexed="64"/>
      </patternFill>
    </fill>
    <fill>
      <patternFill patternType="solid">
        <fgColor theme="0" tint="-0.14999847407452621"/>
        <bgColor indexed="64"/>
      </patternFill>
    </fill>
  </fills>
  <borders count="126">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right style="thin">
        <color rgb="FF000000"/>
      </right>
      <top style="thin">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indexed="64"/>
      </left>
      <right style="medium">
        <color auto="1"/>
      </right>
      <top style="medium">
        <color indexed="64"/>
      </top>
      <bottom style="medium">
        <color auto="1"/>
      </bottom>
      <diagonal/>
    </border>
    <border>
      <left/>
      <right style="medium">
        <color auto="1"/>
      </right>
      <top style="medium">
        <color indexed="64"/>
      </top>
      <bottom/>
      <diagonal/>
    </border>
    <border>
      <left style="medium">
        <color indexed="64"/>
      </left>
      <right/>
      <top/>
      <bottom style="medium">
        <color auto="1"/>
      </bottom>
      <diagonal/>
    </border>
    <border>
      <left style="medium">
        <color auto="1"/>
      </left>
      <right style="medium">
        <color auto="1"/>
      </right>
      <top/>
      <bottom style="medium">
        <color auto="1"/>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auto="1"/>
      </left>
      <right/>
      <top/>
      <bottom/>
      <diagonal/>
    </border>
    <border>
      <left style="medium">
        <color indexed="64"/>
      </left>
      <right/>
      <top style="medium">
        <color indexed="64"/>
      </top>
      <bottom style="medium">
        <color rgb="FF000000"/>
      </bottom>
      <diagonal/>
    </border>
    <border>
      <left style="medium">
        <color auto="1"/>
      </left>
      <right/>
      <top/>
      <bottom style="medium">
        <color rgb="FF000000"/>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s>
  <cellStyleXfs count="1">
    <xf numFmtId="0" fontId="0" fillId="0" borderId="33"/>
  </cellStyleXfs>
  <cellXfs count="325">
    <xf numFmtId="0" fontId="0" fillId="0" borderId="0" xfId="0" applyBorder="1"/>
    <xf numFmtId="0" fontId="2" fillId="0" borderId="0" xfId="0" applyFont="1" applyBorder="1" applyAlignment="1">
      <alignment vertical="center"/>
    </xf>
    <xf numFmtId="0" fontId="4" fillId="0" borderId="0" xfId="0" applyFont="1" applyBorder="1" applyAlignment="1">
      <alignment horizontal="right"/>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38" xfId="0" applyFont="1" applyBorder="1" applyAlignment="1">
      <alignment horizontal="center"/>
    </xf>
    <xf numFmtId="0" fontId="21" fillId="0" borderId="39" xfId="0" applyFont="1" applyBorder="1" applyAlignment="1">
      <alignment horizontal="center"/>
    </xf>
    <xf numFmtId="0" fontId="20" fillId="0" borderId="42" xfId="0" applyFont="1" applyBorder="1" applyAlignment="1">
      <alignment horizontal="center"/>
    </xf>
    <xf numFmtId="0" fontId="21" fillId="0" borderId="43"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5" xfId="0" applyFont="1" applyFill="1" applyBorder="1"/>
    <xf numFmtId="0" fontId="2" fillId="4" borderId="8" xfId="0" applyFont="1" applyFill="1" applyBorder="1"/>
    <xf numFmtId="0" fontId="2" fillId="4" borderId="46" xfId="0" applyFont="1" applyFill="1" applyBorder="1"/>
    <xf numFmtId="0" fontId="2" fillId="4" borderId="47" xfId="0" applyFont="1" applyFill="1" applyBorder="1"/>
    <xf numFmtId="0" fontId="2" fillId="4" borderId="48" xfId="0" applyFont="1" applyFill="1" applyBorder="1"/>
    <xf numFmtId="0" fontId="2" fillId="4" borderId="49" xfId="0" applyFont="1" applyFill="1" applyBorder="1"/>
    <xf numFmtId="0" fontId="3" fillId="0" borderId="0" xfId="0" applyFont="1" applyBorder="1"/>
    <xf numFmtId="0" fontId="2" fillId="8" borderId="21" xfId="0" applyFont="1" applyFill="1" applyBorder="1"/>
    <xf numFmtId="0" fontId="2" fillId="8" borderId="8" xfId="0" applyFont="1" applyFill="1" applyBorder="1"/>
    <xf numFmtId="0" fontId="29" fillId="0" borderId="33" xfId="0" applyFont="1"/>
    <xf numFmtId="0" fontId="4" fillId="0" borderId="33" xfId="0" applyFont="1" applyAlignment="1">
      <alignment horizontal="center"/>
    </xf>
    <xf numFmtId="2" fontId="20" fillId="0" borderId="53" xfId="0" applyNumberFormat="1" applyFont="1" applyBorder="1" applyAlignment="1">
      <alignment horizontal="center"/>
    </xf>
    <xf numFmtId="0" fontId="20" fillId="0" borderId="53" xfId="0" applyFont="1" applyBorder="1" applyAlignment="1">
      <alignment horizontal="center"/>
    </xf>
    <xf numFmtId="0" fontId="20" fillId="15" borderId="53" xfId="0" applyFont="1" applyFill="1" applyBorder="1" applyAlignment="1">
      <alignment horizontal="center"/>
    </xf>
    <xf numFmtId="2" fontId="20" fillId="0" borderId="54" xfId="0" applyNumberFormat="1" applyFont="1" applyBorder="1" applyAlignment="1">
      <alignment horizontal="center"/>
    </xf>
    <xf numFmtId="0" fontId="20" fillId="0" borderId="55" xfId="0" applyFont="1" applyBorder="1" applyAlignment="1">
      <alignment horizontal="center"/>
    </xf>
    <xf numFmtId="0" fontId="20" fillId="0" borderId="54" xfId="0" applyFont="1" applyBorder="1" applyAlignment="1">
      <alignment horizontal="center"/>
    </xf>
    <xf numFmtId="0" fontId="20" fillId="15" borderId="54" xfId="0" applyFont="1" applyFill="1" applyBorder="1" applyAlignment="1">
      <alignment horizontal="center"/>
    </xf>
    <xf numFmtId="0" fontId="20" fillId="15" borderId="55" xfId="0" applyFont="1" applyFill="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0" fontId="20" fillId="0" borderId="58" xfId="0" applyFont="1" applyBorder="1" applyAlignment="1">
      <alignment horizontal="center"/>
    </xf>
    <xf numFmtId="2" fontId="20" fillId="0" borderId="59" xfId="0" applyNumberFormat="1"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19" fillId="0" borderId="62" xfId="0" applyFont="1" applyBorder="1" applyAlignment="1">
      <alignment horizontal="center"/>
    </xf>
    <xf numFmtId="0" fontId="19" fillId="0" borderId="63" xfId="0" applyFont="1" applyBorder="1" applyAlignment="1">
      <alignment horizontal="center"/>
    </xf>
    <xf numFmtId="0" fontId="19" fillId="0" borderId="64" xfId="0" applyFont="1" applyBorder="1" applyAlignment="1">
      <alignment horizontal="center"/>
    </xf>
    <xf numFmtId="0" fontId="20" fillId="0" borderId="65" xfId="0" applyFont="1" applyBorder="1" applyAlignment="1">
      <alignment horizontal="center"/>
    </xf>
    <xf numFmtId="0" fontId="21"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xf>
    <xf numFmtId="0" fontId="19" fillId="0" borderId="69" xfId="0" applyFont="1" applyBorder="1" applyAlignment="1">
      <alignment horizontal="center" vertical="center" wrapText="1"/>
    </xf>
    <xf numFmtId="0" fontId="24" fillId="7" borderId="30" xfId="0" applyFont="1" applyFill="1" applyBorder="1" applyAlignment="1" applyProtection="1">
      <alignment horizontal="center" vertical="center"/>
      <protection hidden="1"/>
    </xf>
    <xf numFmtId="0" fontId="10" fillId="10" borderId="34" xfId="0" applyFont="1" applyFill="1" applyBorder="1" applyAlignment="1" applyProtection="1">
      <alignment horizontal="center"/>
      <protection locked="0"/>
    </xf>
    <xf numFmtId="0" fontId="10" fillId="10" borderId="36" xfId="0" applyFont="1" applyFill="1" applyBorder="1" applyAlignment="1" applyProtection="1">
      <alignment horizontal="center"/>
      <protection locked="0"/>
    </xf>
    <xf numFmtId="0" fontId="10" fillId="10" borderId="37" xfId="0" applyFont="1" applyFill="1" applyBorder="1" applyAlignment="1" applyProtection="1">
      <alignment horizontal="center"/>
      <protection locked="0"/>
    </xf>
    <xf numFmtId="0" fontId="10" fillId="12" borderId="36" xfId="0" applyFont="1" applyFill="1" applyBorder="1" applyAlignment="1" applyProtection="1">
      <alignment horizontal="center"/>
      <protection locked="0"/>
    </xf>
    <xf numFmtId="0" fontId="10" fillId="12" borderId="37"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8" fillId="5" borderId="6" xfId="0" applyFont="1" applyFill="1" applyBorder="1" applyAlignment="1">
      <alignment vertical="center"/>
    </xf>
    <xf numFmtId="1" fontId="24" fillId="7" borderId="30" xfId="0" applyNumberFormat="1" applyFont="1" applyFill="1" applyBorder="1" applyAlignment="1" applyProtection="1">
      <alignment horizontal="center" vertical="center"/>
      <protection hidden="1"/>
    </xf>
    <xf numFmtId="9" fontId="24" fillId="7" borderId="30" xfId="0" applyNumberFormat="1" applyFont="1" applyFill="1" applyBorder="1" applyAlignment="1" applyProtection="1">
      <alignment horizontal="center" vertical="center"/>
      <protection hidden="1"/>
    </xf>
    <xf numFmtId="1" fontId="24" fillId="7" borderId="26" xfId="0" applyNumberFormat="1" applyFont="1" applyFill="1" applyBorder="1" applyAlignment="1" applyProtection="1">
      <alignment horizontal="center" vertical="center"/>
      <protection hidden="1"/>
    </xf>
    <xf numFmtId="9" fontId="24" fillId="7" borderId="26" xfId="0" applyNumberFormat="1" applyFont="1" applyFill="1" applyBorder="1" applyAlignment="1" applyProtection="1">
      <alignment horizontal="center" vertical="center"/>
      <protection hidden="1"/>
    </xf>
    <xf numFmtId="0" fontId="24" fillId="6" borderId="14" xfId="0" applyFont="1" applyFill="1" applyBorder="1" applyAlignment="1" applyProtection="1">
      <alignment horizontal="center" vertical="center"/>
      <protection hidden="1"/>
    </xf>
    <xf numFmtId="0" fontId="24" fillId="6" borderId="16" xfId="0" applyFont="1" applyFill="1" applyBorder="1" applyAlignment="1" applyProtection="1">
      <alignment horizontal="center" vertical="center"/>
      <protection hidden="1"/>
    </xf>
    <xf numFmtId="0" fontId="24" fillId="7" borderId="18" xfId="0" applyFont="1" applyFill="1" applyBorder="1" applyAlignment="1" applyProtection="1">
      <alignment horizontal="center" vertical="center"/>
      <protection hidden="1"/>
    </xf>
    <xf numFmtId="0" fontId="24" fillId="7" borderId="14" xfId="0" applyFont="1" applyFill="1" applyBorder="1" applyAlignment="1" applyProtection="1">
      <alignment horizontal="center" vertical="center"/>
      <protection hidden="1"/>
    </xf>
    <xf numFmtId="0" fontId="24" fillId="7" borderId="16" xfId="0" applyFont="1" applyFill="1" applyBorder="1" applyAlignment="1" applyProtection="1">
      <alignment horizontal="center" vertical="center"/>
      <protection hidden="1"/>
    </xf>
    <xf numFmtId="0" fontId="24" fillId="7" borderId="19" xfId="0" applyFont="1" applyFill="1" applyBorder="1" applyAlignment="1" applyProtection="1">
      <alignment horizontal="center" vertical="center"/>
      <protection hidden="1"/>
    </xf>
    <xf numFmtId="0" fontId="10" fillId="0" borderId="17" xfId="0" applyFont="1" applyBorder="1" applyAlignment="1" applyProtection="1">
      <alignment horizontal="right" vertical="center"/>
      <protection hidden="1"/>
    </xf>
    <xf numFmtId="0" fontId="0" fillId="0" borderId="33" xfId="0"/>
    <xf numFmtId="0" fontId="31" fillId="0" borderId="33" xfId="0" applyFont="1" applyAlignment="1">
      <alignment horizontal="center" vertical="center"/>
    </xf>
    <xf numFmtId="0" fontId="31" fillId="0" borderId="33" xfId="0" applyFont="1"/>
    <xf numFmtId="0" fontId="24" fillId="7" borderId="20" xfId="0" applyFont="1" applyFill="1" applyBorder="1" applyAlignment="1" applyProtection="1">
      <alignment horizontal="center" vertical="center"/>
      <protection hidden="1"/>
    </xf>
    <xf numFmtId="0" fontId="24" fillId="7" borderId="22" xfId="0" applyFont="1" applyFill="1" applyBorder="1" applyAlignment="1" applyProtection="1">
      <alignment horizontal="center" vertical="center"/>
      <protection hidden="1"/>
    </xf>
    <xf numFmtId="0" fontId="24" fillId="7" borderId="29" xfId="0" applyFont="1" applyFill="1" applyBorder="1" applyAlignment="1" applyProtection="1">
      <alignment horizontal="center" vertical="center"/>
      <protection hidden="1"/>
    </xf>
    <xf numFmtId="0" fontId="10" fillId="10" borderId="14" xfId="0" applyFont="1" applyFill="1" applyBorder="1" applyAlignment="1" applyProtection="1">
      <alignment horizontal="center"/>
      <protection locked="0"/>
    </xf>
    <xf numFmtId="0" fontId="3" fillId="0" borderId="0" xfId="0" applyFont="1" applyBorder="1" applyProtection="1">
      <protection locked="0"/>
    </xf>
    <xf numFmtId="0" fontId="3" fillId="0" borderId="0" xfId="0" applyFont="1" applyBorder="1" applyAlignment="1" applyProtection="1">
      <alignment horizontal="center" vertical="center"/>
      <protection locked="0"/>
    </xf>
    <xf numFmtId="0" fontId="7"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4" fillId="0" borderId="0" xfId="0" applyFont="1" applyBorder="1" applyAlignment="1" applyProtection="1">
      <alignment horizontal="right"/>
      <protection hidden="1"/>
    </xf>
    <xf numFmtId="0" fontId="2" fillId="0" borderId="0" xfId="0" applyFont="1" applyBorder="1" applyProtection="1">
      <protection hidden="1"/>
    </xf>
    <xf numFmtId="0" fontId="4" fillId="0" borderId="0" xfId="0" applyFont="1" applyBorder="1" applyAlignment="1" applyProtection="1">
      <alignment horizontal="right" vertical="center"/>
      <protection hidden="1"/>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24" fillId="6" borderId="35" xfId="0" applyFont="1" applyFill="1" applyBorder="1" applyAlignment="1" applyProtection="1">
      <alignment horizontal="center" vertical="center"/>
      <protection hidden="1"/>
    </xf>
    <xf numFmtId="0" fontId="10" fillId="0" borderId="10" xfId="0" applyFont="1" applyBorder="1" applyAlignment="1" applyProtection="1">
      <alignment horizontal="right" vertical="center"/>
      <protection hidden="1"/>
    </xf>
    <xf numFmtId="0" fontId="10" fillId="0" borderId="75" xfId="0" applyFont="1" applyBorder="1" applyAlignment="1" applyProtection="1">
      <alignment horizontal="center" vertical="center"/>
      <protection hidden="1"/>
    </xf>
    <xf numFmtId="0" fontId="25" fillId="19" borderId="77" xfId="0" applyFont="1" applyFill="1" applyBorder="1" applyAlignment="1" applyProtection="1">
      <alignment horizontal="center" vertical="center"/>
      <protection hidden="1"/>
    </xf>
    <xf numFmtId="0" fontId="25" fillId="0" borderId="78" xfId="0" applyFont="1" applyBorder="1" applyAlignment="1" applyProtection="1">
      <alignment horizontal="center" vertical="center"/>
      <protection locked="0"/>
    </xf>
    <xf numFmtId="0" fontId="2" fillId="19" borderId="79" xfId="0" applyFont="1" applyFill="1" applyBorder="1" applyAlignment="1" applyProtection="1">
      <alignment horizontal="center" vertical="center"/>
      <protection hidden="1"/>
    </xf>
    <xf numFmtId="0" fontId="25" fillId="19" borderId="80" xfId="0" applyFont="1" applyFill="1" applyBorder="1" applyAlignment="1" applyProtection="1">
      <alignment horizontal="center" vertical="center"/>
      <protection hidden="1"/>
    </xf>
    <xf numFmtId="0" fontId="25" fillId="0" borderId="81" xfId="0" applyFont="1" applyBorder="1" applyAlignment="1" applyProtection="1">
      <alignment horizontal="center" vertical="center"/>
      <protection locked="0"/>
    </xf>
    <xf numFmtId="0" fontId="25" fillId="19" borderId="82" xfId="0" applyFont="1" applyFill="1" applyBorder="1" applyAlignment="1" applyProtection="1">
      <alignment horizontal="center" vertical="center"/>
      <protection hidden="1"/>
    </xf>
    <xf numFmtId="0" fontId="25" fillId="0" borderId="83" xfId="0" applyFont="1" applyBorder="1" applyAlignment="1" applyProtection="1">
      <alignment horizontal="center" vertical="center"/>
      <protection locked="0"/>
    </xf>
    <xf numFmtId="0" fontId="10" fillId="12" borderId="70" xfId="0" applyFont="1" applyFill="1" applyBorder="1" applyAlignment="1" applyProtection="1">
      <alignment horizontal="center"/>
      <protection locked="0"/>
    </xf>
    <xf numFmtId="0" fontId="10" fillId="12" borderId="72" xfId="0" applyFont="1" applyFill="1" applyBorder="1" applyAlignment="1" applyProtection="1">
      <alignment horizontal="center"/>
      <protection locked="0"/>
    </xf>
    <xf numFmtId="0" fontId="10" fillId="12" borderId="84" xfId="0" applyFont="1" applyFill="1" applyBorder="1" applyAlignment="1" applyProtection="1">
      <alignment horizontal="center"/>
      <protection locked="0"/>
    </xf>
    <xf numFmtId="0" fontId="10" fillId="12" borderId="73" xfId="0" applyFont="1" applyFill="1" applyBorder="1" applyAlignment="1" applyProtection="1">
      <alignment horizontal="center"/>
      <protection locked="0"/>
    </xf>
    <xf numFmtId="0" fontId="2" fillId="19" borderId="85" xfId="0" applyFont="1" applyFill="1" applyBorder="1" applyAlignment="1" applyProtection="1">
      <alignment horizontal="center" vertical="center"/>
      <protection hidden="1"/>
    </xf>
    <xf numFmtId="0" fontId="2" fillId="19" borderId="86" xfId="0" applyFont="1" applyFill="1" applyBorder="1" applyAlignment="1" applyProtection="1">
      <alignment horizontal="center" vertical="center"/>
      <protection hidden="1"/>
    </xf>
    <xf numFmtId="0" fontId="2" fillId="19" borderId="87" xfId="0" applyFont="1" applyFill="1" applyBorder="1" applyAlignment="1" applyProtection="1">
      <alignment horizontal="center" vertical="center"/>
      <protection hidden="1"/>
    </xf>
    <xf numFmtId="0" fontId="2" fillId="19" borderId="88" xfId="0" applyFont="1" applyFill="1" applyBorder="1" applyAlignment="1" applyProtection="1">
      <alignment horizontal="center" vertical="center"/>
      <protection hidden="1"/>
    </xf>
    <xf numFmtId="0" fontId="2" fillId="19" borderId="89" xfId="0" applyFont="1" applyFill="1" applyBorder="1" applyAlignment="1" applyProtection="1">
      <alignment horizontal="center" vertical="center"/>
      <protection hidden="1"/>
    </xf>
    <xf numFmtId="0" fontId="25" fillId="19" borderId="90" xfId="0" applyFont="1" applyFill="1" applyBorder="1" applyAlignment="1" applyProtection="1">
      <alignment horizontal="center" vertical="center"/>
      <protection hidden="1"/>
    </xf>
    <xf numFmtId="0" fontId="25" fillId="0" borderId="91"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 fillId="19" borderId="92"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5" fillId="0" borderId="94" xfId="0" applyFont="1" applyBorder="1" applyAlignment="1" applyProtection="1">
      <alignment horizontal="center" vertical="center"/>
      <protection locked="0"/>
    </xf>
    <xf numFmtId="0" fontId="27" fillId="0" borderId="95" xfId="0" applyFont="1" applyBorder="1" applyAlignment="1" applyProtection="1">
      <alignment horizontal="center" vertical="center"/>
      <protection locked="0"/>
    </xf>
    <xf numFmtId="0" fontId="27" fillId="0" borderId="96" xfId="0" applyFont="1" applyBorder="1" applyAlignment="1" applyProtection="1">
      <alignment horizontal="center" vertical="center"/>
      <protection locked="0"/>
    </xf>
    <xf numFmtId="0" fontId="27" fillId="0" borderId="97" xfId="0" applyFont="1" applyBorder="1" applyAlignment="1" applyProtection="1">
      <alignment horizontal="center" vertical="center"/>
      <protection locked="0"/>
    </xf>
    <xf numFmtId="0" fontId="27" fillId="0" borderId="98" xfId="0" applyFont="1" applyBorder="1" applyAlignment="1" applyProtection="1">
      <alignment horizontal="center" vertical="center"/>
      <protection locked="0"/>
    </xf>
    <xf numFmtId="0" fontId="27" fillId="0" borderId="99" xfId="0" applyFont="1" applyBorder="1" applyAlignment="1" applyProtection="1">
      <alignment horizontal="center" vertical="center"/>
      <protection locked="0"/>
    </xf>
    <xf numFmtId="0" fontId="27" fillId="0" borderId="100" xfId="0" applyFont="1" applyBorder="1" applyAlignment="1" applyProtection="1">
      <alignment horizontal="center" vertical="center"/>
      <protection locked="0"/>
    </xf>
    <xf numFmtId="0" fontId="24" fillId="6" borderId="34" xfId="0" applyFont="1" applyFill="1" applyBorder="1" applyAlignment="1" applyProtection="1">
      <alignment horizontal="center" vertical="center"/>
      <protection hidden="1"/>
    </xf>
    <xf numFmtId="0" fontId="24" fillId="6" borderId="102" xfId="0" applyFont="1" applyFill="1" applyBorder="1" applyAlignment="1" applyProtection="1">
      <alignment horizontal="center" vertical="center"/>
      <protection hidden="1"/>
    </xf>
    <xf numFmtId="0" fontId="24" fillId="6" borderId="31" xfId="0" applyFont="1" applyFill="1" applyBorder="1" applyAlignment="1" applyProtection="1">
      <alignment horizontal="center" vertical="center"/>
      <protection hidden="1"/>
    </xf>
    <xf numFmtId="0" fontId="24" fillId="7" borderId="103" xfId="0" applyFont="1" applyFill="1" applyBorder="1" applyAlignment="1" applyProtection="1">
      <alignment horizontal="center" vertical="center"/>
      <protection hidden="1"/>
    </xf>
    <xf numFmtId="0" fontId="1" fillId="22" borderId="33" xfId="0" applyFont="1" applyFill="1" applyProtection="1">
      <protection hidden="1"/>
    </xf>
    <xf numFmtId="0" fontId="0" fillId="0" borderId="33" xfId="0" applyProtection="1">
      <protection locked="0"/>
    </xf>
    <xf numFmtId="0" fontId="1" fillId="0" borderId="33" xfId="0" applyFont="1" applyProtection="1">
      <protection hidden="1"/>
    </xf>
    <xf numFmtId="0" fontId="2" fillId="0" borderId="33" xfId="0" applyFont="1" applyProtection="1">
      <protection hidden="1"/>
    </xf>
    <xf numFmtId="0" fontId="4" fillId="0" borderId="33" xfId="0" applyFont="1" applyAlignment="1" applyProtection="1">
      <alignment horizontal="right"/>
      <protection hidden="1"/>
    </xf>
    <xf numFmtId="0" fontId="29" fillId="0" borderId="33" xfId="0" applyFont="1" applyProtection="1">
      <protection hidden="1"/>
    </xf>
    <xf numFmtId="0" fontId="29" fillId="0" borderId="33" xfId="0" applyFont="1" applyAlignment="1" applyProtection="1">
      <alignment horizontal="center"/>
      <protection hidden="1"/>
    </xf>
    <xf numFmtId="0" fontId="1" fillId="0" borderId="33" xfId="0" applyFont="1" applyAlignment="1" applyProtection="1">
      <alignment horizontal="center"/>
      <protection hidden="1"/>
    </xf>
    <xf numFmtId="0" fontId="2" fillId="0" borderId="33" xfId="0" applyFont="1" applyProtection="1">
      <protection locked="0"/>
    </xf>
    <xf numFmtId="0" fontId="8" fillId="5" borderId="28" xfId="0" applyFont="1" applyFill="1" applyBorder="1" applyAlignment="1">
      <alignment horizontal="left"/>
    </xf>
    <xf numFmtId="0" fontId="2" fillId="0" borderId="0" xfId="0" applyFont="1" applyBorder="1" applyProtection="1">
      <protection locked="0"/>
    </xf>
    <xf numFmtId="0" fontId="0" fillId="0" borderId="0" xfId="0" applyBorder="1" applyProtection="1">
      <protection locked="0"/>
    </xf>
    <xf numFmtId="0" fontId="1" fillId="19" borderId="33" xfId="0" applyFont="1" applyFill="1" applyAlignment="1" applyProtection="1">
      <alignment vertical="center"/>
      <protection hidden="1"/>
    </xf>
    <xf numFmtId="0" fontId="1" fillId="19" borderId="8" xfId="0" applyFont="1" applyFill="1" applyBorder="1" applyAlignment="1" applyProtection="1">
      <alignment vertical="center"/>
      <protection hidden="1"/>
    </xf>
    <xf numFmtId="0" fontId="2" fillId="0" borderId="0" xfId="0" applyFont="1" applyBorder="1"/>
    <xf numFmtId="0" fontId="0" fillId="0" borderId="0" xfId="0" applyBorder="1"/>
    <xf numFmtId="0" fontId="31" fillId="0" borderId="33" xfId="0" applyFont="1" applyAlignment="1">
      <alignment horizontal="center"/>
    </xf>
    <xf numFmtId="0" fontId="1" fillId="0" borderId="33" xfId="0" applyFont="1"/>
    <xf numFmtId="0" fontId="28" fillId="7" borderId="95" xfId="0" applyFont="1" applyFill="1" applyBorder="1" applyAlignment="1" applyProtection="1">
      <alignment horizontal="center" vertical="center"/>
      <protection hidden="1"/>
    </xf>
    <xf numFmtId="0" fontId="27" fillId="0" borderId="111" xfId="0" applyFont="1" applyBorder="1" applyAlignment="1" applyProtection="1">
      <alignment horizontal="center" vertical="center"/>
      <protection locked="0"/>
    </xf>
    <xf numFmtId="0" fontId="27" fillId="0" borderId="112" xfId="0" applyFont="1" applyBorder="1" applyAlignment="1" applyProtection="1">
      <alignment horizontal="center" vertical="center"/>
      <protection locked="0"/>
    </xf>
    <xf numFmtId="0" fontId="27" fillId="0" borderId="113" xfId="0" applyFont="1" applyBorder="1" applyAlignment="1" applyProtection="1">
      <alignment horizontal="center" vertical="center"/>
      <protection locked="0"/>
    </xf>
    <xf numFmtId="0" fontId="28" fillId="7" borderId="88" xfId="0" applyFont="1" applyFill="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96" xfId="0" applyFont="1" applyFill="1" applyBorder="1" applyAlignment="1" applyProtection="1">
      <alignment horizontal="center" vertical="center"/>
      <protection hidden="1"/>
    </xf>
    <xf numFmtId="0" fontId="28" fillId="7" borderId="97"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111" xfId="0" applyFont="1" applyFill="1" applyBorder="1" applyAlignment="1" applyProtection="1">
      <alignment horizontal="center" vertical="center"/>
      <protection hidden="1"/>
    </xf>
    <xf numFmtId="0" fontId="28" fillId="7" borderId="112" xfId="0" applyFont="1" applyFill="1" applyBorder="1" applyAlignment="1" applyProtection="1">
      <alignment horizontal="center" vertical="center"/>
      <protection hidden="1"/>
    </xf>
    <xf numFmtId="2" fontId="28" fillId="5" borderId="88" xfId="0" applyNumberFormat="1" applyFont="1" applyFill="1" applyBorder="1" applyAlignment="1" applyProtection="1">
      <alignment horizontal="center" vertical="center"/>
      <protection hidden="1"/>
    </xf>
    <xf numFmtId="2" fontId="28" fillId="5" borderId="89" xfId="0" applyNumberFormat="1" applyFont="1" applyFill="1" applyBorder="1" applyAlignment="1" applyProtection="1">
      <alignment horizontal="center" vertical="center"/>
      <protection hidden="1"/>
    </xf>
    <xf numFmtId="2" fontId="28" fillId="5" borderId="79" xfId="0" applyNumberFormat="1" applyFont="1" applyFill="1" applyBorder="1" applyAlignment="1" applyProtection="1">
      <alignment horizontal="center" vertical="center"/>
      <protection hidden="1"/>
    </xf>
    <xf numFmtId="1" fontId="25" fillId="0" borderId="88" xfId="0" applyNumberFormat="1" applyFont="1" applyBorder="1" applyAlignment="1" applyProtection="1">
      <alignment horizontal="center" vertical="center"/>
      <protection hidden="1"/>
    </xf>
    <xf numFmtId="1" fontId="25" fillId="0" borderId="89" xfId="0" applyNumberFormat="1" applyFont="1" applyBorder="1" applyAlignment="1" applyProtection="1">
      <alignment horizontal="center" vertical="center"/>
      <protection hidden="1"/>
    </xf>
    <xf numFmtId="1" fontId="25" fillId="0" borderId="79" xfId="0" applyNumberFormat="1" applyFont="1" applyBorder="1" applyAlignment="1" applyProtection="1">
      <alignment horizontal="center" vertical="center"/>
      <protection hidden="1"/>
    </xf>
    <xf numFmtId="0" fontId="25" fillId="0" borderId="88" xfId="0" applyFont="1" applyBorder="1" applyAlignment="1" applyProtection="1">
      <alignment horizontal="center" vertical="center"/>
      <protection hidden="1"/>
    </xf>
    <xf numFmtId="0" fontId="25" fillId="0" borderId="89" xfId="0" applyFont="1" applyBorder="1" applyAlignment="1" applyProtection="1">
      <alignment horizontal="center" vertical="center"/>
      <protection hidden="1"/>
    </xf>
    <xf numFmtId="0" fontId="25" fillId="0" borderId="79" xfId="0" applyFont="1" applyBorder="1" applyAlignment="1" applyProtection="1">
      <alignment horizontal="center" vertical="center"/>
      <protection hidden="1"/>
    </xf>
    <xf numFmtId="0" fontId="28" fillId="7" borderId="85" xfId="0" applyFont="1" applyFill="1" applyBorder="1" applyAlignment="1" applyProtection="1">
      <alignment horizontal="center" vertical="center"/>
      <protection hidden="1"/>
    </xf>
    <xf numFmtId="0" fontId="28" fillId="7" borderId="86"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0" fillId="0" borderId="0" xfId="0" applyBorder="1" applyProtection="1">
      <protection locked="0"/>
    </xf>
    <xf numFmtId="0" fontId="2" fillId="0" borderId="33" xfId="0" applyFont="1" applyProtection="1">
      <protection locked="0"/>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2" fontId="28" fillId="7" borderId="88" xfId="0" applyNumberFormat="1" applyFont="1" applyFill="1" applyBorder="1" applyAlignment="1" applyProtection="1">
      <alignment horizontal="center" vertical="center"/>
      <protection hidden="1"/>
    </xf>
    <xf numFmtId="2" fontId="28" fillId="7" borderId="89" xfId="0" applyNumberFormat="1" applyFont="1" applyFill="1" applyBorder="1" applyAlignment="1" applyProtection="1">
      <alignment horizontal="center" vertical="center"/>
      <protection hidden="1"/>
    </xf>
    <xf numFmtId="2" fontId="28" fillId="7" borderId="79" xfId="0" applyNumberFormat="1" applyFont="1" applyFill="1" applyBorder="1" applyAlignment="1" applyProtection="1">
      <alignment horizontal="center" vertical="center"/>
      <protection hidden="1"/>
    </xf>
    <xf numFmtId="0" fontId="28" fillId="7" borderId="120" xfId="0" applyFont="1" applyFill="1" applyBorder="1" applyAlignment="1" applyProtection="1">
      <alignment horizontal="center" vertical="center"/>
      <protection hidden="1"/>
    </xf>
    <xf numFmtId="0" fontId="28" fillId="7" borderId="121" xfId="0" applyFont="1" applyFill="1" applyBorder="1" applyAlignment="1" applyProtection="1">
      <alignment horizontal="center" vertical="center"/>
      <protection hidden="1"/>
    </xf>
    <xf numFmtId="0" fontId="28" fillId="7" borderId="122" xfId="0" applyFont="1" applyFill="1" applyBorder="1" applyAlignment="1" applyProtection="1">
      <alignment horizontal="center" vertical="center"/>
      <protection hidden="1"/>
    </xf>
    <xf numFmtId="1" fontId="25" fillId="19" borderId="88" xfId="0" applyNumberFormat="1" applyFont="1" applyFill="1" applyBorder="1" applyAlignment="1" applyProtection="1">
      <alignment horizontal="center" vertical="center"/>
      <protection hidden="1"/>
    </xf>
    <xf numFmtId="1" fontId="25" fillId="19" borderId="89" xfId="0" applyNumberFormat="1" applyFont="1" applyFill="1" applyBorder="1" applyAlignment="1" applyProtection="1">
      <alignment horizontal="center" vertical="center"/>
      <protection hidden="1"/>
    </xf>
    <xf numFmtId="1" fontId="25" fillId="19" borderId="79" xfId="0" applyNumberFormat="1" applyFont="1" applyFill="1" applyBorder="1" applyAlignment="1" applyProtection="1">
      <alignment horizontal="center" vertical="center"/>
      <protection hidden="1"/>
    </xf>
    <xf numFmtId="1" fontId="25" fillId="19" borderId="124" xfId="0" applyNumberFormat="1" applyFont="1" applyFill="1" applyBorder="1" applyAlignment="1" applyProtection="1">
      <alignment horizontal="center" vertical="center"/>
      <protection hidden="1"/>
    </xf>
    <xf numFmtId="1" fontId="25" fillId="19" borderId="125" xfId="0" applyNumberFormat="1" applyFont="1" applyFill="1" applyBorder="1" applyAlignment="1" applyProtection="1">
      <alignment horizontal="center" vertical="center"/>
      <protection hidden="1"/>
    </xf>
    <xf numFmtId="1" fontId="25" fillId="19" borderId="107" xfId="0" applyNumberFormat="1" applyFont="1" applyFill="1" applyBorder="1" applyAlignment="1" applyProtection="1">
      <alignment horizontal="center" vertical="center"/>
      <protection hidden="1"/>
    </xf>
    <xf numFmtId="0" fontId="8" fillId="21" borderId="5" xfId="0" applyFont="1" applyFill="1" applyBorder="1" applyAlignment="1">
      <alignment horizontal="left"/>
    </xf>
    <xf numFmtId="0" fontId="0" fillId="0" borderId="5" xfId="0" applyBorder="1"/>
    <xf numFmtId="0" fontId="8" fillId="5" borderId="5" xfId="0" applyFont="1" applyFill="1" applyBorder="1" applyAlignment="1">
      <alignment horizontal="left"/>
    </xf>
    <xf numFmtId="0" fontId="4" fillId="23" borderId="115" xfId="0" applyFont="1" applyFill="1" applyBorder="1" applyAlignment="1">
      <alignment horizontal="center" vertical="center"/>
    </xf>
    <xf numFmtId="0" fontId="4" fillId="23" borderId="101" xfId="0" applyFont="1" applyFill="1" applyBorder="1" applyAlignment="1">
      <alignment horizontal="center" vertical="center"/>
    </xf>
    <xf numFmtId="0" fontId="4" fillId="23" borderId="105" xfId="0" applyFont="1" applyFill="1" applyBorder="1" applyAlignment="1">
      <alignment horizontal="center" vertical="center"/>
    </xf>
    <xf numFmtId="0" fontId="4" fillId="23" borderId="117" xfId="0" applyFont="1" applyFill="1" applyBorder="1" applyAlignment="1">
      <alignment horizontal="center" vertical="center"/>
    </xf>
    <xf numFmtId="0" fontId="4" fillId="23" borderId="33" xfId="0" applyFont="1" applyFill="1" applyAlignment="1">
      <alignment horizontal="center" vertical="center"/>
    </xf>
    <xf numFmtId="0" fontId="4" fillId="23" borderId="123" xfId="0" applyFont="1" applyFill="1" applyBorder="1" applyAlignment="1">
      <alignment horizontal="center" vertical="center"/>
    </xf>
    <xf numFmtId="0" fontId="4" fillId="23" borderId="106" xfId="0" applyFont="1" applyFill="1" applyBorder="1" applyAlignment="1">
      <alignment horizontal="center" vertical="center"/>
    </xf>
    <xf numFmtId="0" fontId="4" fillId="23" borderId="48" xfId="0" applyFont="1" applyFill="1" applyBorder="1" applyAlignment="1">
      <alignment horizontal="center" vertical="center"/>
    </xf>
    <xf numFmtId="0" fontId="4" fillId="23" borderId="49" xfId="0" applyFont="1" applyFill="1" applyBorder="1" applyAlignment="1">
      <alignment horizontal="center" vertical="center"/>
    </xf>
    <xf numFmtId="0" fontId="32" fillId="2" borderId="33" xfId="0" applyFont="1" applyFill="1" applyAlignment="1">
      <alignment horizontal="center" vertical="center"/>
    </xf>
    <xf numFmtId="0" fontId="0" fillId="0" borderId="0" xfId="0" applyBorder="1"/>
    <xf numFmtId="0" fontId="5" fillId="3" borderId="6" xfId="0" applyFont="1" applyFill="1" applyBorder="1" applyAlignment="1">
      <alignment horizontal="center"/>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12" fillId="8" borderId="33" xfId="0" applyFont="1" applyFill="1" applyAlignment="1">
      <alignment horizontal="left" vertical="center" wrapText="1"/>
    </xf>
    <xf numFmtId="0" fontId="10" fillId="19" borderId="104" xfId="0" applyFont="1" applyFill="1" applyBorder="1" applyAlignment="1" applyProtection="1">
      <alignment horizontal="center" vertical="center" wrapText="1"/>
      <protection hidden="1"/>
    </xf>
    <xf numFmtId="0" fontId="0" fillId="0" borderId="101" xfId="0" applyBorder="1" applyProtection="1">
      <protection hidden="1"/>
    </xf>
    <xf numFmtId="0" fontId="0" fillId="0" borderId="105" xfId="0" applyBorder="1" applyProtection="1">
      <protection hidden="1"/>
    </xf>
    <xf numFmtId="0" fontId="0" fillId="0" borderId="106" xfId="0" applyBorder="1" applyProtection="1">
      <protection hidden="1"/>
    </xf>
    <xf numFmtId="0" fontId="0" fillId="0" borderId="48" xfId="0" applyBorder="1" applyProtection="1">
      <protection hidden="1"/>
    </xf>
    <xf numFmtId="0" fontId="0" fillId="0" borderId="49" xfId="0" applyBorder="1" applyProtection="1">
      <protection hidden="1"/>
    </xf>
    <xf numFmtId="0" fontId="8" fillId="19" borderId="32" xfId="0" applyFont="1" applyFill="1" applyBorder="1" applyProtection="1">
      <protection hidden="1"/>
    </xf>
    <xf numFmtId="0" fontId="0" fillId="0" borderId="32"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8" fillId="19" borderId="32" xfId="0" applyFont="1" applyFill="1" applyBorder="1" applyAlignment="1" applyProtection="1">
      <alignment horizontal="left" vertical="center"/>
      <protection hidden="1"/>
    </xf>
    <xf numFmtId="0" fontId="22" fillId="16" borderId="75" xfId="0" applyFont="1" applyFill="1" applyBorder="1" applyAlignment="1" applyProtection="1">
      <alignment horizontal="center"/>
      <protection locked="0"/>
    </xf>
    <xf numFmtId="0" fontId="0" fillId="0" borderId="51" xfId="0" applyBorder="1" applyProtection="1">
      <protection locked="0"/>
    </xf>
    <xf numFmtId="0" fontId="0" fillId="0" borderId="52" xfId="0" applyBorder="1" applyProtection="1">
      <protection locked="0"/>
    </xf>
    <xf numFmtId="0" fontId="10" fillId="19" borderId="17" xfId="0" applyFont="1" applyFill="1" applyBorder="1" applyAlignment="1" applyProtection="1">
      <alignment horizontal="center" vertical="center" wrapText="1"/>
      <protection hidden="1"/>
    </xf>
    <xf numFmtId="0" fontId="0" fillId="0" borderId="12" xfId="0" applyBorder="1" applyProtection="1">
      <protection hidden="1"/>
    </xf>
    <xf numFmtId="0" fontId="0" fillId="0" borderId="30" xfId="0" applyBorder="1" applyProtection="1">
      <protection hidden="1"/>
    </xf>
    <xf numFmtId="0" fontId="10" fillId="0" borderId="118" xfId="0" applyFont="1" applyFill="1" applyBorder="1" applyAlignment="1" applyProtection="1">
      <alignment horizontal="center" vertical="center"/>
      <protection hidden="1"/>
    </xf>
    <xf numFmtId="0" fontId="0" fillId="0" borderId="105" xfId="0" applyFill="1" applyBorder="1" applyProtection="1">
      <protection hidden="1"/>
    </xf>
    <xf numFmtId="0" fontId="0" fillId="0" borderId="106" xfId="0" applyFill="1" applyBorder="1" applyProtection="1">
      <protection hidden="1"/>
    </xf>
    <xf numFmtId="0" fontId="0" fillId="0" borderId="49" xfId="0" applyFill="1" applyBorder="1" applyProtection="1">
      <protection hidden="1"/>
    </xf>
    <xf numFmtId="0" fontId="10" fillId="0" borderId="114" xfId="0" applyFont="1" applyFill="1" applyBorder="1" applyAlignment="1" applyProtection="1">
      <alignment horizontal="left" vertical="center"/>
      <protection hidden="1"/>
    </xf>
    <xf numFmtId="0" fontId="10" fillId="0" borderId="51" xfId="0" applyFont="1" applyFill="1" applyBorder="1" applyAlignment="1" applyProtection="1">
      <alignment horizontal="left" vertical="center"/>
      <protection hidden="1"/>
    </xf>
    <xf numFmtId="0" fontId="10" fillId="0" borderId="52" xfId="0" applyFont="1" applyFill="1" applyBorder="1" applyAlignment="1" applyProtection="1">
      <alignment horizontal="left" vertical="center"/>
      <protection hidden="1"/>
    </xf>
    <xf numFmtId="0" fontId="8" fillId="20" borderId="115" xfId="0" applyFont="1" applyFill="1" applyBorder="1" applyAlignment="1" applyProtection="1">
      <alignment horizontal="center" vertical="center"/>
      <protection hidden="1"/>
    </xf>
    <xf numFmtId="0" fontId="8" fillId="20" borderId="101" xfId="0" applyFont="1" applyFill="1" applyBorder="1" applyAlignment="1" applyProtection="1">
      <alignment horizontal="center" vertical="center"/>
      <protection hidden="1"/>
    </xf>
    <xf numFmtId="0" fontId="8" fillId="20" borderId="106" xfId="0" applyFont="1" applyFill="1" applyBorder="1" applyAlignment="1" applyProtection="1">
      <alignment horizontal="center" vertical="center"/>
      <protection hidden="1"/>
    </xf>
    <xf numFmtId="0" fontId="8" fillId="20" borderId="48" xfId="0" applyFont="1" applyFill="1" applyBorder="1" applyAlignment="1" applyProtection="1">
      <alignment horizontal="center" vertical="center"/>
      <protection hidden="1"/>
    </xf>
    <xf numFmtId="0" fontId="10" fillId="0" borderId="115" xfId="0" applyFont="1" applyFill="1" applyBorder="1" applyAlignment="1" applyProtection="1">
      <alignment horizontal="right" vertical="center"/>
      <protection hidden="1"/>
    </xf>
    <xf numFmtId="0" fontId="10" fillId="0" borderId="101" xfId="0" applyFont="1" applyFill="1" applyBorder="1" applyAlignment="1" applyProtection="1">
      <alignment horizontal="right" vertical="center"/>
      <protection hidden="1"/>
    </xf>
    <xf numFmtId="0" fontId="10" fillId="0" borderId="105" xfId="0" applyFont="1" applyFill="1" applyBorder="1" applyAlignment="1" applyProtection="1">
      <alignment horizontal="right" vertical="center"/>
      <protection hidden="1"/>
    </xf>
    <xf numFmtId="0" fontId="10" fillId="0" borderId="106" xfId="0" applyFont="1" applyFill="1" applyBorder="1" applyAlignment="1" applyProtection="1">
      <alignment horizontal="right" vertical="center"/>
      <protection hidden="1"/>
    </xf>
    <xf numFmtId="0" fontId="10" fillId="0" borderId="48" xfId="0" applyFont="1" applyFill="1" applyBorder="1" applyAlignment="1" applyProtection="1">
      <alignment horizontal="right" vertical="center"/>
      <protection hidden="1"/>
    </xf>
    <xf numFmtId="0" fontId="10" fillId="0" borderId="49" xfId="0" applyFont="1" applyFill="1" applyBorder="1" applyAlignment="1" applyProtection="1">
      <alignment horizontal="right" vertical="center"/>
      <protection hidden="1"/>
    </xf>
    <xf numFmtId="0" fontId="8" fillId="20" borderId="117" xfId="0" applyFont="1" applyFill="1" applyBorder="1" applyAlignment="1" applyProtection="1">
      <alignment horizontal="center" vertical="center"/>
      <protection hidden="1"/>
    </xf>
    <xf numFmtId="0" fontId="8" fillId="20" borderId="33" xfId="0" applyFont="1" applyFill="1" applyBorder="1" applyAlignment="1" applyProtection="1">
      <alignment horizontal="center" vertical="center"/>
      <protection hidden="1"/>
    </xf>
    <xf numFmtId="0" fontId="8" fillId="20" borderId="116" xfId="0" applyFont="1" applyFill="1" applyBorder="1" applyAlignment="1" applyProtection="1">
      <alignment horizontal="center" vertical="center"/>
      <protection hidden="1"/>
    </xf>
    <xf numFmtId="0" fontId="8" fillId="20" borderId="119" xfId="0" applyFont="1" applyFill="1" applyBorder="1" applyAlignment="1" applyProtection="1">
      <alignment horizontal="center" vertical="center"/>
      <protection hidden="1"/>
    </xf>
    <xf numFmtId="0" fontId="8" fillId="20" borderId="13" xfId="0" applyFont="1" applyFill="1" applyBorder="1" applyAlignment="1" applyProtection="1">
      <alignment horizontal="center" vertical="center"/>
      <protection hidden="1"/>
    </xf>
    <xf numFmtId="0" fontId="8" fillId="20" borderId="15" xfId="0" applyFont="1" applyFill="1" applyBorder="1" applyAlignment="1" applyProtection="1">
      <alignment horizontal="center" vertical="center"/>
      <protection hidden="1"/>
    </xf>
    <xf numFmtId="0" fontId="10" fillId="19" borderId="104" xfId="0" applyFont="1" applyFill="1" applyBorder="1" applyAlignment="1" applyProtection="1">
      <alignment horizontal="center" vertical="center"/>
      <protection hidden="1"/>
    </xf>
    <xf numFmtId="0" fontId="29" fillId="19" borderId="75" xfId="0" applyFont="1" applyFill="1" applyBorder="1" applyAlignment="1" applyProtection="1">
      <alignment horizontal="center"/>
      <protection hidden="1"/>
    </xf>
    <xf numFmtId="0" fontId="0" fillId="0" borderId="51" xfId="0" applyBorder="1" applyProtection="1">
      <protection hidden="1"/>
    </xf>
    <xf numFmtId="0" fontId="0" fillId="0" borderId="52" xfId="0" applyBorder="1" applyProtection="1">
      <protection hidden="1"/>
    </xf>
    <xf numFmtId="0" fontId="33" fillId="19" borderId="107" xfId="0" applyFont="1" applyFill="1" applyBorder="1" applyAlignment="1" applyProtection="1">
      <alignment horizontal="center" vertical="center"/>
      <protection hidden="1"/>
    </xf>
    <xf numFmtId="0" fontId="10" fillId="19" borderId="107" xfId="0" applyFont="1" applyFill="1" applyBorder="1" applyAlignment="1" applyProtection="1">
      <alignment horizontal="center" vertical="center"/>
      <protection hidden="1"/>
    </xf>
    <xf numFmtId="0" fontId="5" fillId="17" borderId="17" xfId="0" applyFont="1" applyFill="1" applyBorder="1" applyProtection="1">
      <protection locked="0"/>
    </xf>
    <xf numFmtId="0" fontId="0" fillId="0" borderId="7" xfId="0" applyBorder="1" applyProtection="1">
      <protection locked="0"/>
    </xf>
    <xf numFmtId="0" fontId="0" fillId="0" borderId="4" xfId="0" applyBorder="1" applyProtection="1">
      <protection locked="0"/>
    </xf>
    <xf numFmtId="0" fontId="11" fillId="19" borderId="17" xfId="0" applyFont="1" applyFill="1" applyBorder="1" applyAlignment="1" applyProtection="1">
      <alignment horizontal="right"/>
      <protection hidden="1"/>
    </xf>
    <xf numFmtId="0" fontId="0" fillId="0" borderId="7" xfId="0" applyBorder="1" applyProtection="1">
      <protection hidden="1"/>
    </xf>
    <xf numFmtId="0" fontId="0" fillId="0" borderId="4" xfId="0" applyBorder="1" applyProtection="1">
      <protection hidden="1"/>
    </xf>
    <xf numFmtId="0" fontId="8" fillId="19" borderId="71" xfId="0" applyFont="1" applyFill="1" applyBorder="1" applyAlignment="1" applyProtection="1">
      <alignment horizontal="left"/>
      <protection hidden="1"/>
    </xf>
    <xf numFmtId="0" fontId="8" fillId="19" borderId="76" xfId="0" applyFont="1" applyFill="1" applyBorder="1" applyAlignment="1" applyProtection="1">
      <alignment horizontal="left"/>
      <protection hidden="1"/>
    </xf>
    <xf numFmtId="0" fontId="9" fillId="19" borderId="12" xfId="0" applyFont="1" applyFill="1" applyBorder="1" applyAlignment="1" applyProtection="1">
      <alignment horizontal="center" vertical="center"/>
      <protection hidden="1"/>
    </xf>
    <xf numFmtId="0" fontId="0" fillId="0" borderId="0" xfId="0" applyBorder="1" applyProtection="1">
      <protection hidden="1"/>
    </xf>
    <xf numFmtId="0" fontId="0" fillId="0" borderId="33" xfId="0" applyBorder="1" applyProtection="1">
      <protection hidden="1"/>
    </xf>
    <xf numFmtId="0" fontId="0" fillId="0" borderId="21" xfId="0" applyBorder="1" applyProtection="1">
      <protection hidden="1"/>
    </xf>
    <xf numFmtId="0" fontId="0" fillId="0" borderId="8" xfId="0" applyBorder="1" applyProtection="1">
      <protection hidden="1"/>
    </xf>
    <xf numFmtId="0" fontId="2" fillId="0" borderId="33" xfId="0" applyFont="1" applyProtection="1">
      <protection locked="0"/>
    </xf>
    <xf numFmtId="0" fontId="0" fillId="0" borderId="0" xfId="0" applyBorder="1" applyProtection="1">
      <protection locked="0"/>
    </xf>
    <xf numFmtId="0" fontId="5" fillId="9" borderId="10" xfId="0" applyFont="1" applyFill="1" applyBorder="1" applyProtection="1">
      <protection locked="0"/>
    </xf>
    <xf numFmtId="0" fontId="0" fillId="0" borderId="1" xfId="0" applyBorder="1" applyProtection="1">
      <protection locked="0"/>
    </xf>
    <xf numFmtId="0" fontId="0" fillId="0" borderId="33" xfId="0" applyBorder="1" applyProtection="1">
      <protection locked="0"/>
    </xf>
    <xf numFmtId="0" fontId="0" fillId="0" borderId="8" xfId="0" applyBorder="1" applyProtection="1">
      <protection locked="0"/>
    </xf>
    <xf numFmtId="0" fontId="8" fillId="19" borderId="74" xfId="0" applyFont="1" applyFill="1" applyBorder="1" applyAlignment="1" applyProtection="1">
      <alignment horizontal="left"/>
      <protection hidden="1"/>
    </xf>
    <xf numFmtId="0" fontId="0" fillId="0" borderId="108" xfId="0" applyBorder="1" applyProtection="1">
      <protection hidden="1"/>
    </xf>
    <xf numFmtId="0" fontId="26" fillId="0" borderId="33" xfId="0" applyFont="1" applyAlignment="1" applyProtection="1">
      <alignment horizontal="center"/>
      <protection locked="0"/>
    </xf>
    <xf numFmtId="0" fontId="5" fillId="9" borderId="17" xfId="0" applyFont="1" applyFill="1" applyBorder="1" applyProtection="1">
      <protection locked="0"/>
    </xf>
    <xf numFmtId="0" fontId="0" fillId="0" borderId="2" xfId="0" applyBorder="1" applyProtection="1">
      <protection locked="0"/>
    </xf>
    <xf numFmtId="0" fontId="10" fillId="19" borderId="4" xfId="0" applyFont="1" applyFill="1" applyBorder="1" applyAlignment="1" applyProtection="1">
      <alignment horizontal="center" vertical="center" wrapText="1"/>
      <protection hidden="1"/>
    </xf>
    <xf numFmtId="0" fontId="0" fillId="0" borderId="1" xfId="0" applyBorder="1" applyProtection="1">
      <protection hidden="1"/>
    </xf>
    <xf numFmtId="0" fontId="0" fillId="0" borderId="2" xfId="0" applyBorder="1" applyProtection="1">
      <protection hidden="1"/>
    </xf>
    <xf numFmtId="0" fontId="0" fillId="0" borderId="13" xfId="0" applyBorder="1" applyProtection="1">
      <protection hidden="1"/>
    </xf>
    <xf numFmtId="0" fontId="0" fillId="0" borderId="15" xfId="0" applyBorder="1" applyProtection="1">
      <protection hidden="1"/>
    </xf>
    <xf numFmtId="0" fontId="8" fillId="19" borderId="32" xfId="0" applyFont="1" applyFill="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0" fillId="0" borderId="11" xfId="0" applyBorder="1" applyProtection="1">
      <protection hidden="1"/>
    </xf>
    <xf numFmtId="0" fontId="10" fillId="0" borderId="17" xfId="0" applyFont="1" applyBorder="1" applyAlignment="1" applyProtection="1">
      <alignment horizontal="center" vertical="center"/>
      <protection hidden="1"/>
    </xf>
    <xf numFmtId="0" fontId="23" fillId="18" borderId="13" xfId="0" applyFont="1" applyFill="1" applyBorder="1" applyAlignment="1">
      <alignment horizontal="center"/>
    </xf>
    <xf numFmtId="0" fontId="0" fillId="0" borderId="13" xfId="0" applyBorder="1"/>
    <xf numFmtId="0" fontId="10" fillId="0" borderId="75" xfId="0" applyFont="1" applyBorder="1" applyAlignment="1" applyProtection="1">
      <alignment horizontal="center" vertical="center"/>
      <protection hidden="1"/>
    </xf>
    <xf numFmtId="0" fontId="5" fillId="11" borderId="17" xfId="0" applyFont="1" applyFill="1" applyBorder="1"/>
    <xf numFmtId="0" fontId="0" fillId="0" borderId="7" xfId="0" applyBorder="1"/>
    <xf numFmtId="0" fontId="0" fillId="0" borderId="4" xfId="0" applyBorder="1"/>
    <xf numFmtId="0" fontId="10" fillId="0" borderId="4" xfId="0" applyFont="1" applyBorder="1" applyAlignment="1" applyProtection="1">
      <alignment horizontal="center" vertical="center"/>
      <protection hidden="1"/>
    </xf>
    <xf numFmtId="0" fontId="8" fillId="20" borderId="17" xfId="0" applyFont="1" applyFill="1" applyBorder="1" applyAlignment="1" applyProtection="1">
      <alignment horizontal="center" vertical="center"/>
      <protection hidden="1"/>
    </xf>
    <xf numFmtId="0" fontId="8" fillId="19" borderId="17"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0" xfId="0" applyBorder="1" applyProtection="1">
      <protection hidden="1"/>
    </xf>
    <xf numFmtId="0" fontId="8" fillId="19" borderId="33" xfId="0" applyFont="1" applyFill="1" applyAlignment="1" applyProtection="1">
      <alignment vertical="center"/>
      <protection hidden="1"/>
    </xf>
    <xf numFmtId="0" fontId="31" fillId="0" borderId="33" xfId="0" applyFont="1" applyAlignment="1">
      <alignment horizontal="center"/>
    </xf>
    <xf numFmtId="0" fontId="30" fillId="0" borderId="33" xfId="0" applyFont="1" applyAlignment="1">
      <alignment horizontal="center"/>
    </xf>
    <xf numFmtId="0" fontId="2" fillId="0" borderId="33" xfId="0" applyFont="1"/>
    <xf numFmtId="0" fontId="8" fillId="19" borderId="4" xfId="0" applyFont="1" applyFill="1" applyBorder="1" applyAlignment="1" applyProtection="1">
      <alignment horizontal="center" vertical="center"/>
      <protection hidden="1"/>
    </xf>
    <xf numFmtId="0" fontId="10" fillId="0" borderId="17" xfId="0" applyFont="1" applyBorder="1" applyAlignment="1" applyProtection="1">
      <alignment vertical="center"/>
      <protection hidden="1"/>
    </xf>
    <xf numFmtId="0" fontId="5" fillId="11" borderId="75" xfId="0" applyFont="1" applyFill="1" applyBorder="1" applyProtection="1">
      <protection locked="0"/>
    </xf>
    <xf numFmtId="0" fontId="0" fillId="0" borderId="48" xfId="0" applyBorder="1" applyProtection="1">
      <protection locked="0"/>
    </xf>
    <xf numFmtId="0" fontId="17" fillId="0" borderId="110" xfId="0" applyFont="1" applyBorder="1" applyAlignment="1">
      <alignment horizontal="center" vertical="center" wrapText="1"/>
    </xf>
    <xf numFmtId="0" fontId="0" fillId="0" borderId="40" xfId="0" applyBorder="1"/>
    <xf numFmtId="0" fontId="0" fillId="0" borderId="44" xfId="0" applyBorder="1"/>
    <xf numFmtId="0" fontId="17" fillId="0" borderId="109" xfId="0" applyFont="1" applyBorder="1" applyAlignment="1">
      <alignment horizontal="center" vertical="center" wrapText="1"/>
    </xf>
    <xf numFmtId="0" fontId="0" fillId="0" borderId="41" xfId="0" applyBorder="1"/>
    <xf numFmtId="0" fontId="18" fillId="13" borderId="33" xfId="0" applyFont="1" applyFill="1" applyAlignment="1">
      <alignment horizontal="center"/>
    </xf>
    <xf numFmtId="0" fontId="17" fillId="0" borderId="41"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a:ln>
          <a:prstDash val="solid"/>
        </a:ln>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233EEDF7-9629-44BA-B3E7-B6F550687F2F}"/>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AA591C45-EEF5-4A77-A49B-A647FD48A207}"/>
            </a:ext>
          </a:extLst>
        </xdr:cNvPr>
        <xdr:cNvPicPr preferRelativeResize="0"/>
      </xdr:nvPicPr>
      <xdr:blipFill>
        <a:blip xmlns:r="http://schemas.openxmlformats.org/officeDocument/2006/relationships" r:embed="rId2" cstate="print"/>
        <a:stretch>
          <a:fillRect/>
        </a:stretch>
      </xdr:blipFill>
      <xdr:spPr>
        <a:xfrm>
          <a:off x="17840325" y="283845"/>
          <a:ext cx="1624641" cy="821055"/>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5EC2299-E98E-4EAF-8C5E-83FB600C820A}"/>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90DADF70-A14D-439B-BE5D-C837AA716396}"/>
            </a:ext>
          </a:extLst>
        </xdr:cNvPr>
        <xdr:cNvPicPr preferRelativeResize="0"/>
      </xdr:nvPicPr>
      <xdr:blipFill>
        <a:blip xmlns:r="http://schemas.openxmlformats.org/officeDocument/2006/relationships" r:embed="rId2" cstate="print"/>
        <a:stretch>
          <a:fillRect/>
        </a:stretch>
      </xdr:blipFill>
      <xdr:spPr>
        <a:xfrm>
          <a:off x="17840325" y="283845"/>
          <a:ext cx="1624641" cy="821055"/>
        </a:xfrm>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a:ln>
          <a:prstDash val="solid"/>
        </a:ln>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9" activePane="bottomLeft" state="frozen"/>
      <selection pane="bottomLeft" activeCell="E27" sqref="E27"/>
    </sheetView>
  </sheetViews>
  <sheetFormatPr defaultColWidth="12.6328125" defaultRowHeight="15.75" customHeight="1" x14ac:dyDescent="0.25"/>
  <cols>
    <col min="1" max="2" width="3.90625" style="152" customWidth="1"/>
    <col min="3" max="3" width="19.6328125" style="152" customWidth="1"/>
    <col min="4" max="4" width="2.08984375" style="152" customWidth="1"/>
    <col min="5" max="5" width="18.90625" style="152" customWidth="1"/>
    <col min="6" max="6" width="30.36328125" style="152" customWidth="1"/>
    <col min="7" max="10" width="3.90625" style="152" customWidth="1"/>
    <col min="11" max="11" width="37.6328125" style="152" customWidth="1"/>
    <col min="12" max="13" width="3.90625" style="152" customWidth="1"/>
    <col min="14" max="14" width="37.6328125" style="152" customWidth="1"/>
    <col min="15" max="16" width="3.90625" style="152" customWidth="1"/>
  </cols>
  <sheetData>
    <row r="1" spans="1:17" ht="13.25" customHeight="1" x14ac:dyDescent="0.25">
      <c r="A1" s="208" t="s">
        <v>0</v>
      </c>
      <c r="B1" s="209"/>
      <c r="C1" s="209"/>
      <c r="D1" s="209"/>
      <c r="E1" s="209"/>
      <c r="F1" s="209"/>
      <c r="G1" s="209"/>
      <c r="H1" s="209"/>
      <c r="I1" s="209"/>
      <c r="J1" s="209"/>
      <c r="K1" s="209"/>
      <c r="L1" s="209"/>
      <c r="M1" s="209"/>
      <c r="N1" s="209"/>
      <c r="O1" s="209"/>
      <c r="P1" s="209"/>
      <c r="Q1" s="151"/>
    </row>
    <row r="2" spans="1:17" ht="13.25" customHeight="1" x14ac:dyDescent="0.25">
      <c r="A2" s="209"/>
      <c r="B2" s="209"/>
      <c r="C2" s="209"/>
      <c r="D2" s="209"/>
      <c r="E2" s="209"/>
      <c r="F2" s="209"/>
      <c r="G2" s="209"/>
      <c r="H2" s="209"/>
      <c r="I2" s="209"/>
      <c r="J2" s="209"/>
      <c r="K2" s="209"/>
      <c r="L2" s="209"/>
      <c r="M2" s="209"/>
      <c r="N2" s="209"/>
      <c r="O2" s="209"/>
      <c r="P2" s="209"/>
      <c r="Q2" s="151"/>
    </row>
    <row r="3" spans="1:17" ht="13.25" customHeight="1" x14ac:dyDescent="0.25">
      <c r="A3" s="209"/>
      <c r="B3" s="209"/>
      <c r="C3" s="209"/>
      <c r="D3" s="209"/>
      <c r="E3" s="209"/>
      <c r="F3" s="209"/>
      <c r="G3" s="209"/>
      <c r="H3" s="209"/>
      <c r="I3" s="209"/>
      <c r="J3" s="209"/>
      <c r="K3" s="209"/>
      <c r="L3" s="209"/>
      <c r="M3" s="209"/>
      <c r="N3" s="209"/>
      <c r="O3" s="209"/>
      <c r="P3" s="209"/>
      <c r="Q3" s="151"/>
    </row>
    <row r="4" spans="1:17" ht="13.25" customHeight="1" x14ac:dyDescent="0.25">
      <c r="A4" s="209"/>
      <c r="B4" s="209"/>
      <c r="C4" s="209"/>
      <c r="D4" s="209"/>
      <c r="E4" s="209"/>
      <c r="F4" s="209"/>
      <c r="G4" s="209"/>
      <c r="H4" s="209"/>
      <c r="I4" s="209"/>
      <c r="J4" s="209"/>
      <c r="K4" s="209"/>
      <c r="L4" s="209"/>
      <c r="M4" s="209"/>
      <c r="N4" s="209"/>
      <c r="O4" s="209"/>
      <c r="P4" s="209"/>
      <c r="Q4" s="151"/>
    </row>
    <row r="5" spans="1:17" ht="13.25" customHeight="1" x14ac:dyDescent="0.25">
      <c r="A5" s="209"/>
      <c r="B5" s="209"/>
      <c r="C5" s="209"/>
      <c r="D5" s="209"/>
      <c r="E5" s="209"/>
      <c r="F5" s="209"/>
      <c r="G5" s="209"/>
      <c r="H5" s="209"/>
      <c r="I5" s="209"/>
      <c r="J5" s="209"/>
      <c r="K5" s="209"/>
      <c r="L5" s="209"/>
      <c r="M5" s="209"/>
      <c r="N5" s="209"/>
      <c r="O5" s="209"/>
      <c r="P5" s="209"/>
      <c r="Q5" s="151"/>
    </row>
    <row r="6" spans="1:17" ht="13.25" customHeight="1" x14ac:dyDescent="0.25">
      <c r="A6" s="1"/>
      <c r="B6" s="1"/>
      <c r="C6" s="1"/>
      <c r="D6" s="1"/>
      <c r="E6" s="1"/>
      <c r="F6" s="1"/>
      <c r="G6" s="1"/>
      <c r="H6" s="1"/>
      <c r="I6" s="1"/>
      <c r="J6" s="1"/>
      <c r="K6" s="1"/>
      <c r="L6" s="1"/>
      <c r="M6" s="1"/>
      <c r="N6" s="1"/>
      <c r="O6" s="1"/>
      <c r="P6" s="1"/>
      <c r="Q6" s="151"/>
    </row>
    <row r="7" spans="1:17" ht="15.75" customHeight="1" x14ac:dyDescent="0.25">
      <c r="A7" s="1"/>
      <c r="B7" s="213" t="s">
        <v>1</v>
      </c>
      <c r="C7" s="214"/>
      <c r="D7" s="214"/>
      <c r="E7" s="214"/>
      <c r="F7" s="214"/>
      <c r="G7" s="215"/>
      <c r="H7" s="1"/>
      <c r="I7" s="213" t="s">
        <v>2</v>
      </c>
      <c r="J7" s="214"/>
      <c r="K7" s="214"/>
      <c r="L7" s="214"/>
      <c r="M7" s="214"/>
      <c r="N7" s="214"/>
      <c r="O7" s="215"/>
      <c r="P7" s="1"/>
      <c r="Q7" s="151"/>
    </row>
    <row r="8" spans="1:17" ht="15.75" customHeight="1" x14ac:dyDescent="0.25">
      <c r="A8" s="1"/>
      <c r="B8" s="216"/>
      <c r="C8" s="209"/>
      <c r="D8" s="209"/>
      <c r="E8" s="209"/>
      <c r="F8" s="209"/>
      <c r="G8" s="217"/>
      <c r="H8" s="1"/>
      <c r="I8" s="216"/>
      <c r="J8" s="209"/>
      <c r="K8" s="209"/>
      <c r="L8" s="209"/>
      <c r="M8" s="209"/>
      <c r="N8" s="209"/>
      <c r="O8" s="217"/>
      <c r="P8" s="1"/>
      <c r="Q8" s="151"/>
    </row>
    <row r="9" spans="1:17" ht="13.25" customHeight="1" x14ac:dyDescent="0.25">
      <c r="A9" s="151"/>
      <c r="B9" s="7"/>
      <c r="C9" s="14"/>
      <c r="D9" s="14"/>
      <c r="E9" s="14"/>
      <c r="F9" s="14"/>
      <c r="G9" s="31"/>
      <c r="H9" s="151"/>
      <c r="I9" s="7"/>
      <c r="J9" s="14"/>
      <c r="K9" s="14"/>
      <c r="L9" s="14"/>
      <c r="M9" s="14"/>
      <c r="N9" s="14"/>
      <c r="O9" s="31"/>
      <c r="P9" s="151"/>
      <c r="Q9" s="151"/>
    </row>
    <row r="10" spans="1:17" ht="13.75" customHeight="1" x14ac:dyDescent="0.3">
      <c r="A10" s="151"/>
      <c r="B10" s="7"/>
      <c r="C10" s="10" t="s">
        <v>3</v>
      </c>
      <c r="D10" s="11" t="s">
        <v>4</v>
      </c>
      <c r="E10" s="196" t="s">
        <v>71</v>
      </c>
      <c r="F10" s="197"/>
      <c r="G10" s="31"/>
      <c r="H10" s="151"/>
      <c r="I10" s="7"/>
      <c r="J10" s="210" t="s">
        <v>5</v>
      </c>
      <c r="K10" s="197"/>
      <c r="L10" s="14"/>
      <c r="M10" s="210" t="s">
        <v>6</v>
      </c>
      <c r="N10" s="197"/>
      <c r="O10" s="31"/>
      <c r="P10" s="151"/>
      <c r="Q10" s="151"/>
    </row>
    <row r="11" spans="1:17" ht="13.75" customHeight="1" x14ac:dyDescent="0.3">
      <c r="A11" s="151"/>
      <c r="B11" s="7"/>
      <c r="C11" s="10" t="s">
        <v>7</v>
      </c>
      <c r="D11" s="11" t="s">
        <v>4</v>
      </c>
      <c r="E11" s="146" t="s">
        <v>72</v>
      </c>
      <c r="F11" s="3"/>
      <c r="G11" s="31"/>
      <c r="H11" s="151"/>
      <c r="I11" s="7"/>
      <c r="J11" s="29">
        <v>1</v>
      </c>
      <c r="K11" s="70"/>
      <c r="L11" s="14"/>
      <c r="M11" s="29">
        <v>1</v>
      </c>
      <c r="N11" s="70"/>
      <c r="O11" s="31"/>
      <c r="P11" s="151"/>
      <c r="Q11" s="151"/>
    </row>
    <row r="12" spans="1:17" ht="13.75" customHeight="1" x14ac:dyDescent="0.25">
      <c r="A12" s="151"/>
      <c r="B12" s="7"/>
      <c r="C12" s="14"/>
      <c r="D12" s="14"/>
      <c r="E12" s="96"/>
      <c r="F12" s="96"/>
      <c r="G12" s="31"/>
      <c r="H12" s="151"/>
      <c r="I12" s="7"/>
      <c r="J12" s="29">
        <v>2</v>
      </c>
      <c r="K12" s="70"/>
      <c r="L12" s="14"/>
      <c r="M12" s="29">
        <v>2</v>
      </c>
      <c r="N12" s="70"/>
      <c r="O12" s="31"/>
      <c r="P12" s="151"/>
      <c r="Q12" s="151"/>
    </row>
    <row r="13" spans="1:17" ht="13.75" customHeight="1" x14ac:dyDescent="0.3">
      <c r="A13" s="151"/>
      <c r="B13" s="7"/>
      <c r="C13" s="97" t="s">
        <v>8</v>
      </c>
      <c r="D13" s="98" t="s">
        <v>4</v>
      </c>
      <c r="E13" s="198">
        <v>113481</v>
      </c>
      <c r="F13" s="197"/>
      <c r="G13" s="31"/>
      <c r="H13" s="151"/>
      <c r="I13" s="7"/>
      <c r="J13" s="29">
        <v>3</v>
      </c>
      <c r="K13" s="70"/>
      <c r="L13" s="14"/>
      <c r="M13" s="29">
        <v>3</v>
      </c>
      <c r="N13" s="70"/>
      <c r="O13" s="31"/>
      <c r="P13" s="151"/>
      <c r="Q13" s="151"/>
    </row>
    <row r="14" spans="1:17" ht="13.75" customHeight="1" x14ac:dyDescent="0.25">
      <c r="A14" s="151"/>
      <c r="B14" s="7"/>
      <c r="C14" s="99" t="s">
        <v>9</v>
      </c>
      <c r="D14" s="100" t="s">
        <v>4</v>
      </c>
      <c r="E14" s="211" t="s">
        <v>73</v>
      </c>
      <c r="F14" s="212"/>
      <c r="G14" s="31"/>
      <c r="H14" s="151"/>
      <c r="I14" s="7"/>
      <c r="J14" s="29">
        <v>4</v>
      </c>
      <c r="K14" s="70"/>
      <c r="L14" s="14"/>
      <c r="M14" s="29">
        <v>4</v>
      </c>
      <c r="N14" s="70"/>
      <c r="O14" s="31"/>
      <c r="P14" s="151"/>
      <c r="Q14" s="151"/>
    </row>
    <row r="15" spans="1:17" ht="13.75" customHeight="1" x14ac:dyDescent="0.3">
      <c r="A15" s="151"/>
      <c r="B15" s="7"/>
      <c r="C15" s="97" t="s">
        <v>10</v>
      </c>
      <c r="D15" s="98" t="s">
        <v>4</v>
      </c>
      <c r="E15" s="196" t="s">
        <v>74</v>
      </c>
      <c r="F15" s="197"/>
      <c r="G15" s="31"/>
      <c r="H15" s="151"/>
      <c r="I15" s="7"/>
      <c r="J15" s="29">
        <v>5</v>
      </c>
      <c r="K15" s="70"/>
      <c r="L15" s="14"/>
      <c r="M15" s="29">
        <v>5</v>
      </c>
      <c r="N15" s="70"/>
      <c r="O15" s="31"/>
      <c r="P15" s="151"/>
      <c r="Q15" s="151"/>
    </row>
    <row r="16" spans="1:17" ht="13.75" customHeight="1" x14ac:dyDescent="0.3">
      <c r="A16" s="151"/>
      <c r="B16" s="7"/>
      <c r="C16" s="97" t="s">
        <v>11</v>
      </c>
      <c r="D16" s="98" t="s">
        <v>4</v>
      </c>
      <c r="E16" s="198" t="s">
        <v>75</v>
      </c>
      <c r="F16" s="197"/>
      <c r="G16" s="31"/>
      <c r="H16" s="151"/>
      <c r="I16" s="7"/>
      <c r="J16" s="29">
        <v>6</v>
      </c>
      <c r="K16" s="70"/>
      <c r="L16" s="14"/>
      <c r="M16" s="29">
        <v>6</v>
      </c>
      <c r="N16" s="70"/>
      <c r="O16" s="31"/>
      <c r="P16" s="151"/>
      <c r="Q16" s="151"/>
    </row>
    <row r="17" spans="1:17" ht="14.4" customHeight="1" thickBot="1" x14ac:dyDescent="0.3">
      <c r="A17" s="151"/>
      <c r="B17" s="4"/>
      <c r="C17" s="5"/>
      <c r="D17" s="5"/>
      <c r="E17" s="5"/>
      <c r="F17" s="5"/>
      <c r="G17" s="6"/>
      <c r="H17" s="151"/>
      <c r="I17" s="7"/>
      <c r="J17" s="29">
        <v>7</v>
      </c>
      <c r="K17" s="70"/>
      <c r="L17" s="14"/>
      <c r="M17" s="29">
        <v>7</v>
      </c>
      <c r="N17" s="70"/>
      <c r="O17" s="31"/>
      <c r="P17" s="151"/>
      <c r="Q17" s="151"/>
    </row>
    <row r="18" spans="1:17" ht="13.75" customHeight="1" x14ac:dyDescent="0.25">
      <c r="A18" s="151"/>
      <c r="B18" s="151"/>
      <c r="C18" s="151"/>
      <c r="D18" s="151"/>
      <c r="E18" s="151"/>
      <c r="F18" s="151"/>
      <c r="G18" s="151"/>
      <c r="H18" s="151"/>
      <c r="I18" s="7"/>
      <c r="J18" s="29">
        <v>8</v>
      </c>
      <c r="K18" s="70"/>
      <c r="L18" s="14"/>
      <c r="M18" s="29">
        <v>8</v>
      </c>
      <c r="N18" s="70"/>
      <c r="O18" s="31"/>
      <c r="P18" s="151"/>
      <c r="Q18" s="151"/>
    </row>
    <row r="19" spans="1:17" ht="14.4" customHeight="1" thickBot="1" x14ac:dyDescent="0.3">
      <c r="A19" s="151"/>
      <c r="B19" s="151"/>
      <c r="C19" s="151"/>
      <c r="D19" s="151"/>
      <c r="E19" s="151"/>
      <c r="F19" s="151"/>
      <c r="G19" s="151"/>
      <c r="H19" s="151"/>
      <c r="I19" s="7"/>
      <c r="J19" s="29">
        <v>9</v>
      </c>
      <c r="K19" s="70"/>
      <c r="L19" s="14"/>
      <c r="M19" s="29">
        <v>9</v>
      </c>
      <c r="N19" s="70"/>
      <c r="O19" s="31"/>
      <c r="P19" s="151"/>
      <c r="Q19" s="151"/>
    </row>
    <row r="20" spans="1:17" ht="13.75" customHeight="1" x14ac:dyDescent="0.25">
      <c r="A20" s="151"/>
      <c r="B20" s="213" t="s">
        <v>12</v>
      </c>
      <c r="C20" s="214"/>
      <c r="D20" s="214"/>
      <c r="E20" s="214"/>
      <c r="F20" s="214"/>
      <c r="G20" s="215"/>
      <c r="H20" s="151"/>
      <c r="I20" s="7"/>
      <c r="J20" s="29">
        <v>10</v>
      </c>
      <c r="K20" s="70"/>
      <c r="L20" s="14"/>
      <c r="M20" s="29">
        <v>10</v>
      </c>
      <c r="N20" s="70"/>
      <c r="O20" s="31"/>
      <c r="P20" s="151"/>
      <c r="Q20" s="151"/>
    </row>
    <row r="21" spans="1:17" ht="13.75" customHeight="1" x14ac:dyDescent="0.25">
      <c r="A21" s="151"/>
      <c r="B21" s="216"/>
      <c r="C21" s="209"/>
      <c r="D21" s="209"/>
      <c r="E21" s="209"/>
      <c r="F21" s="209"/>
      <c r="G21" s="217"/>
      <c r="H21" s="151"/>
      <c r="I21" s="7"/>
      <c r="J21" s="29">
        <v>11</v>
      </c>
      <c r="K21" s="70"/>
      <c r="L21" s="14"/>
      <c r="M21" s="29">
        <v>11</v>
      </c>
      <c r="N21" s="70"/>
      <c r="O21" s="31"/>
      <c r="P21" s="151"/>
      <c r="Q21" s="151"/>
    </row>
    <row r="22" spans="1:17" ht="13.75" customHeight="1" x14ac:dyDescent="0.25">
      <c r="A22" s="151"/>
      <c r="B22" s="7"/>
      <c r="C22" s="14"/>
      <c r="D22" s="14"/>
      <c r="E22" s="14"/>
      <c r="F22" s="14"/>
      <c r="G22" s="31"/>
      <c r="H22" s="151"/>
      <c r="I22" s="7"/>
      <c r="J22" s="29">
        <v>12</v>
      </c>
      <c r="K22" s="70"/>
      <c r="L22" s="14"/>
      <c r="M22" s="29">
        <v>12</v>
      </c>
      <c r="N22" s="70"/>
      <c r="O22" s="31"/>
      <c r="P22" s="151"/>
      <c r="Q22" s="151"/>
    </row>
    <row r="23" spans="1:17" ht="13.75" customHeight="1" x14ac:dyDescent="0.3">
      <c r="A23" s="151"/>
      <c r="B23" s="7"/>
      <c r="C23" s="8" t="s">
        <v>13</v>
      </c>
      <c r="D23" s="9" t="s">
        <v>4</v>
      </c>
      <c r="E23" s="198" t="s">
        <v>76</v>
      </c>
      <c r="F23" s="197"/>
      <c r="G23" s="31"/>
      <c r="H23" s="151"/>
      <c r="I23" s="7"/>
      <c r="J23" s="29">
        <v>13</v>
      </c>
      <c r="K23" s="70"/>
      <c r="L23" s="14"/>
      <c r="M23" s="29">
        <v>13</v>
      </c>
      <c r="N23" s="70"/>
      <c r="O23" s="31"/>
      <c r="P23" s="151"/>
      <c r="Q23" s="151"/>
    </row>
    <row r="24" spans="1:17" ht="13.75" customHeight="1" x14ac:dyDescent="0.3">
      <c r="A24" s="151"/>
      <c r="B24" s="7"/>
      <c r="C24" s="8" t="s">
        <v>14</v>
      </c>
      <c r="D24" s="9" t="s">
        <v>4</v>
      </c>
      <c r="E24" s="196" t="s">
        <v>77</v>
      </c>
      <c r="F24" s="197"/>
      <c r="G24" s="31"/>
      <c r="H24" s="151"/>
      <c r="I24" s="7"/>
      <c r="J24" s="29">
        <v>14</v>
      </c>
      <c r="K24" s="70"/>
      <c r="L24" s="14"/>
      <c r="M24" s="29">
        <v>14</v>
      </c>
      <c r="N24" s="70"/>
      <c r="O24" s="31"/>
      <c r="P24" s="151"/>
      <c r="Q24" s="151"/>
    </row>
    <row r="25" spans="1:17" ht="15.75" customHeight="1" x14ac:dyDescent="0.3">
      <c r="A25" s="151"/>
      <c r="B25" s="7"/>
      <c r="C25" s="10" t="s">
        <v>15</v>
      </c>
      <c r="D25" s="11" t="s">
        <v>4</v>
      </c>
      <c r="E25" s="198">
        <v>2</v>
      </c>
      <c r="F25" s="197"/>
      <c r="G25" s="31"/>
      <c r="H25" s="151"/>
      <c r="I25" s="7"/>
      <c r="J25" s="29">
        <v>15</v>
      </c>
      <c r="K25" s="70"/>
      <c r="L25" s="14"/>
      <c r="M25" s="29">
        <v>15</v>
      </c>
      <c r="N25" s="70"/>
      <c r="O25" s="31"/>
      <c r="P25" s="151"/>
      <c r="Q25" s="151"/>
    </row>
    <row r="26" spans="1:17" ht="13.75" customHeight="1" x14ac:dyDescent="0.3">
      <c r="A26" s="151"/>
      <c r="B26" s="7"/>
      <c r="C26" s="12" t="s">
        <v>16</v>
      </c>
      <c r="D26" s="13" t="s">
        <v>4</v>
      </c>
      <c r="E26" s="198" t="s">
        <v>78</v>
      </c>
      <c r="F26" s="197"/>
      <c r="G26" s="31"/>
      <c r="H26" s="151"/>
      <c r="I26" s="7"/>
      <c r="J26" s="29">
        <v>16</v>
      </c>
      <c r="K26" s="70"/>
      <c r="L26" s="14"/>
      <c r="M26" s="29">
        <v>16</v>
      </c>
      <c r="N26" s="70"/>
      <c r="O26" s="31"/>
      <c r="P26" s="151"/>
      <c r="Q26" s="151"/>
    </row>
    <row r="27" spans="1:17" ht="13.75" customHeight="1" x14ac:dyDescent="0.25">
      <c r="A27" s="151"/>
      <c r="B27" s="7"/>
      <c r="C27" s="14"/>
      <c r="D27" s="14"/>
      <c r="E27" s="14"/>
      <c r="F27" s="14"/>
      <c r="G27" s="31"/>
      <c r="H27" s="151"/>
      <c r="I27" s="7"/>
      <c r="J27" s="29">
        <v>17</v>
      </c>
      <c r="K27" s="70"/>
      <c r="L27" s="14"/>
      <c r="M27" s="29">
        <v>17</v>
      </c>
      <c r="N27" s="70"/>
      <c r="O27" s="31"/>
      <c r="P27" s="151"/>
      <c r="Q27" s="151"/>
    </row>
    <row r="28" spans="1:17" ht="14" customHeight="1" x14ac:dyDescent="0.25">
      <c r="A28" s="151"/>
      <c r="B28" s="37"/>
      <c r="C28" s="218" t="s">
        <v>17</v>
      </c>
      <c r="D28" s="209"/>
      <c r="E28" s="209"/>
      <c r="F28" s="209"/>
      <c r="G28" s="38"/>
      <c r="H28" s="151"/>
      <c r="I28" s="7"/>
      <c r="J28" s="29">
        <v>18</v>
      </c>
      <c r="K28" s="70"/>
      <c r="L28" s="14"/>
      <c r="M28" s="29">
        <v>18</v>
      </c>
      <c r="N28" s="70"/>
      <c r="O28" s="31"/>
      <c r="P28" s="151"/>
      <c r="Q28" s="151"/>
    </row>
    <row r="29" spans="1:17" ht="13.75" customHeight="1" x14ac:dyDescent="0.25">
      <c r="A29" s="151"/>
      <c r="B29" s="37"/>
      <c r="C29" s="209"/>
      <c r="D29" s="209"/>
      <c r="E29" s="209"/>
      <c r="F29" s="209"/>
      <c r="G29" s="38"/>
      <c r="H29" s="151"/>
      <c r="I29" s="7"/>
      <c r="J29" s="29">
        <v>19</v>
      </c>
      <c r="K29" s="70"/>
      <c r="L29" s="14"/>
      <c r="M29" s="29">
        <v>19</v>
      </c>
      <c r="N29" s="70"/>
      <c r="O29" s="31"/>
      <c r="P29" s="151"/>
      <c r="Q29" s="151"/>
    </row>
    <row r="30" spans="1:17" ht="13.75" customHeight="1" x14ac:dyDescent="0.25">
      <c r="A30" s="151"/>
      <c r="B30" s="37"/>
      <c r="C30" s="209"/>
      <c r="D30" s="209"/>
      <c r="E30" s="209"/>
      <c r="F30" s="209"/>
      <c r="G30" s="38"/>
      <c r="H30" s="151"/>
      <c r="I30" s="7"/>
      <c r="J30" s="29">
        <v>20</v>
      </c>
      <c r="K30" s="70"/>
      <c r="L30" s="14"/>
      <c r="M30" s="29">
        <v>20</v>
      </c>
      <c r="N30" s="70"/>
      <c r="O30" s="31"/>
      <c r="P30" s="151"/>
      <c r="Q30" s="151"/>
    </row>
    <row r="31" spans="1:17" ht="13.75" customHeight="1" x14ac:dyDescent="0.25">
      <c r="A31" s="151"/>
      <c r="B31" s="37"/>
      <c r="C31" s="209"/>
      <c r="D31" s="209"/>
      <c r="E31" s="209"/>
      <c r="F31" s="209"/>
      <c r="G31" s="38"/>
      <c r="H31" s="151"/>
      <c r="I31" s="7"/>
      <c r="J31" s="29">
        <v>21</v>
      </c>
      <c r="K31" s="70"/>
      <c r="L31" s="14"/>
      <c r="M31" s="29">
        <v>21</v>
      </c>
      <c r="N31" s="70"/>
      <c r="O31" s="31"/>
      <c r="P31" s="151"/>
      <c r="Q31" s="151"/>
    </row>
    <row r="32" spans="1:17" ht="14.4" customHeight="1" thickBot="1" x14ac:dyDescent="0.3">
      <c r="A32" s="151"/>
      <c r="B32" s="15"/>
      <c r="C32" s="101"/>
      <c r="D32" s="101"/>
      <c r="E32" s="101"/>
      <c r="F32" s="101"/>
      <c r="G32" s="16"/>
      <c r="H32" s="151"/>
      <c r="I32" s="7"/>
      <c r="J32" s="29">
        <v>22</v>
      </c>
      <c r="K32" s="70"/>
      <c r="L32" s="14"/>
      <c r="M32" s="29">
        <v>22</v>
      </c>
      <c r="N32" s="70"/>
      <c r="O32" s="31"/>
      <c r="P32" s="151"/>
      <c r="Q32" s="151"/>
    </row>
    <row r="33" spans="1:17" ht="13.75" customHeight="1" x14ac:dyDescent="0.25">
      <c r="A33" s="151"/>
      <c r="B33" s="151"/>
      <c r="C33" s="151"/>
      <c r="D33" s="151"/>
      <c r="E33" s="151"/>
      <c r="F33" s="151"/>
      <c r="G33" s="151"/>
      <c r="H33" s="151"/>
      <c r="I33" s="7"/>
      <c r="J33" s="29">
        <v>23</v>
      </c>
      <c r="K33" s="70"/>
      <c r="L33" s="14"/>
      <c r="M33" s="29">
        <v>23</v>
      </c>
      <c r="N33" s="70"/>
      <c r="O33" s="31"/>
      <c r="P33" s="151"/>
      <c r="Q33" s="151"/>
    </row>
    <row r="34" spans="1:17" ht="13.75" customHeight="1" x14ac:dyDescent="0.25">
      <c r="A34" s="151"/>
      <c r="B34" s="151"/>
      <c r="C34" s="151"/>
      <c r="D34" s="151"/>
      <c r="E34" s="151"/>
      <c r="F34" s="151"/>
      <c r="G34" s="151"/>
      <c r="H34" s="151"/>
      <c r="I34" s="7"/>
      <c r="J34" s="29">
        <v>24</v>
      </c>
      <c r="K34" s="70"/>
      <c r="L34" s="14"/>
      <c r="M34" s="29">
        <v>24</v>
      </c>
      <c r="N34" s="70"/>
      <c r="O34" s="31"/>
      <c r="P34" s="151"/>
      <c r="Q34" s="151"/>
    </row>
    <row r="35" spans="1:17" ht="13.75" customHeight="1" thickBot="1" x14ac:dyDescent="0.3">
      <c r="A35" s="151"/>
      <c r="B35" s="151"/>
      <c r="C35" s="151"/>
      <c r="D35" s="151"/>
      <c r="E35" s="151"/>
      <c r="F35" s="151"/>
      <c r="G35" s="151"/>
      <c r="H35" s="151"/>
      <c r="I35" s="7"/>
      <c r="J35" s="29">
        <v>25</v>
      </c>
      <c r="K35" s="70"/>
      <c r="L35" s="14"/>
      <c r="M35" s="29">
        <v>25</v>
      </c>
      <c r="N35" s="70"/>
      <c r="O35" s="31"/>
      <c r="P35" s="151"/>
      <c r="Q35" s="151"/>
    </row>
    <row r="36" spans="1:17" ht="13.75" customHeight="1" x14ac:dyDescent="0.25">
      <c r="A36" s="151"/>
      <c r="B36" s="199" t="s">
        <v>69</v>
      </c>
      <c r="C36" s="200"/>
      <c r="D36" s="200"/>
      <c r="E36" s="200"/>
      <c r="F36" s="200"/>
      <c r="G36" s="201"/>
      <c r="H36" s="151"/>
      <c r="I36" s="7"/>
      <c r="J36" s="29">
        <v>26</v>
      </c>
      <c r="K36" s="70"/>
      <c r="L36" s="14"/>
      <c r="M36" s="29">
        <v>26</v>
      </c>
      <c r="N36" s="70"/>
      <c r="O36" s="31"/>
      <c r="P36" s="151"/>
      <c r="Q36" s="151"/>
    </row>
    <row r="37" spans="1:17" ht="13.75" customHeight="1" x14ac:dyDescent="0.25">
      <c r="A37" s="151"/>
      <c r="B37" s="202"/>
      <c r="C37" s="203"/>
      <c r="D37" s="203"/>
      <c r="E37" s="203"/>
      <c r="F37" s="203"/>
      <c r="G37" s="204"/>
      <c r="H37" s="151"/>
      <c r="I37" s="7"/>
      <c r="J37" s="29">
        <v>27</v>
      </c>
      <c r="K37" s="70"/>
      <c r="L37" s="14"/>
      <c r="M37" s="29">
        <v>27</v>
      </c>
      <c r="N37" s="70"/>
      <c r="O37" s="31"/>
      <c r="P37" s="151"/>
      <c r="Q37" s="151"/>
    </row>
    <row r="38" spans="1:17" ht="13.75" customHeight="1" thickBot="1" x14ac:dyDescent="0.3">
      <c r="A38" s="151"/>
      <c r="B38" s="205"/>
      <c r="C38" s="206"/>
      <c r="D38" s="206"/>
      <c r="E38" s="206"/>
      <c r="F38" s="206"/>
      <c r="G38" s="207"/>
      <c r="H38" s="151"/>
      <c r="I38" s="7"/>
      <c r="J38" s="29">
        <v>28</v>
      </c>
      <c r="K38" s="70"/>
      <c r="L38" s="14"/>
      <c r="M38" s="29">
        <v>28</v>
      </c>
      <c r="N38" s="70"/>
      <c r="O38" s="31"/>
      <c r="P38" s="151"/>
      <c r="Q38" s="151"/>
    </row>
    <row r="39" spans="1:17" ht="13.75" customHeight="1" x14ac:dyDescent="0.25">
      <c r="A39" s="151"/>
      <c r="B39" s="151"/>
      <c r="C39" s="151"/>
      <c r="D39" s="151"/>
      <c r="E39" s="151"/>
      <c r="F39" s="151"/>
      <c r="G39" s="151"/>
      <c r="H39" s="151"/>
      <c r="I39" s="7"/>
      <c r="J39" s="29">
        <v>29</v>
      </c>
      <c r="K39" s="70"/>
      <c r="L39" s="14"/>
      <c r="M39" s="29">
        <v>29</v>
      </c>
      <c r="N39" s="70"/>
      <c r="O39" s="31"/>
      <c r="P39" s="151"/>
      <c r="Q39" s="151"/>
    </row>
    <row r="40" spans="1:17" ht="13.75" customHeight="1" x14ac:dyDescent="0.25">
      <c r="A40" s="151"/>
      <c r="B40" s="151"/>
      <c r="C40" s="151"/>
      <c r="D40" s="151"/>
      <c r="E40" s="151"/>
      <c r="F40" s="151"/>
      <c r="G40" s="151"/>
      <c r="H40" s="151"/>
      <c r="I40" s="7"/>
      <c r="J40" s="29">
        <v>30</v>
      </c>
      <c r="K40" s="70"/>
      <c r="L40" s="14"/>
      <c r="M40" s="29">
        <v>30</v>
      </c>
      <c r="N40" s="70"/>
      <c r="O40" s="31"/>
      <c r="P40" s="151"/>
      <c r="Q40" s="151"/>
    </row>
    <row r="41" spans="1:17" ht="13.75" customHeight="1" x14ac:dyDescent="0.25">
      <c r="A41" s="151"/>
      <c r="B41" s="151"/>
      <c r="C41" s="151"/>
      <c r="D41" s="151"/>
      <c r="E41" s="151"/>
      <c r="F41" s="151"/>
      <c r="G41" s="151"/>
      <c r="H41" s="151"/>
      <c r="I41" s="7"/>
      <c r="J41" s="29">
        <v>31</v>
      </c>
      <c r="K41" s="70"/>
      <c r="L41" s="14"/>
      <c r="M41" s="29">
        <v>31</v>
      </c>
      <c r="N41" s="70"/>
      <c r="O41" s="31"/>
      <c r="P41" s="151"/>
      <c r="Q41" s="151"/>
    </row>
    <row r="42" spans="1:17" ht="13.75" customHeight="1" x14ac:dyDescent="0.25">
      <c r="A42" s="151"/>
      <c r="B42" s="151"/>
      <c r="C42" s="151"/>
      <c r="D42" s="151"/>
      <c r="E42" s="151"/>
      <c r="F42" s="151"/>
      <c r="G42" s="151"/>
      <c r="H42" s="151"/>
      <c r="I42" s="7"/>
      <c r="J42" s="29">
        <v>32</v>
      </c>
      <c r="K42" s="70"/>
      <c r="L42" s="14"/>
      <c r="M42" s="29">
        <v>32</v>
      </c>
      <c r="N42" s="70"/>
      <c r="O42" s="31"/>
      <c r="P42" s="151"/>
      <c r="Q42" s="151"/>
    </row>
    <row r="43" spans="1:17" ht="13.75" customHeight="1" x14ac:dyDescent="0.25">
      <c r="A43" s="151"/>
      <c r="B43" s="151"/>
      <c r="C43" s="151"/>
      <c r="D43" s="151"/>
      <c r="E43" s="151"/>
      <c r="F43" s="151"/>
      <c r="G43" s="151"/>
      <c r="H43" s="151"/>
      <c r="I43" s="7"/>
      <c r="J43" s="29">
        <v>33</v>
      </c>
      <c r="K43" s="70"/>
      <c r="L43" s="14"/>
      <c r="M43" s="29">
        <v>33</v>
      </c>
      <c r="N43" s="70"/>
      <c r="O43" s="31"/>
      <c r="P43" s="151"/>
      <c r="Q43" s="151"/>
    </row>
    <row r="44" spans="1:17" ht="13.75" customHeight="1" x14ac:dyDescent="0.25">
      <c r="A44" s="151"/>
      <c r="B44" s="151"/>
      <c r="C44" s="151"/>
      <c r="D44" s="151"/>
      <c r="E44" s="151"/>
      <c r="F44" s="151"/>
      <c r="G44" s="151"/>
      <c r="H44" s="151"/>
      <c r="I44" s="7"/>
      <c r="J44" s="29">
        <v>34</v>
      </c>
      <c r="K44" s="70"/>
      <c r="L44" s="14"/>
      <c r="M44" s="29">
        <v>34</v>
      </c>
      <c r="N44" s="70"/>
      <c r="O44" s="31"/>
      <c r="P44" s="151"/>
      <c r="Q44" s="151"/>
    </row>
    <row r="45" spans="1:17" ht="13.75" customHeight="1" x14ac:dyDescent="0.25">
      <c r="A45" s="151"/>
      <c r="B45" s="151"/>
      <c r="C45" s="151"/>
      <c r="D45" s="151"/>
      <c r="E45" s="151"/>
      <c r="F45" s="151"/>
      <c r="G45" s="151"/>
      <c r="H45" s="151"/>
      <c r="I45" s="7"/>
      <c r="J45" s="29">
        <v>35</v>
      </c>
      <c r="K45" s="70"/>
      <c r="L45" s="14"/>
      <c r="M45" s="29">
        <v>35</v>
      </c>
      <c r="N45" s="70"/>
      <c r="O45" s="31"/>
      <c r="P45" s="151"/>
      <c r="Q45" s="151"/>
    </row>
    <row r="46" spans="1:17" ht="13.75" customHeight="1" x14ac:dyDescent="0.25">
      <c r="A46" s="151"/>
      <c r="B46" s="151"/>
      <c r="C46" s="151"/>
      <c r="D46" s="151"/>
      <c r="E46" s="151"/>
      <c r="F46" s="151"/>
      <c r="G46" s="151"/>
      <c r="H46" s="151"/>
      <c r="I46" s="7"/>
      <c r="J46" s="29">
        <v>36</v>
      </c>
      <c r="K46" s="70"/>
      <c r="L46" s="14"/>
      <c r="M46" s="29">
        <v>36</v>
      </c>
      <c r="N46" s="70"/>
      <c r="O46" s="31"/>
      <c r="P46" s="151"/>
      <c r="Q46" s="151"/>
    </row>
    <row r="47" spans="1:17" ht="13.75" customHeight="1" x14ac:dyDescent="0.25">
      <c r="A47" s="151"/>
      <c r="B47" s="151"/>
      <c r="C47" s="151"/>
      <c r="D47" s="151"/>
      <c r="E47" s="151"/>
      <c r="F47" s="151"/>
      <c r="G47" s="151"/>
      <c r="H47" s="151"/>
      <c r="I47" s="7"/>
      <c r="J47" s="29">
        <v>37</v>
      </c>
      <c r="K47" s="70"/>
      <c r="L47" s="14"/>
      <c r="M47" s="29">
        <v>37</v>
      </c>
      <c r="N47" s="70"/>
      <c r="O47" s="31"/>
      <c r="P47" s="151"/>
      <c r="Q47" s="151"/>
    </row>
    <row r="48" spans="1:17" ht="13.75" customHeight="1" x14ac:dyDescent="0.25">
      <c r="A48" s="151"/>
      <c r="B48" s="151"/>
      <c r="C48" s="151"/>
      <c r="D48" s="151"/>
      <c r="E48" s="151"/>
      <c r="F48" s="151"/>
      <c r="G48" s="151"/>
      <c r="H48" s="151"/>
      <c r="I48" s="7"/>
      <c r="J48" s="29">
        <v>38</v>
      </c>
      <c r="K48" s="70"/>
      <c r="L48" s="14"/>
      <c r="M48" s="29">
        <v>38</v>
      </c>
      <c r="N48" s="70"/>
      <c r="O48" s="31"/>
      <c r="P48" s="151"/>
      <c r="Q48" s="151"/>
    </row>
    <row r="49" spans="1:17" ht="13.75" customHeight="1" x14ac:dyDescent="0.25">
      <c r="A49" s="151"/>
      <c r="B49" s="151"/>
      <c r="C49" s="151"/>
      <c r="D49" s="151"/>
      <c r="E49" s="151"/>
      <c r="F49" s="151"/>
      <c r="G49" s="151"/>
      <c r="H49" s="151"/>
      <c r="I49" s="7"/>
      <c r="J49" s="29">
        <v>39</v>
      </c>
      <c r="K49" s="70"/>
      <c r="L49" s="14"/>
      <c r="M49" s="29">
        <v>39</v>
      </c>
      <c r="N49" s="70"/>
      <c r="O49" s="31"/>
      <c r="P49" s="151"/>
      <c r="Q49" s="151"/>
    </row>
    <row r="50" spans="1:17" ht="13.75" customHeight="1" x14ac:dyDescent="0.25">
      <c r="A50" s="151"/>
      <c r="B50" s="151"/>
      <c r="C50" s="151"/>
      <c r="D50" s="151"/>
      <c r="E50" s="151"/>
      <c r="F50" s="151"/>
      <c r="G50" s="151"/>
      <c r="H50" s="151"/>
      <c r="I50" s="7"/>
      <c r="J50" s="29">
        <v>40</v>
      </c>
      <c r="K50" s="70"/>
      <c r="L50" s="14"/>
      <c r="M50" s="29">
        <v>40</v>
      </c>
      <c r="N50" s="70"/>
      <c r="O50" s="31"/>
      <c r="P50" s="151"/>
      <c r="Q50" s="151"/>
    </row>
    <row r="51" spans="1:17" ht="13.75" customHeight="1" x14ac:dyDescent="0.25">
      <c r="A51" s="151"/>
      <c r="B51" s="151"/>
      <c r="C51" s="151"/>
      <c r="D51" s="151"/>
      <c r="E51" s="151"/>
      <c r="F51" s="151"/>
      <c r="G51" s="151"/>
      <c r="H51" s="151"/>
      <c r="I51" s="7"/>
      <c r="J51" s="29">
        <v>41</v>
      </c>
      <c r="K51" s="70"/>
      <c r="L51" s="14"/>
      <c r="M51" s="29">
        <v>41</v>
      </c>
      <c r="N51" s="70"/>
      <c r="O51" s="31"/>
      <c r="P51" s="151"/>
      <c r="Q51" s="151"/>
    </row>
    <row r="52" spans="1:17" ht="13.75" customHeight="1" x14ac:dyDescent="0.25">
      <c r="A52" s="151"/>
      <c r="B52" s="151"/>
      <c r="C52" s="151"/>
      <c r="D52" s="151"/>
      <c r="E52" s="151"/>
      <c r="F52" s="151"/>
      <c r="G52" s="151"/>
      <c r="H52" s="151"/>
      <c r="I52" s="7"/>
      <c r="J52" s="29">
        <v>42</v>
      </c>
      <c r="K52" s="70"/>
      <c r="L52" s="14"/>
      <c r="M52" s="29">
        <v>42</v>
      </c>
      <c r="N52" s="70"/>
      <c r="O52" s="31"/>
      <c r="P52" s="151"/>
      <c r="Q52" s="151"/>
    </row>
    <row r="53" spans="1:17" ht="13.75" customHeight="1" x14ac:dyDescent="0.25">
      <c r="A53" s="151"/>
      <c r="B53" s="151"/>
      <c r="C53" s="151"/>
      <c r="D53" s="151"/>
      <c r="E53" s="151"/>
      <c r="F53" s="151"/>
      <c r="G53" s="151"/>
      <c r="H53" s="151"/>
      <c r="I53" s="7"/>
      <c r="J53" s="29">
        <v>43</v>
      </c>
      <c r="K53" s="70"/>
      <c r="L53" s="14"/>
      <c r="M53" s="29">
        <v>43</v>
      </c>
      <c r="N53" s="70"/>
      <c r="O53" s="31"/>
      <c r="P53" s="151"/>
      <c r="Q53" s="151"/>
    </row>
    <row r="54" spans="1:17" ht="13.75" customHeight="1" x14ac:dyDescent="0.25">
      <c r="A54" s="151"/>
      <c r="B54" s="151"/>
      <c r="C54" s="151"/>
      <c r="D54" s="151"/>
      <c r="E54" s="151"/>
      <c r="F54" s="151"/>
      <c r="G54" s="151"/>
      <c r="H54" s="151"/>
      <c r="I54" s="7"/>
      <c r="J54" s="29">
        <v>44</v>
      </c>
      <c r="K54" s="70"/>
      <c r="L54" s="14"/>
      <c r="M54" s="29">
        <v>44</v>
      </c>
      <c r="N54" s="70"/>
      <c r="O54" s="31"/>
      <c r="P54" s="151"/>
      <c r="Q54" s="151"/>
    </row>
    <row r="55" spans="1:17" ht="13.75" customHeight="1" x14ac:dyDescent="0.25">
      <c r="A55" s="151"/>
      <c r="B55" s="151"/>
      <c r="C55" s="151"/>
      <c r="D55" s="151"/>
      <c r="E55" s="151"/>
      <c r="F55" s="151"/>
      <c r="G55" s="151"/>
      <c r="H55" s="151"/>
      <c r="I55" s="7"/>
      <c r="J55" s="29">
        <v>45</v>
      </c>
      <c r="K55" s="70"/>
      <c r="L55" s="14"/>
      <c r="M55" s="29">
        <v>45</v>
      </c>
      <c r="N55" s="70"/>
      <c r="O55" s="31"/>
      <c r="P55" s="151"/>
      <c r="Q55" s="151"/>
    </row>
    <row r="56" spans="1:17" ht="13.75" customHeight="1" x14ac:dyDescent="0.25">
      <c r="A56" s="151"/>
      <c r="B56" s="151"/>
      <c r="C56" s="151"/>
      <c r="D56" s="151"/>
      <c r="E56" s="151"/>
      <c r="F56" s="151"/>
      <c r="G56" s="151"/>
      <c r="H56" s="151"/>
      <c r="I56" s="7"/>
      <c r="J56" s="29">
        <v>46</v>
      </c>
      <c r="K56" s="70"/>
      <c r="L56" s="14"/>
      <c r="M56" s="29">
        <v>46</v>
      </c>
      <c r="N56" s="70"/>
      <c r="O56" s="31"/>
      <c r="P56" s="151"/>
      <c r="Q56" s="151"/>
    </row>
    <row r="57" spans="1:17" ht="13.75" customHeight="1" x14ac:dyDescent="0.25">
      <c r="A57" s="151"/>
      <c r="B57" s="151"/>
      <c r="C57" s="151"/>
      <c r="D57" s="151"/>
      <c r="E57" s="151"/>
      <c r="F57" s="151"/>
      <c r="G57" s="151"/>
      <c r="H57" s="151"/>
      <c r="I57" s="7"/>
      <c r="J57" s="29">
        <v>47</v>
      </c>
      <c r="K57" s="70"/>
      <c r="L57" s="14"/>
      <c r="M57" s="29">
        <v>47</v>
      </c>
      <c r="N57" s="70"/>
      <c r="O57" s="31"/>
      <c r="P57" s="151"/>
      <c r="Q57" s="151"/>
    </row>
    <row r="58" spans="1:17" ht="13.75" customHeight="1" x14ac:dyDescent="0.25">
      <c r="A58" s="151"/>
      <c r="B58" s="151"/>
      <c r="C58" s="151"/>
      <c r="D58" s="151"/>
      <c r="E58" s="151"/>
      <c r="F58" s="151"/>
      <c r="G58" s="151"/>
      <c r="H58" s="151"/>
      <c r="I58" s="7"/>
      <c r="J58" s="29">
        <v>48</v>
      </c>
      <c r="K58" s="70"/>
      <c r="L58" s="14"/>
      <c r="M58" s="29">
        <v>48</v>
      </c>
      <c r="N58" s="70"/>
      <c r="O58" s="31"/>
      <c r="P58" s="151"/>
      <c r="Q58" s="151"/>
    </row>
    <row r="59" spans="1:17" ht="13.75" customHeight="1" x14ac:dyDescent="0.25">
      <c r="A59" s="151"/>
      <c r="B59" s="151"/>
      <c r="C59" s="151"/>
      <c r="D59" s="151"/>
      <c r="E59" s="151"/>
      <c r="F59" s="151"/>
      <c r="G59" s="151"/>
      <c r="H59" s="151"/>
      <c r="I59" s="7"/>
      <c r="J59" s="29">
        <v>49</v>
      </c>
      <c r="K59" s="70"/>
      <c r="L59" s="14"/>
      <c r="M59" s="29">
        <v>49</v>
      </c>
      <c r="N59" s="70"/>
      <c r="O59" s="31"/>
      <c r="P59" s="151"/>
      <c r="Q59" s="151"/>
    </row>
    <row r="60" spans="1:17" ht="13.75" customHeight="1" x14ac:dyDescent="0.25">
      <c r="A60" s="151"/>
      <c r="B60" s="151"/>
      <c r="C60" s="151"/>
      <c r="D60" s="151"/>
      <c r="E60" s="151"/>
      <c r="F60" s="151"/>
      <c r="G60" s="151"/>
      <c r="H60" s="151"/>
      <c r="I60" s="30"/>
      <c r="J60" s="29">
        <v>50</v>
      </c>
      <c r="K60" s="70"/>
      <c r="L60" s="14"/>
      <c r="M60" s="29">
        <v>50</v>
      </c>
      <c r="N60" s="70"/>
      <c r="O60" s="31"/>
      <c r="P60" s="151"/>
      <c r="Q60" s="151"/>
    </row>
    <row r="61" spans="1:17" ht="13.75" customHeight="1" thickBot="1" x14ac:dyDescent="0.3">
      <c r="A61" s="151"/>
      <c r="B61" s="151"/>
      <c r="C61" s="151"/>
      <c r="D61" s="151"/>
      <c r="E61" s="151"/>
      <c r="F61" s="151"/>
      <c r="G61" s="151"/>
      <c r="H61" s="151"/>
      <c r="I61" s="32"/>
      <c r="J61" s="33"/>
      <c r="K61" s="34"/>
      <c r="L61" s="34"/>
      <c r="M61" s="34"/>
      <c r="N61" s="33"/>
      <c r="O61" s="35"/>
      <c r="P61" s="151"/>
      <c r="Q61" s="151"/>
    </row>
    <row r="62" spans="1:17" ht="13.25" customHeight="1" x14ac:dyDescent="0.25">
      <c r="A62" s="151"/>
      <c r="B62" s="151"/>
      <c r="C62" s="151"/>
      <c r="D62" s="151"/>
      <c r="E62" s="151"/>
      <c r="F62" s="151"/>
      <c r="G62" s="151"/>
      <c r="H62" s="151"/>
      <c r="I62" s="151"/>
      <c r="J62" s="151"/>
      <c r="K62" s="151"/>
      <c r="L62" s="151"/>
      <c r="M62" s="151"/>
      <c r="N62" s="151"/>
      <c r="O62" s="17" t="s">
        <v>18</v>
      </c>
      <c r="P62" s="151"/>
      <c r="Q62" s="151"/>
    </row>
    <row r="63" spans="1:17" ht="13.25" customHeight="1" x14ac:dyDescent="0.25">
      <c r="A63" s="151"/>
      <c r="B63" s="151"/>
      <c r="C63" s="151"/>
      <c r="D63" s="151"/>
      <c r="E63" s="151"/>
      <c r="F63" s="151"/>
      <c r="G63" s="151"/>
      <c r="H63" s="151"/>
      <c r="I63" s="151"/>
      <c r="J63" s="151"/>
      <c r="K63" s="151"/>
      <c r="L63" s="151"/>
      <c r="M63" s="151"/>
      <c r="N63" s="151"/>
      <c r="O63" s="17"/>
      <c r="P63" s="151"/>
      <c r="Q63" s="151"/>
    </row>
    <row r="64" spans="1:17" ht="13.25" customHeight="1" x14ac:dyDescent="0.25">
      <c r="A64" s="151"/>
      <c r="B64" s="151"/>
      <c r="C64" s="151"/>
      <c r="D64" s="151"/>
      <c r="E64" s="151"/>
      <c r="F64" s="151"/>
      <c r="G64" s="151"/>
      <c r="H64" s="151"/>
      <c r="I64" s="151"/>
      <c r="J64" s="151"/>
      <c r="K64" s="151"/>
      <c r="L64" s="151"/>
      <c r="M64" s="151"/>
      <c r="N64" s="151"/>
      <c r="O64" s="17"/>
      <c r="P64" s="151"/>
      <c r="Q64" s="151"/>
    </row>
  </sheetData>
  <mergeCells count="17">
    <mergeCell ref="E15:F15"/>
    <mergeCell ref="E24:F24"/>
    <mergeCell ref="E25:F25"/>
    <mergeCell ref="E26:F26"/>
    <mergeCell ref="B36:G38"/>
    <mergeCell ref="A1:P5"/>
    <mergeCell ref="E10:F10"/>
    <mergeCell ref="M10:N10"/>
    <mergeCell ref="J10:K10"/>
    <mergeCell ref="E23:F23"/>
    <mergeCell ref="E13:F13"/>
    <mergeCell ref="E14:F14"/>
    <mergeCell ref="I7:O8"/>
    <mergeCell ref="B7:G8"/>
    <mergeCell ref="B20:G21"/>
    <mergeCell ref="C28:F31"/>
    <mergeCell ref="E16:F16"/>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"GMRC, Values Education"</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Z121"/>
  <sheetViews>
    <sheetView showGridLines="0" topLeftCell="B1" zoomScale="85" zoomScaleNormal="85" workbookViewId="0">
      <pane ySplit="16" topLeftCell="A17" activePane="bottomLeft" state="frozen"/>
      <selection pane="bottomLeft" activeCell="B17" sqref="B17:AX17"/>
    </sheetView>
  </sheetViews>
  <sheetFormatPr defaultColWidth="12.6328125" defaultRowHeight="15.75" customHeight="1" x14ac:dyDescent="0.25"/>
  <cols>
    <col min="1" max="2" width="3.90625" style="148" customWidth="1"/>
    <col min="3" max="5" width="12.6328125" style="148" customWidth="1"/>
    <col min="6" max="10" width="3.90625" style="148" customWidth="1"/>
    <col min="11" max="13" width="5.08984375" style="148" customWidth="1"/>
    <col min="14" max="18" width="3.90625" style="148" customWidth="1"/>
    <col min="19" max="19" width="5.08984375" style="148" customWidth="1"/>
    <col min="20" max="20" width="5.6328125" style="148" customWidth="1"/>
    <col min="21" max="21" width="6.36328125" style="148" customWidth="1"/>
    <col min="22" max="24" width="3.90625" style="148" customWidth="1"/>
    <col min="25" max="27" width="5.08984375" style="148" customWidth="1"/>
    <col min="28" max="30" width="3.90625" style="148" customWidth="1"/>
    <col min="31" max="33" width="5.08984375" style="148" customWidth="1"/>
    <col min="34" max="36" width="3.90625" style="148" customWidth="1"/>
    <col min="37" max="37" width="5.08984375" style="148" customWidth="1"/>
    <col min="38" max="38" width="5.6328125" style="148" customWidth="1"/>
    <col min="39" max="39" width="6.36328125" style="148" customWidth="1"/>
    <col min="40" max="42" width="5.6328125" style="148" customWidth="1"/>
    <col min="43" max="45" width="8" style="148" customWidth="1"/>
    <col min="46" max="47" width="5.6328125" style="148" customWidth="1"/>
    <col min="48" max="48" width="7.36328125" style="148" customWidth="1"/>
    <col min="49" max="49" width="10.08984375" style="148" customWidth="1"/>
    <col min="50" max="50" width="14.54296875" style="148" customWidth="1"/>
    <col min="51" max="51" width="12.6328125" style="148" customWidth="1"/>
    <col min="52" max="52" width="3.90625" style="148" customWidth="1"/>
    <col min="53" max="53" width="12.6328125" style="148" customWidth="1"/>
    <col min="54" max="16384" width="12.6328125" style="148"/>
  </cols>
  <sheetData>
    <row r="1" spans="1:52" ht="15.75" customHeight="1" x14ac:dyDescent="0.6">
      <c r="A1" s="89"/>
      <c r="AZ1" s="90"/>
    </row>
    <row r="2" spans="1:52" ht="15.75" customHeight="1" x14ac:dyDescent="0.25">
      <c r="B2" s="286" t="s">
        <v>19</v>
      </c>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Z2" s="90"/>
    </row>
    <row r="3" spans="1:52" ht="15.75" customHeight="1" x14ac:dyDescent="0.25">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Z3" s="90"/>
    </row>
    <row r="4" spans="1:52" ht="15.75" customHeight="1" thickBot="1" x14ac:dyDescent="0.3">
      <c r="AQ4" s="138"/>
      <c r="AR4" s="138"/>
      <c r="AS4" s="138"/>
      <c r="AT4" s="138"/>
      <c r="AU4" s="138"/>
      <c r="AV4" s="138"/>
      <c r="AZ4" s="90"/>
    </row>
    <row r="5" spans="1:52" ht="15.75" customHeight="1" thickBot="1" x14ac:dyDescent="0.4">
      <c r="A5" s="147"/>
      <c r="B5" s="147"/>
      <c r="C5" s="147"/>
      <c r="D5" s="147"/>
      <c r="E5" s="93" t="s">
        <v>3</v>
      </c>
      <c r="F5" s="260" t="str">
        <f>IF('INPUT DATA'!E10="","",'INPUT DATA'!E10)</f>
        <v>Region V</v>
      </c>
      <c r="G5" s="261"/>
      <c r="H5" s="261"/>
      <c r="I5" s="261"/>
      <c r="J5" s="261"/>
      <c r="K5" s="261"/>
      <c r="L5" s="261"/>
      <c r="M5" s="261"/>
      <c r="N5" s="262"/>
      <c r="O5" s="137"/>
      <c r="P5" s="137"/>
      <c r="Q5" s="94"/>
      <c r="R5" s="93" t="s">
        <v>7</v>
      </c>
      <c r="S5" s="260" t="str">
        <f>IF('INPUT DATA'!E11="","",'INPUT DATA'!E11)</f>
        <v>Masbate</v>
      </c>
      <c r="T5" s="261"/>
      <c r="U5" s="261"/>
      <c r="V5" s="261"/>
      <c r="W5" s="261"/>
      <c r="X5" s="261"/>
      <c r="Y5" s="261"/>
      <c r="Z5" s="261"/>
      <c r="AA5" s="261"/>
      <c r="AB5" s="261"/>
      <c r="AC5" s="262"/>
      <c r="AD5" s="94"/>
      <c r="AE5" s="94"/>
      <c r="AF5" s="94"/>
      <c r="AG5" s="94"/>
      <c r="AH5" s="93" t="s">
        <v>8</v>
      </c>
      <c r="AI5" s="260">
        <f>IF('INPUT DATA'!E13="","",'INPUT DATA'!E13)</f>
        <v>113481</v>
      </c>
      <c r="AJ5" s="261"/>
      <c r="AK5" s="261"/>
      <c r="AL5" s="261"/>
      <c r="AM5" s="261"/>
      <c r="AN5" s="261"/>
      <c r="AO5" s="262"/>
      <c r="AP5" s="139"/>
      <c r="AQ5" s="140"/>
      <c r="AR5" s="140"/>
      <c r="AS5" s="141"/>
      <c r="AT5" s="142"/>
      <c r="AU5" s="139"/>
      <c r="AV5" s="139"/>
      <c r="AW5" s="147"/>
      <c r="AX5" s="147"/>
      <c r="AY5" s="147"/>
      <c r="AZ5" s="91"/>
    </row>
    <row r="6" spans="1:52" ht="6" customHeight="1" thickBot="1" x14ac:dyDescent="0.4">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4">
      <c r="A7" s="147"/>
      <c r="B7" s="147"/>
      <c r="C7" s="147"/>
      <c r="D7" s="147"/>
      <c r="E7" s="93" t="s">
        <v>9</v>
      </c>
      <c r="F7" s="260" t="str">
        <f>IF('INPUT DATA'!E14="","",'INPUT DATA'!E14)</f>
        <v>Danao Elementary School</v>
      </c>
      <c r="G7" s="261"/>
      <c r="H7" s="261"/>
      <c r="I7" s="261"/>
      <c r="J7" s="261"/>
      <c r="K7" s="261"/>
      <c r="L7" s="261"/>
      <c r="M7" s="261"/>
      <c r="N7" s="261"/>
      <c r="O7" s="261"/>
      <c r="P7" s="261"/>
      <c r="Q7" s="261"/>
      <c r="R7" s="261"/>
      <c r="S7" s="261"/>
      <c r="T7" s="261"/>
      <c r="U7" s="261"/>
      <c r="V7" s="261"/>
      <c r="W7" s="261"/>
      <c r="X7" s="261"/>
      <c r="Y7" s="261"/>
      <c r="Z7" s="261"/>
      <c r="AA7" s="261"/>
      <c r="AB7" s="261"/>
      <c r="AC7" s="262"/>
      <c r="AD7" s="137"/>
      <c r="AE7" s="137"/>
      <c r="AF7" s="137"/>
      <c r="AG7" s="137"/>
      <c r="AH7" s="93" t="s">
        <v>10</v>
      </c>
      <c r="AI7" s="260" t="str">
        <f>IF('INPUT DATA'!E15="","",'INPUT DATA'!E15)</f>
        <v>2026-2027</v>
      </c>
      <c r="AJ7" s="261"/>
      <c r="AK7" s="261"/>
      <c r="AL7" s="261"/>
      <c r="AM7" s="261"/>
      <c r="AN7" s="261"/>
      <c r="AO7" s="262"/>
      <c r="AP7" s="137"/>
      <c r="AQ7" s="140"/>
      <c r="AR7" s="140"/>
      <c r="AS7" s="141"/>
      <c r="AT7" s="142"/>
      <c r="AU7" s="139"/>
      <c r="AV7" s="139"/>
      <c r="AW7" s="147"/>
      <c r="AX7" s="147"/>
      <c r="AY7" s="147"/>
      <c r="AZ7" s="91"/>
    </row>
    <row r="8" spans="1:52" ht="13.75"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5"/>
      <c r="AR8" s="145"/>
      <c r="AS8" s="145"/>
      <c r="AT8" s="145"/>
      <c r="AU8" s="145"/>
      <c r="AV8" s="145"/>
      <c r="AW8" s="147"/>
      <c r="AX8" s="147"/>
      <c r="AY8" s="147"/>
      <c r="AZ8" s="91"/>
    </row>
    <row r="9" spans="1:52" ht="15.75" customHeight="1" thickBot="1" x14ac:dyDescent="0.4">
      <c r="A9" s="147"/>
      <c r="B9" s="230"/>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2"/>
      <c r="AY9" s="147"/>
      <c r="AZ9" s="92"/>
    </row>
    <row r="10" spans="1:52" ht="14.4" customHeight="1" thickBot="1" x14ac:dyDescent="0.3">
      <c r="A10" s="147"/>
      <c r="B10" s="273" t="s">
        <v>20</v>
      </c>
      <c r="C10" s="274"/>
      <c r="D10" s="274"/>
      <c r="E10" s="275"/>
      <c r="F10" s="240" t="s">
        <v>15</v>
      </c>
      <c r="G10" s="241"/>
      <c r="H10" s="241"/>
      <c r="I10" s="241"/>
      <c r="J10" s="241"/>
      <c r="K10" s="242"/>
      <c r="L10" s="243">
        <f>IF('INPUT DATA'!E25="","",'INPUT DATA'!E25)</f>
        <v>2</v>
      </c>
      <c r="M10" s="244"/>
      <c r="N10" s="244"/>
      <c r="O10" s="244"/>
      <c r="P10" s="244"/>
      <c r="Q10" s="244"/>
      <c r="R10" s="244"/>
      <c r="S10" s="244"/>
      <c r="T10" s="244"/>
      <c r="U10" s="244"/>
      <c r="V10" s="247" t="s">
        <v>21</v>
      </c>
      <c r="W10" s="248"/>
      <c r="X10" s="248"/>
      <c r="Y10" s="248"/>
      <c r="Z10" s="248"/>
      <c r="AA10" s="249"/>
      <c r="AB10" s="243" t="str">
        <f>IF('INPUT DATA'!E23="","",'INPUT DATA'!E23)</f>
        <v>Ronel C. Ramos</v>
      </c>
      <c r="AC10" s="244"/>
      <c r="AD10" s="244"/>
      <c r="AE10" s="244"/>
      <c r="AF10" s="244"/>
      <c r="AG10" s="244"/>
      <c r="AH10" s="244"/>
      <c r="AI10" s="244"/>
      <c r="AJ10" s="244"/>
      <c r="AK10" s="244"/>
      <c r="AL10" s="244"/>
      <c r="AM10" s="244"/>
      <c r="AN10" s="244"/>
      <c r="AO10" s="244"/>
      <c r="AP10" s="236" t="s">
        <v>14</v>
      </c>
      <c r="AQ10" s="237"/>
      <c r="AR10" s="243" t="str">
        <f>IF('INPUT DATA'!E24="","",'INPUT DATA'!E24)</f>
        <v>GMRC</v>
      </c>
      <c r="AS10" s="244"/>
      <c r="AT10" s="244"/>
      <c r="AU10" s="244"/>
      <c r="AV10" s="244"/>
      <c r="AW10" s="244"/>
      <c r="AX10" s="255"/>
      <c r="AY10" s="147"/>
      <c r="AZ10" s="91"/>
    </row>
    <row r="11" spans="1:52" ht="14.4" customHeight="1" thickBot="1" x14ac:dyDescent="0.3">
      <c r="A11" s="147"/>
      <c r="B11" s="276"/>
      <c r="C11" s="274"/>
      <c r="D11" s="274"/>
      <c r="E11" s="275"/>
      <c r="F11" s="240" t="s">
        <v>16</v>
      </c>
      <c r="G11" s="241"/>
      <c r="H11" s="241"/>
      <c r="I11" s="241"/>
      <c r="J11" s="241"/>
      <c r="K11" s="242"/>
      <c r="L11" s="245" t="str">
        <f>IF('INPUT DATA'!E26="","",'INPUT DATA'!E26)</f>
        <v>Gumamela</v>
      </c>
      <c r="M11" s="246"/>
      <c r="N11" s="246"/>
      <c r="O11" s="246"/>
      <c r="P11" s="246"/>
      <c r="Q11" s="246"/>
      <c r="R11" s="246"/>
      <c r="S11" s="246"/>
      <c r="T11" s="246"/>
      <c r="U11" s="246"/>
      <c r="V11" s="250"/>
      <c r="W11" s="251"/>
      <c r="X11" s="251"/>
      <c r="Y11" s="251"/>
      <c r="Z11" s="251"/>
      <c r="AA11" s="252"/>
      <c r="AB11" s="253"/>
      <c r="AC11" s="254"/>
      <c r="AD11" s="254"/>
      <c r="AE11" s="254"/>
      <c r="AF11" s="254"/>
      <c r="AG11" s="254"/>
      <c r="AH11" s="254"/>
      <c r="AI11" s="254"/>
      <c r="AJ11" s="254"/>
      <c r="AK11" s="254"/>
      <c r="AL11" s="254"/>
      <c r="AM11" s="254"/>
      <c r="AN11" s="254"/>
      <c r="AO11" s="254"/>
      <c r="AP11" s="238"/>
      <c r="AQ11" s="239"/>
      <c r="AR11" s="256"/>
      <c r="AS11" s="257"/>
      <c r="AT11" s="257"/>
      <c r="AU11" s="257"/>
      <c r="AV11" s="257"/>
      <c r="AW11" s="257"/>
      <c r="AX11" s="258"/>
      <c r="AY11" s="147"/>
      <c r="AZ11" s="91"/>
    </row>
    <row r="12" spans="1:52" ht="13.25" customHeight="1" thickBot="1" x14ac:dyDescent="0.3">
      <c r="A12" s="147"/>
      <c r="B12" s="276"/>
      <c r="C12" s="274"/>
      <c r="D12" s="274"/>
      <c r="E12" s="277"/>
      <c r="F12" s="259" t="s">
        <v>22</v>
      </c>
      <c r="G12" s="220"/>
      <c r="H12" s="220"/>
      <c r="I12" s="220"/>
      <c r="J12" s="220"/>
      <c r="K12" s="220"/>
      <c r="L12" s="220"/>
      <c r="M12" s="220"/>
      <c r="N12" s="220"/>
      <c r="O12" s="220"/>
      <c r="P12" s="220"/>
      <c r="Q12" s="220"/>
      <c r="R12" s="220"/>
      <c r="S12" s="220"/>
      <c r="T12" s="220"/>
      <c r="U12" s="221"/>
      <c r="V12" s="219" t="s">
        <v>23</v>
      </c>
      <c r="W12" s="220"/>
      <c r="X12" s="220"/>
      <c r="Y12" s="220"/>
      <c r="Z12" s="220"/>
      <c r="AA12" s="220"/>
      <c r="AB12" s="220"/>
      <c r="AC12" s="220"/>
      <c r="AD12" s="220"/>
      <c r="AE12" s="220"/>
      <c r="AF12" s="220"/>
      <c r="AG12" s="220"/>
      <c r="AH12" s="220"/>
      <c r="AI12" s="220"/>
      <c r="AJ12" s="220"/>
      <c r="AK12" s="220"/>
      <c r="AL12" s="220"/>
      <c r="AM12" s="221"/>
      <c r="AN12" s="289" t="s">
        <v>24</v>
      </c>
      <c r="AO12" s="290"/>
      <c r="AP12" s="275"/>
      <c r="AQ12" s="275"/>
      <c r="AR12" s="290"/>
      <c r="AS12" s="290"/>
      <c r="AT12" s="290"/>
      <c r="AU12" s="291"/>
      <c r="AV12" s="233" t="s">
        <v>25</v>
      </c>
      <c r="AW12" s="233" t="s">
        <v>26</v>
      </c>
      <c r="AX12" s="233" t="s">
        <v>27</v>
      </c>
      <c r="AY12" s="147"/>
      <c r="AZ12" s="91"/>
    </row>
    <row r="13" spans="1:52" ht="13.75" customHeight="1" thickBot="1" x14ac:dyDescent="0.3">
      <c r="A13" s="147"/>
      <c r="B13" s="276"/>
      <c r="C13" s="274"/>
      <c r="D13" s="274"/>
      <c r="E13" s="277"/>
      <c r="F13" s="222"/>
      <c r="G13" s="223"/>
      <c r="H13" s="223"/>
      <c r="I13" s="223"/>
      <c r="J13" s="223"/>
      <c r="K13" s="223"/>
      <c r="L13" s="223"/>
      <c r="M13" s="223"/>
      <c r="N13" s="223"/>
      <c r="O13" s="223"/>
      <c r="P13" s="223"/>
      <c r="Q13" s="223"/>
      <c r="R13" s="223"/>
      <c r="S13" s="223"/>
      <c r="T13" s="223"/>
      <c r="U13" s="224"/>
      <c r="V13" s="222"/>
      <c r="W13" s="223"/>
      <c r="X13" s="223"/>
      <c r="Y13" s="223"/>
      <c r="Z13" s="223"/>
      <c r="AA13" s="223"/>
      <c r="AB13" s="223"/>
      <c r="AC13" s="223"/>
      <c r="AD13" s="223"/>
      <c r="AE13" s="223"/>
      <c r="AF13" s="223"/>
      <c r="AG13" s="223"/>
      <c r="AH13" s="223"/>
      <c r="AI13" s="223"/>
      <c r="AJ13" s="223"/>
      <c r="AK13" s="223"/>
      <c r="AL13" s="223"/>
      <c r="AM13" s="224"/>
      <c r="AN13" s="292"/>
      <c r="AO13" s="292"/>
      <c r="AP13" s="292"/>
      <c r="AQ13" s="292"/>
      <c r="AR13" s="292"/>
      <c r="AS13" s="292"/>
      <c r="AT13" s="292"/>
      <c r="AU13" s="293"/>
      <c r="AV13" s="234"/>
      <c r="AW13" s="234"/>
      <c r="AX13" s="234"/>
      <c r="AY13" s="147"/>
      <c r="AZ13" s="91"/>
    </row>
    <row r="14" spans="1:52" ht="14.4" customHeight="1" thickBot="1" x14ac:dyDescent="0.3">
      <c r="A14" s="147"/>
      <c r="B14" s="276"/>
      <c r="C14" s="274"/>
      <c r="D14" s="274"/>
      <c r="E14" s="277"/>
      <c r="F14" s="264" t="s">
        <v>28</v>
      </c>
      <c r="G14" s="223"/>
      <c r="H14" s="223"/>
      <c r="I14" s="223"/>
      <c r="J14" s="223"/>
      <c r="K14" s="223"/>
      <c r="L14" s="223"/>
      <c r="M14" s="224"/>
      <c r="N14" s="264" t="s">
        <v>29</v>
      </c>
      <c r="O14" s="223"/>
      <c r="P14" s="223"/>
      <c r="Q14" s="223"/>
      <c r="R14" s="223"/>
      <c r="S14" s="223"/>
      <c r="T14" s="223"/>
      <c r="U14" s="224"/>
      <c r="V14" s="263" t="s">
        <v>28</v>
      </c>
      <c r="W14" s="223"/>
      <c r="X14" s="223"/>
      <c r="Y14" s="223"/>
      <c r="Z14" s="223"/>
      <c r="AA14" s="224"/>
      <c r="AB14" s="263" t="s">
        <v>29</v>
      </c>
      <c r="AC14" s="223"/>
      <c r="AD14" s="223"/>
      <c r="AE14" s="223"/>
      <c r="AF14" s="223"/>
      <c r="AG14" s="224"/>
      <c r="AH14" s="263" t="s">
        <v>30</v>
      </c>
      <c r="AI14" s="223"/>
      <c r="AJ14" s="223"/>
      <c r="AK14" s="223"/>
      <c r="AL14" s="223"/>
      <c r="AM14" s="224"/>
      <c r="AN14" s="149"/>
      <c r="AO14" s="149"/>
      <c r="AP14" s="149"/>
      <c r="AQ14" s="149"/>
      <c r="AR14" s="149"/>
      <c r="AS14" s="149"/>
      <c r="AT14" s="149"/>
      <c r="AU14" s="150"/>
      <c r="AV14" s="234"/>
      <c r="AW14" s="234"/>
      <c r="AX14" s="234"/>
      <c r="AY14" s="147"/>
      <c r="AZ14" s="91"/>
    </row>
    <row r="15" spans="1:52" ht="13.75" customHeight="1" thickBot="1" x14ac:dyDescent="0.3">
      <c r="A15" s="147"/>
      <c r="B15" s="276"/>
      <c r="C15" s="274"/>
      <c r="D15" s="274"/>
      <c r="E15" s="27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34"/>
      <c r="AW15" s="234"/>
      <c r="AX15" s="234"/>
      <c r="AY15" s="147"/>
      <c r="AZ15" s="91"/>
    </row>
    <row r="16" spans="1:52" ht="14.4" customHeight="1" thickBot="1" x14ac:dyDescent="0.35">
      <c r="A16" s="147"/>
      <c r="B16" s="268" t="s">
        <v>40</v>
      </c>
      <c r="C16" s="269"/>
      <c r="D16" s="269"/>
      <c r="E16" s="270"/>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35"/>
      <c r="AW16" s="235"/>
      <c r="AX16" s="235"/>
      <c r="AY16" s="147"/>
      <c r="AZ16" s="91"/>
    </row>
    <row r="17" spans="1:52" ht="14.4" customHeight="1" thickBot="1" x14ac:dyDescent="0.35">
      <c r="A17" s="147"/>
      <c r="B17" s="265" t="s">
        <v>2</v>
      </c>
      <c r="C17" s="266"/>
      <c r="D17" s="266"/>
      <c r="E17" s="266"/>
      <c r="F17" s="266"/>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7"/>
      <c r="AY17" s="147"/>
      <c r="AZ17" s="91"/>
    </row>
    <row r="18" spans="1:52" ht="14.4" customHeight="1" thickBot="1" x14ac:dyDescent="0.35">
      <c r="A18" s="147"/>
      <c r="B18" s="287" t="s">
        <v>5</v>
      </c>
      <c r="C18" s="266"/>
      <c r="D18" s="266"/>
      <c r="E18" s="266"/>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8"/>
      <c r="AY18" s="147"/>
      <c r="AZ18" s="91"/>
    </row>
    <row r="19" spans="1:52" ht="15" customHeight="1" x14ac:dyDescent="0.3">
      <c r="A19" s="147"/>
      <c r="B19" s="64">
        <v>1</v>
      </c>
      <c r="C19" s="225" t="str">
        <f>IF('INPUT DATA'!K11="","",'INPUT DATA'!K11)</f>
        <v/>
      </c>
      <c r="D19" s="226"/>
      <c r="E19" s="22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 si="1">IF(COUNT(N19:R19)=0,"",IFERROR(S19/$S$16*$T$16,""))</f>
        <v/>
      </c>
      <c r="U19" s="184" t="str">
        <f t="shared" ref="U19" si="2">IF(T19="","",T19*$U$16)</f>
        <v/>
      </c>
      <c r="V19" s="128"/>
      <c r="W19" s="129"/>
      <c r="X19" s="130"/>
      <c r="Y19" s="159" t="str">
        <f t="shared" ref="Y19" si="3">IF(COUNT(V19:X19)=0,"",SUM(V19:X19))</f>
        <v/>
      </c>
      <c r="Z19" s="159" t="str">
        <f>IF(COUNT(V19:X19)=0,"",IFERROR(Y19/$Y$16*$Z$16,""))</f>
        <v/>
      </c>
      <c r="AA19" s="159" t="str">
        <f>IF(Z19="","",Z19*$AA$16)</f>
        <v/>
      </c>
      <c r="AB19" s="128"/>
      <c r="AC19" s="129"/>
      <c r="AD19" s="130"/>
      <c r="AE19" s="159" t="str">
        <f t="shared" ref="AE19" si="4">IF(COUNT(AB19:AD19)=0,"",SUM(AB19:AD19))</f>
        <v/>
      </c>
      <c r="AF19" s="159" t="str">
        <f>IF(COUNT(AB19:AD19)=0,"",IFERROR(AE19/$AE$16*$AF$16,""))</f>
        <v/>
      </c>
      <c r="AG19" s="159" t="str">
        <f>IF(AF19="","",AF19*$AG$16)</f>
        <v/>
      </c>
      <c r="AH19" s="128"/>
      <c r="AI19" s="129"/>
      <c r="AJ19" s="130"/>
      <c r="AK19" s="176" t="str">
        <f t="shared" ref="AK19" si="5">IF(COUNT(AH19:AJ19)=0,"",SUM(AH19:AJ19))</f>
        <v/>
      </c>
      <c r="AL19" s="159" t="str">
        <f t="shared" ref="AL19" si="6">IF(COUNT(AH19:AJ19)=0,"",IFERROR(AK19/$AK$16*$AL$16,""))</f>
        <v/>
      </c>
      <c r="AM19" s="159" t="str">
        <f t="shared" ref="AM19" si="7">IF(AL19="","",AL19*$AM$16)</f>
        <v/>
      </c>
      <c r="AN19" s="128"/>
      <c r="AO19" s="129"/>
      <c r="AP19" s="130"/>
      <c r="AQ19" s="162" t="str">
        <f t="shared" ref="AQ19" si="8">IF(AN19="","",IFERROR(AN19/$AN$16*$AQ$16,""))</f>
        <v/>
      </c>
      <c r="AR19" s="163" t="str">
        <f t="shared" ref="AR19" si="9">IF(AO19="","",IFERROR(AO19/$AO$16*$AR$16,""))</f>
        <v/>
      </c>
      <c r="AS19" s="187" t="str">
        <f t="shared" ref="AS19" si="10">IF(AP19="","",IFERROR(AP19/$AP$16*$AS$16,""))</f>
        <v/>
      </c>
      <c r="AT19" s="159" t="str">
        <f t="shared" ref="AT19" si="11">IF(COUNT(AN19:AP19)=0,"",SUM(AQ19:AS19))</f>
        <v/>
      </c>
      <c r="AU19" s="159" t="str">
        <f t="shared" ref="AU19"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3">
      <c r="A20" s="147"/>
      <c r="B20" s="65">
        <v>2</v>
      </c>
      <c r="C20" s="225" t="str">
        <f>IF('INPUT DATA'!K12="","",'INPUT DATA'!K12)</f>
        <v/>
      </c>
      <c r="D20" s="226"/>
      <c r="E20" s="22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ref="T20:T68" si="16">IF(COUNT(N20:R20)=0,"",IFERROR(S20/$S$16*$T$16,""))</f>
        <v/>
      </c>
      <c r="U20" s="185" t="str">
        <f t="shared" ref="U20:U68" si="17">IF(T20="","",T20*$U$16)</f>
        <v/>
      </c>
      <c r="V20" s="131"/>
      <c r="W20" s="127"/>
      <c r="X20" s="132"/>
      <c r="Y20" s="160" t="str">
        <f t="shared" ref="Y20:Y68" si="18">IF(COUNT(V20:X20)=0,"",SUM(V20:X20))</f>
        <v/>
      </c>
      <c r="Z20" s="160" t="str">
        <f t="shared" ref="Z20:Z68" si="19">IF(COUNT(V20:X20)=0,"",IFERROR(Y20/$Y$16*$Z$16,""))</f>
        <v/>
      </c>
      <c r="AA20" s="160" t="str">
        <f t="shared" ref="AA20:AA83" si="20">IF(Z20="","",Z20*$AA$16)</f>
        <v/>
      </c>
      <c r="AB20" s="131"/>
      <c r="AC20" s="127"/>
      <c r="AD20" s="132"/>
      <c r="AE20" s="160" t="str">
        <f t="shared" ref="AE20:AE68" si="21">IF(COUNT(AB20:AD20)=0,"",SUM(AB20:AD20))</f>
        <v/>
      </c>
      <c r="AF20" s="160" t="str">
        <f t="shared" ref="AF20:AF68" si="22">IF(COUNT(AB20:AD20)=0,"",IFERROR(AE20/$AE$16*$AF$16,""))</f>
        <v/>
      </c>
      <c r="AG20" s="160" t="str">
        <f t="shared" ref="AG20:AG83" si="23">IF(AF20="","",AF20*$AG$16)</f>
        <v/>
      </c>
      <c r="AH20" s="131"/>
      <c r="AI20" s="127"/>
      <c r="AJ20" s="132"/>
      <c r="AK20" s="177" t="str">
        <f t="shared" ref="AK20:AK68" si="24">IF(COUNT(AH20:AJ20)=0,"",SUM(AH20:AJ20))</f>
        <v/>
      </c>
      <c r="AL20" s="160" t="str">
        <f t="shared" ref="AL20:AL68" si="25">IF(COUNT(AH20:AJ20)=0,"",IFERROR(AK20/$AK$16*$AL$16,""))</f>
        <v/>
      </c>
      <c r="AM20" s="160" t="str">
        <f t="shared" ref="AM20:AM68" si="26">IF(AL20="","",AL20*$AM$16)</f>
        <v/>
      </c>
      <c r="AN20" s="131"/>
      <c r="AO20" s="127"/>
      <c r="AP20" s="132"/>
      <c r="AQ20" s="164" t="str">
        <f t="shared" ref="AQ20:AQ68" si="27">IF(AN20="","",IFERROR(AN20/$AN$16*$AQ$16,""))</f>
        <v/>
      </c>
      <c r="AR20" s="155" t="str">
        <f t="shared" ref="AR20:AR68" si="28">IF(AO20="","",IFERROR(AO20/$AO$16*$AR$16,""))</f>
        <v/>
      </c>
      <c r="AS20" s="188" t="str">
        <f t="shared" ref="AS20:AS68" si="29">IF(AP20="","",IFERROR(AP20/$AP$16*$AS$16,""))</f>
        <v/>
      </c>
      <c r="AT20" s="160" t="str">
        <f t="shared" ref="AT20:AT68" si="30">IF(COUNT(AN20:AP20)=0,"",SUM(AQ20:AS20))</f>
        <v/>
      </c>
      <c r="AU20" s="160" t="str">
        <f t="shared" ref="AU20:AU68" si="31">IF(AT20="","",AT20*$AU$16)</f>
        <v/>
      </c>
      <c r="AV20" s="168" t="str">
        <f t="shared" ref="AV20:AV68" si="32">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3">
      <c r="A21" s="147"/>
      <c r="B21" s="65">
        <v>3</v>
      </c>
      <c r="C21" s="225" t="str">
        <f>IF('INPUT DATA'!K13="","",'INPUT DATA'!K13)</f>
        <v/>
      </c>
      <c r="D21" s="226"/>
      <c r="E21" s="22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6"/>
        <v/>
      </c>
      <c r="U21" s="185" t="str">
        <f t="shared" si="17"/>
        <v/>
      </c>
      <c r="V21" s="131"/>
      <c r="W21" s="127"/>
      <c r="X21" s="132"/>
      <c r="Y21" s="160" t="str">
        <f t="shared" si="18"/>
        <v/>
      </c>
      <c r="Z21" s="160" t="str">
        <f t="shared" si="19"/>
        <v/>
      </c>
      <c r="AA21" s="160" t="str">
        <f t="shared" si="20"/>
        <v/>
      </c>
      <c r="AB21" s="131"/>
      <c r="AC21" s="127"/>
      <c r="AD21" s="132"/>
      <c r="AE21" s="160" t="str">
        <f t="shared" si="21"/>
        <v/>
      </c>
      <c r="AF21" s="160" t="str">
        <f t="shared" si="22"/>
        <v/>
      </c>
      <c r="AG21" s="160" t="str">
        <f t="shared" si="23"/>
        <v/>
      </c>
      <c r="AH21" s="131"/>
      <c r="AI21" s="127"/>
      <c r="AJ21" s="132"/>
      <c r="AK21" s="177" t="str">
        <f t="shared" si="24"/>
        <v/>
      </c>
      <c r="AL21" s="160" t="str">
        <f t="shared" si="25"/>
        <v/>
      </c>
      <c r="AM21" s="160" t="str">
        <f t="shared" si="26"/>
        <v/>
      </c>
      <c r="AN21" s="131"/>
      <c r="AO21" s="127"/>
      <c r="AP21" s="132"/>
      <c r="AQ21" s="164" t="str">
        <f t="shared" si="27"/>
        <v/>
      </c>
      <c r="AR21" s="155" t="str">
        <f t="shared" si="28"/>
        <v/>
      </c>
      <c r="AS21" s="188" t="str">
        <f t="shared" si="29"/>
        <v/>
      </c>
      <c r="AT21" s="160" t="str">
        <f t="shared" si="30"/>
        <v/>
      </c>
      <c r="AU21" s="160" t="str">
        <f t="shared" si="31"/>
        <v/>
      </c>
      <c r="AV21" s="168" t="str">
        <f t="shared" si="32"/>
        <v/>
      </c>
      <c r="AW21" s="171" t="str">
        <f>IF(AV21="","",IFERROR(INDEX(HELPER!$D$8:$D$48,IF(AV21&gt;=HELPER!$B$8,1,MATCH(AV21,HELPER!$B$8:$B$48,-1)+1)),""))</f>
        <v/>
      </c>
      <c r="AX21" s="174" t="str">
        <f>IF(AW21="","",IFERROR(VLOOKUP(AW21,HELPER!$F$8:$G$48,2,FALSE),""))</f>
        <v/>
      </c>
      <c r="AY21" s="147"/>
      <c r="AZ21" s="91"/>
    </row>
    <row r="22" spans="1:52" ht="15" customHeight="1" x14ac:dyDescent="0.3">
      <c r="A22" s="147"/>
      <c r="B22" s="65">
        <v>4</v>
      </c>
      <c r="C22" s="225" t="str">
        <f>IF('INPUT DATA'!K14="","",'INPUT DATA'!K14)</f>
        <v/>
      </c>
      <c r="D22" s="226"/>
      <c r="E22" s="22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6"/>
        <v/>
      </c>
      <c r="U22" s="185" t="str">
        <f t="shared" si="17"/>
        <v/>
      </c>
      <c r="V22" s="131"/>
      <c r="W22" s="127"/>
      <c r="X22" s="132"/>
      <c r="Y22" s="160" t="str">
        <f t="shared" si="18"/>
        <v/>
      </c>
      <c r="Z22" s="160" t="str">
        <f t="shared" si="19"/>
        <v/>
      </c>
      <c r="AA22" s="160" t="str">
        <f t="shared" si="20"/>
        <v/>
      </c>
      <c r="AB22" s="131"/>
      <c r="AC22" s="127"/>
      <c r="AD22" s="132"/>
      <c r="AE22" s="160" t="str">
        <f t="shared" si="21"/>
        <v/>
      </c>
      <c r="AF22" s="160" t="str">
        <f t="shared" si="22"/>
        <v/>
      </c>
      <c r="AG22" s="160" t="str">
        <f t="shared" si="23"/>
        <v/>
      </c>
      <c r="AH22" s="131"/>
      <c r="AI22" s="127"/>
      <c r="AJ22" s="132"/>
      <c r="AK22" s="177" t="str">
        <f t="shared" si="24"/>
        <v/>
      </c>
      <c r="AL22" s="160" t="str">
        <f t="shared" si="25"/>
        <v/>
      </c>
      <c r="AM22" s="160" t="str">
        <f t="shared" si="26"/>
        <v/>
      </c>
      <c r="AN22" s="131"/>
      <c r="AO22" s="127"/>
      <c r="AP22" s="132"/>
      <c r="AQ22" s="164" t="str">
        <f t="shared" si="27"/>
        <v/>
      </c>
      <c r="AR22" s="155" t="str">
        <f t="shared" si="28"/>
        <v/>
      </c>
      <c r="AS22" s="188" t="str">
        <f t="shared" si="29"/>
        <v/>
      </c>
      <c r="AT22" s="160" t="str">
        <f t="shared" si="30"/>
        <v/>
      </c>
      <c r="AU22" s="160" t="str">
        <f t="shared" si="31"/>
        <v/>
      </c>
      <c r="AV22" s="168" t="str">
        <f t="shared" si="32"/>
        <v/>
      </c>
      <c r="AW22" s="171" t="str">
        <f>IF(AV22="","",IFERROR(INDEX(HELPER!$D$8:$D$48,IF(AV22&gt;=HELPER!$B$8,1,MATCH(AV22,HELPER!$B$8:$B$48,-1)+1)),""))</f>
        <v/>
      </c>
      <c r="AX22" s="174" t="str">
        <f>IF(AW22="","",IFERROR(VLOOKUP(AW22,HELPER!$F$8:$G$48,2,FALSE),""))</f>
        <v/>
      </c>
      <c r="AY22" s="147"/>
      <c r="AZ22" s="91"/>
    </row>
    <row r="23" spans="1:52" ht="15" customHeight="1" x14ac:dyDescent="0.3">
      <c r="A23" s="147"/>
      <c r="B23" s="65">
        <v>5</v>
      </c>
      <c r="C23" s="229" t="str">
        <f>IF('INPUT DATA'!K15="","",'INPUT DATA'!K15)</f>
        <v/>
      </c>
      <c r="D23" s="226"/>
      <c r="E23" s="22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6"/>
        <v/>
      </c>
      <c r="U23" s="185" t="str">
        <f t="shared" si="17"/>
        <v/>
      </c>
      <c r="V23" s="131"/>
      <c r="W23" s="127"/>
      <c r="X23" s="132"/>
      <c r="Y23" s="160" t="str">
        <f t="shared" si="18"/>
        <v/>
      </c>
      <c r="Z23" s="160" t="str">
        <f t="shared" si="19"/>
        <v/>
      </c>
      <c r="AA23" s="160" t="str">
        <f t="shared" si="20"/>
        <v/>
      </c>
      <c r="AB23" s="131"/>
      <c r="AC23" s="127"/>
      <c r="AD23" s="132"/>
      <c r="AE23" s="160" t="str">
        <f t="shared" si="21"/>
        <v/>
      </c>
      <c r="AF23" s="160" t="str">
        <f t="shared" si="22"/>
        <v/>
      </c>
      <c r="AG23" s="160" t="str">
        <f t="shared" si="23"/>
        <v/>
      </c>
      <c r="AH23" s="131"/>
      <c r="AI23" s="127"/>
      <c r="AJ23" s="132"/>
      <c r="AK23" s="177" t="str">
        <f t="shared" si="24"/>
        <v/>
      </c>
      <c r="AL23" s="160" t="str">
        <f t="shared" si="25"/>
        <v/>
      </c>
      <c r="AM23" s="160" t="str">
        <f t="shared" si="26"/>
        <v/>
      </c>
      <c r="AN23" s="131"/>
      <c r="AO23" s="127"/>
      <c r="AP23" s="132"/>
      <c r="AQ23" s="164" t="str">
        <f t="shared" si="27"/>
        <v/>
      </c>
      <c r="AR23" s="155" t="str">
        <f t="shared" si="28"/>
        <v/>
      </c>
      <c r="AS23" s="188" t="str">
        <f t="shared" si="29"/>
        <v/>
      </c>
      <c r="AT23" s="160" t="str">
        <f t="shared" si="30"/>
        <v/>
      </c>
      <c r="AU23" s="160" t="str">
        <f t="shared" si="31"/>
        <v/>
      </c>
      <c r="AV23" s="168" t="str">
        <f t="shared" si="32"/>
        <v/>
      </c>
      <c r="AW23" s="171" t="str">
        <f>IF(AV23="","",IFERROR(INDEX(HELPER!$D$8:$D$48,IF(AV23&gt;=HELPER!$B$8,1,MATCH(AV23,HELPER!$B$8:$B$48,-1)+1)),""))</f>
        <v/>
      </c>
      <c r="AX23" s="174" t="str">
        <f>IF(AW23="","",IFERROR(VLOOKUP(AW23,HELPER!$F$8:$G$48,2,FALSE),""))</f>
        <v/>
      </c>
      <c r="AY23" s="147"/>
      <c r="AZ23" s="91"/>
    </row>
    <row r="24" spans="1:52" ht="15" customHeight="1" x14ac:dyDescent="0.3">
      <c r="A24" s="147"/>
      <c r="B24" s="65">
        <v>6</v>
      </c>
      <c r="C24" s="229" t="str">
        <f>IF('INPUT DATA'!K16="","",'INPUT DATA'!K16)</f>
        <v/>
      </c>
      <c r="D24" s="226"/>
      <c r="E24" s="22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6"/>
        <v/>
      </c>
      <c r="U24" s="185" t="str">
        <f t="shared" si="17"/>
        <v/>
      </c>
      <c r="V24" s="131"/>
      <c r="W24" s="127"/>
      <c r="X24" s="132"/>
      <c r="Y24" s="160" t="str">
        <f t="shared" si="18"/>
        <v/>
      </c>
      <c r="Z24" s="160" t="str">
        <f t="shared" si="19"/>
        <v/>
      </c>
      <c r="AA24" s="160" t="str">
        <f t="shared" si="20"/>
        <v/>
      </c>
      <c r="AB24" s="131"/>
      <c r="AC24" s="127"/>
      <c r="AD24" s="132"/>
      <c r="AE24" s="160" t="str">
        <f t="shared" si="21"/>
        <v/>
      </c>
      <c r="AF24" s="160" t="str">
        <f t="shared" si="22"/>
        <v/>
      </c>
      <c r="AG24" s="160" t="str">
        <f t="shared" si="23"/>
        <v/>
      </c>
      <c r="AH24" s="131"/>
      <c r="AI24" s="127"/>
      <c r="AJ24" s="132"/>
      <c r="AK24" s="177" t="str">
        <f t="shared" si="24"/>
        <v/>
      </c>
      <c r="AL24" s="160" t="str">
        <f t="shared" si="25"/>
        <v/>
      </c>
      <c r="AM24" s="160" t="str">
        <f t="shared" si="26"/>
        <v/>
      </c>
      <c r="AN24" s="131"/>
      <c r="AO24" s="127"/>
      <c r="AP24" s="132"/>
      <c r="AQ24" s="164" t="str">
        <f t="shared" si="27"/>
        <v/>
      </c>
      <c r="AR24" s="155" t="str">
        <f t="shared" si="28"/>
        <v/>
      </c>
      <c r="AS24" s="188" t="str">
        <f t="shared" si="29"/>
        <v/>
      </c>
      <c r="AT24" s="160" t="str">
        <f t="shared" si="30"/>
        <v/>
      </c>
      <c r="AU24" s="160" t="str">
        <f t="shared" si="31"/>
        <v/>
      </c>
      <c r="AV24" s="168" t="str">
        <f t="shared" si="32"/>
        <v/>
      </c>
      <c r="AW24" s="171" t="str">
        <f>IF(AV24="","",IFERROR(INDEX(HELPER!$D$8:$D$48,IF(AV24&gt;=HELPER!$B$8,1,MATCH(AV24,HELPER!$B$8:$B$48,-1)+1)),""))</f>
        <v/>
      </c>
      <c r="AX24" s="174" t="str">
        <f>IF(AW24="","",IFERROR(VLOOKUP(AW24,HELPER!$F$8:$G$48,2,FALSE),""))</f>
        <v/>
      </c>
      <c r="AY24" s="147"/>
      <c r="AZ24" s="91"/>
    </row>
    <row r="25" spans="1:52" ht="15" customHeight="1" x14ac:dyDescent="0.3">
      <c r="A25" s="147"/>
      <c r="B25" s="65">
        <v>7</v>
      </c>
      <c r="C25" s="229" t="str">
        <f>IF('INPUT DATA'!K17="","",'INPUT DATA'!K17)</f>
        <v/>
      </c>
      <c r="D25" s="226"/>
      <c r="E25" s="22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6"/>
        <v/>
      </c>
      <c r="U25" s="185" t="str">
        <f t="shared" si="17"/>
        <v/>
      </c>
      <c r="V25" s="131"/>
      <c r="W25" s="127"/>
      <c r="X25" s="132"/>
      <c r="Y25" s="160" t="str">
        <f t="shared" si="18"/>
        <v/>
      </c>
      <c r="Z25" s="160" t="str">
        <f t="shared" si="19"/>
        <v/>
      </c>
      <c r="AA25" s="160" t="str">
        <f t="shared" si="20"/>
        <v/>
      </c>
      <c r="AB25" s="131"/>
      <c r="AC25" s="127"/>
      <c r="AD25" s="132"/>
      <c r="AE25" s="160" t="str">
        <f t="shared" si="21"/>
        <v/>
      </c>
      <c r="AF25" s="160" t="str">
        <f t="shared" si="22"/>
        <v/>
      </c>
      <c r="AG25" s="160" t="str">
        <f t="shared" si="23"/>
        <v/>
      </c>
      <c r="AH25" s="131"/>
      <c r="AI25" s="127"/>
      <c r="AJ25" s="132"/>
      <c r="AK25" s="177" t="str">
        <f t="shared" si="24"/>
        <v/>
      </c>
      <c r="AL25" s="160" t="str">
        <f t="shared" si="25"/>
        <v/>
      </c>
      <c r="AM25" s="160" t="str">
        <f t="shared" si="26"/>
        <v/>
      </c>
      <c r="AN25" s="131"/>
      <c r="AO25" s="127"/>
      <c r="AP25" s="132"/>
      <c r="AQ25" s="164" t="str">
        <f t="shared" si="27"/>
        <v/>
      </c>
      <c r="AR25" s="155" t="str">
        <f t="shared" si="28"/>
        <v/>
      </c>
      <c r="AS25" s="188" t="str">
        <f t="shared" si="29"/>
        <v/>
      </c>
      <c r="AT25" s="160" t="str">
        <f t="shared" si="30"/>
        <v/>
      </c>
      <c r="AU25" s="160" t="str">
        <f t="shared" si="31"/>
        <v/>
      </c>
      <c r="AV25" s="168" t="str">
        <f t="shared" si="32"/>
        <v/>
      </c>
      <c r="AW25" s="171" t="str">
        <f>IF(AV25="","",IFERROR(INDEX(HELPER!$D$8:$D$48,IF(AV25&gt;=HELPER!$B$8,1,MATCH(AV25,HELPER!$B$8:$B$48,-1)+1)),""))</f>
        <v/>
      </c>
      <c r="AX25" s="174" t="str">
        <f>IF(AW25="","",IFERROR(VLOOKUP(AW25,HELPER!$F$8:$G$48,2,FALSE),""))</f>
        <v/>
      </c>
      <c r="AY25" s="147"/>
      <c r="AZ25" s="91"/>
    </row>
    <row r="26" spans="1:52" ht="15" customHeight="1" x14ac:dyDescent="0.3">
      <c r="A26" s="147"/>
      <c r="B26" s="65">
        <v>8</v>
      </c>
      <c r="C26" s="229" t="str">
        <f>IF('INPUT DATA'!K18="","",'INPUT DATA'!K18)</f>
        <v/>
      </c>
      <c r="D26" s="226"/>
      <c r="E26" s="22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6"/>
        <v/>
      </c>
      <c r="U26" s="185" t="str">
        <f t="shared" si="17"/>
        <v/>
      </c>
      <c r="V26" s="131"/>
      <c r="W26" s="127"/>
      <c r="X26" s="132"/>
      <c r="Y26" s="160" t="str">
        <f t="shared" si="18"/>
        <v/>
      </c>
      <c r="Z26" s="160" t="str">
        <f t="shared" si="19"/>
        <v/>
      </c>
      <c r="AA26" s="160" t="str">
        <f t="shared" si="20"/>
        <v/>
      </c>
      <c r="AB26" s="131"/>
      <c r="AC26" s="127"/>
      <c r="AD26" s="132"/>
      <c r="AE26" s="160" t="str">
        <f t="shared" si="21"/>
        <v/>
      </c>
      <c r="AF26" s="160" t="str">
        <f t="shared" si="22"/>
        <v/>
      </c>
      <c r="AG26" s="160" t="str">
        <f t="shared" si="23"/>
        <v/>
      </c>
      <c r="AH26" s="131"/>
      <c r="AI26" s="127"/>
      <c r="AJ26" s="132"/>
      <c r="AK26" s="177" t="str">
        <f t="shared" si="24"/>
        <v/>
      </c>
      <c r="AL26" s="160" t="str">
        <f t="shared" si="25"/>
        <v/>
      </c>
      <c r="AM26" s="160" t="str">
        <f t="shared" si="26"/>
        <v/>
      </c>
      <c r="AN26" s="131"/>
      <c r="AO26" s="127"/>
      <c r="AP26" s="132"/>
      <c r="AQ26" s="164" t="str">
        <f t="shared" si="27"/>
        <v/>
      </c>
      <c r="AR26" s="155" t="str">
        <f t="shared" si="28"/>
        <v/>
      </c>
      <c r="AS26" s="188" t="str">
        <f t="shared" si="29"/>
        <v/>
      </c>
      <c r="AT26" s="160" t="str">
        <f t="shared" si="30"/>
        <v/>
      </c>
      <c r="AU26" s="160" t="str">
        <f t="shared" si="31"/>
        <v/>
      </c>
      <c r="AV26" s="168" t="str">
        <f t="shared" si="32"/>
        <v/>
      </c>
      <c r="AW26" s="171" t="str">
        <f>IF(AV26="","",IFERROR(INDEX(HELPER!$D$8:$D$48,IF(AV26&gt;=HELPER!$B$8,1,MATCH(AV26,HELPER!$B$8:$B$48,-1)+1)),""))</f>
        <v/>
      </c>
      <c r="AX26" s="174" t="str">
        <f>IF(AW26="","",IFERROR(VLOOKUP(AW26,HELPER!$F$8:$G$48,2,FALSE),""))</f>
        <v/>
      </c>
      <c r="AY26" s="147"/>
      <c r="AZ26" s="91"/>
    </row>
    <row r="27" spans="1:52" ht="15" customHeight="1" x14ac:dyDescent="0.3">
      <c r="A27" s="147"/>
      <c r="B27" s="65">
        <v>9</v>
      </c>
      <c r="C27" s="229" t="str">
        <f>IF('INPUT DATA'!K19="","",'INPUT DATA'!K19)</f>
        <v/>
      </c>
      <c r="D27" s="226"/>
      <c r="E27" s="22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6"/>
        <v/>
      </c>
      <c r="U27" s="185" t="str">
        <f t="shared" si="17"/>
        <v/>
      </c>
      <c r="V27" s="131"/>
      <c r="W27" s="127"/>
      <c r="X27" s="132"/>
      <c r="Y27" s="160" t="str">
        <f t="shared" si="18"/>
        <v/>
      </c>
      <c r="Z27" s="160" t="str">
        <f t="shared" si="19"/>
        <v/>
      </c>
      <c r="AA27" s="160" t="str">
        <f t="shared" si="20"/>
        <v/>
      </c>
      <c r="AB27" s="131"/>
      <c r="AC27" s="127"/>
      <c r="AD27" s="132"/>
      <c r="AE27" s="160" t="str">
        <f t="shared" si="21"/>
        <v/>
      </c>
      <c r="AF27" s="160" t="str">
        <f t="shared" si="22"/>
        <v/>
      </c>
      <c r="AG27" s="160" t="str">
        <f t="shared" si="23"/>
        <v/>
      </c>
      <c r="AH27" s="131"/>
      <c r="AI27" s="127"/>
      <c r="AJ27" s="132"/>
      <c r="AK27" s="177" t="str">
        <f t="shared" si="24"/>
        <v/>
      </c>
      <c r="AL27" s="160" t="str">
        <f t="shared" si="25"/>
        <v/>
      </c>
      <c r="AM27" s="160" t="str">
        <f t="shared" si="26"/>
        <v/>
      </c>
      <c r="AN27" s="131"/>
      <c r="AO27" s="127"/>
      <c r="AP27" s="132"/>
      <c r="AQ27" s="164" t="str">
        <f t="shared" si="27"/>
        <v/>
      </c>
      <c r="AR27" s="155" t="str">
        <f t="shared" si="28"/>
        <v/>
      </c>
      <c r="AS27" s="188" t="str">
        <f t="shared" si="29"/>
        <v/>
      </c>
      <c r="AT27" s="160" t="str">
        <f t="shared" si="30"/>
        <v/>
      </c>
      <c r="AU27" s="160" t="str">
        <f t="shared" si="31"/>
        <v/>
      </c>
      <c r="AV27" s="168" t="str">
        <f t="shared" si="32"/>
        <v/>
      </c>
      <c r="AW27" s="171" t="str">
        <f>IF(AV27="","",IFERROR(INDEX(HELPER!$D$8:$D$48,IF(AV27&gt;=HELPER!$B$8,1,MATCH(AV27,HELPER!$B$8:$B$48,-1)+1)),""))</f>
        <v/>
      </c>
      <c r="AX27" s="174" t="str">
        <f>IF(AW27="","",IFERROR(VLOOKUP(AW27,HELPER!$F$8:$G$48,2,FALSE),""))</f>
        <v/>
      </c>
      <c r="AY27" s="147"/>
      <c r="AZ27" s="91"/>
    </row>
    <row r="28" spans="1:52" ht="15" customHeight="1" x14ac:dyDescent="0.3">
      <c r="A28" s="147"/>
      <c r="B28" s="65">
        <v>10</v>
      </c>
      <c r="C28" s="229" t="str">
        <f>IF('INPUT DATA'!K20="","",'INPUT DATA'!K20)</f>
        <v/>
      </c>
      <c r="D28" s="226"/>
      <c r="E28" s="22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6"/>
        <v/>
      </c>
      <c r="U28" s="185" t="str">
        <f t="shared" si="17"/>
        <v/>
      </c>
      <c r="V28" s="131"/>
      <c r="W28" s="127"/>
      <c r="X28" s="132"/>
      <c r="Y28" s="160" t="str">
        <f t="shared" si="18"/>
        <v/>
      </c>
      <c r="Z28" s="160" t="str">
        <f t="shared" si="19"/>
        <v/>
      </c>
      <c r="AA28" s="160" t="str">
        <f t="shared" si="20"/>
        <v/>
      </c>
      <c r="AB28" s="131"/>
      <c r="AC28" s="127"/>
      <c r="AD28" s="132"/>
      <c r="AE28" s="160" t="str">
        <f t="shared" si="21"/>
        <v/>
      </c>
      <c r="AF28" s="160" t="str">
        <f t="shared" si="22"/>
        <v/>
      </c>
      <c r="AG28" s="160" t="str">
        <f t="shared" si="23"/>
        <v/>
      </c>
      <c r="AH28" s="131"/>
      <c r="AI28" s="127"/>
      <c r="AJ28" s="132"/>
      <c r="AK28" s="177" t="str">
        <f t="shared" si="24"/>
        <v/>
      </c>
      <c r="AL28" s="160" t="str">
        <f t="shared" si="25"/>
        <v/>
      </c>
      <c r="AM28" s="160" t="str">
        <f t="shared" si="26"/>
        <v/>
      </c>
      <c r="AN28" s="131"/>
      <c r="AO28" s="127"/>
      <c r="AP28" s="132"/>
      <c r="AQ28" s="164" t="str">
        <f t="shared" si="27"/>
        <v/>
      </c>
      <c r="AR28" s="155" t="str">
        <f t="shared" si="28"/>
        <v/>
      </c>
      <c r="AS28" s="188" t="str">
        <f t="shared" si="29"/>
        <v/>
      </c>
      <c r="AT28" s="160" t="str">
        <f t="shared" si="30"/>
        <v/>
      </c>
      <c r="AU28" s="160" t="str">
        <f t="shared" si="31"/>
        <v/>
      </c>
      <c r="AV28" s="168" t="str">
        <f t="shared" si="32"/>
        <v/>
      </c>
      <c r="AW28" s="171" t="str">
        <f>IF(AV28="","",IFERROR(INDEX(HELPER!$D$8:$D$48,IF(AV28&gt;=HELPER!$B$8,1,MATCH(AV28,HELPER!$B$8:$B$48,-1)+1)),""))</f>
        <v/>
      </c>
      <c r="AX28" s="174" t="str">
        <f>IF(AW28="","",IFERROR(VLOOKUP(AW28,HELPER!$F$8:$G$48,2,FALSE),""))</f>
        <v/>
      </c>
      <c r="AY28" s="147"/>
      <c r="AZ28" s="91"/>
    </row>
    <row r="29" spans="1:52" ht="15" customHeight="1" x14ac:dyDescent="0.3">
      <c r="A29" s="147"/>
      <c r="B29" s="65">
        <v>11</v>
      </c>
      <c r="C29" s="229" t="str">
        <f>IF('INPUT DATA'!K21="","",'INPUT DATA'!K21)</f>
        <v/>
      </c>
      <c r="D29" s="226"/>
      <c r="E29" s="22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6"/>
        <v/>
      </c>
      <c r="U29" s="185" t="str">
        <f t="shared" si="17"/>
        <v/>
      </c>
      <c r="V29" s="131"/>
      <c r="W29" s="127"/>
      <c r="X29" s="132"/>
      <c r="Y29" s="160" t="str">
        <f t="shared" si="18"/>
        <v/>
      </c>
      <c r="Z29" s="160" t="str">
        <f t="shared" si="19"/>
        <v/>
      </c>
      <c r="AA29" s="160" t="str">
        <f t="shared" si="20"/>
        <v/>
      </c>
      <c r="AB29" s="131"/>
      <c r="AC29" s="127"/>
      <c r="AD29" s="132"/>
      <c r="AE29" s="160" t="str">
        <f t="shared" si="21"/>
        <v/>
      </c>
      <c r="AF29" s="160" t="str">
        <f t="shared" si="22"/>
        <v/>
      </c>
      <c r="AG29" s="160" t="str">
        <f t="shared" si="23"/>
        <v/>
      </c>
      <c r="AH29" s="131"/>
      <c r="AI29" s="127"/>
      <c r="AJ29" s="132"/>
      <c r="AK29" s="177" t="str">
        <f t="shared" si="24"/>
        <v/>
      </c>
      <c r="AL29" s="160" t="str">
        <f t="shared" si="25"/>
        <v/>
      </c>
      <c r="AM29" s="160" t="str">
        <f t="shared" si="26"/>
        <v/>
      </c>
      <c r="AN29" s="131"/>
      <c r="AO29" s="127"/>
      <c r="AP29" s="132"/>
      <c r="AQ29" s="164" t="str">
        <f t="shared" si="27"/>
        <v/>
      </c>
      <c r="AR29" s="155" t="str">
        <f t="shared" si="28"/>
        <v/>
      </c>
      <c r="AS29" s="188" t="str">
        <f t="shared" si="29"/>
        <v/>
      </c>
      <c r="AT29" s="160" t="str">
        <f t="shared" si="30"/>
        <v/>
      </c>
      <c r="AU29" s="160" t="str">
        <f t="shared" si="31"/>
        <v/>
      </c>
      <c r="AV29" s="168" t="str">
        <f t="shared" si="32"/>
        <v/>
      </c>
      <c r="AW29" s="171" t="str">
        <f>IF(AV29="","",IFERROR(INDEX(HELPER!$D$8:$D$48,IF(AV29&gt;=HELPER!$B$8,1,MATCH(AV29,HELPER!$B$8:$B$48,-1)+1)),""))</f>
        <v/>
      </c>
      <c r="AX29" s="174" t="str">
        <f>IF(AW29="","",IFERROR(VLOOKUP(AW29,HELPER!$F$8:$G$48,2,FALSE),""))</f>
        <v/>
      </c>
      <c r="AY29" s="147"/>
      <c r="AZ29" s="91"/>
    </row>
    <row r="30" spans="1:52" ht="15" customHeight="1" x14ac:dyDescent="0.3">
      <c r="A30" s="147"/>
      <c r="B30" s="65">
        <v>12</v>
      </c>
      <c r="C30" s="229" t="str">
        <f>IF('INPUT DATA'!K22="","",'INPUT DATA'!K22)</f>
        <v/>
      </c>
      <c r="D30" s="226"/>
      <c r="E30" s="22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6"/>
        <v/>
      </c>
      <c r="U30" s="185" t="str">
        <f t="shared" si="17"/>
        <v/>
      </c>
      <c r="V30" s="131"/>
      <c r="W30" s="127"/>
      <c r="X30" s="132"/>
      <c r="Y30" s="160" t="str">
        <f t="shared" si="18"/>
        <v/>
      </c>
      <c r="Z30" s="160" t="str">
        <f t="shared" si="19"/>
        <v/>
      </c>
      <c r="AA30" s="160" t="str">
        <f t="shared" si="20"/>
        <v/>
      </c>
      <c r="AB30" s="131"/>
      <c r="AC30" s="127"/>
      <c r="AD30" s="132"/>
      <c r="AE30" s="160" t="str">
        <f t="shared" si="21"/>
        <v/>
      </c>
      <c r="AF30" s="160" t="str">
        <f t="shared" si="22"/>
        <v/>
      </c>
      <c r="AG30" s="160" t="str">
        <f t="shared" si="23"/>
        <v/>
      </c>
      <c r="AH30" s="131"/>
      <c r="AI30" s="127"/>
      <c r="AJ30" s="132"/>
      <c r="AK30" s="177" t="str">
        <f t="shared" si="24"/>
        <v/>
      </c>
      <c r="AL30" s="160" t="str">
        <f t="shared" si="25"/>
        <v/>
      </c>
      <c r="AM30" s="160" t="str">
        <f t="shared" si="26"/>
        <v/>
      </c>
      <c r="AN30" s="131"/>
      <c r="AO30" s="127"/>
      <c r="AP30" s="132"/>
      <c r="AQ30" s="164" t="str">
        <f t="shared" si="27"/>
        <v/>
      </c>
      <c r="AR30" s="155" t="str">
        <f t="shared" si="28"/>
        <v/>
      </c>
      <c r="AS30" s="188" t="str">
        <f t="shared" si="29"/>
        <v/>
      </c>
      <c r="AT30" s="160" t="str">
        <f t="shared" si="30"/>
        <v/>
      </c>
      <c r="AU30" s="160" t="str">
        <f t="shared" si="31"/>
        <v/>
      </c>
      <c r="AV30" s="168" t="str">
        <f t="shared" si="32"/>
        <v/>
      </c>
      <c r="AW30" s="171" t="str">
        <f>IF(AV30="","",IFERROR(INDEX(HELPER!$D$8:$D$48,IF(AV30&gt;=HELPER!$B$8,1,MATCH(AV30,HELPER!$B$8:$B$48,-1)+1)),""))</f>
        <v/>
      </c>
      <c r="AX30" s="174" t="str">
        <f>IF(AW30="","",IFERROR(VLOOKUP(AW30,HELPER!$F$8:$G$48,2,FALSE),""))</f>
        <v/>
      </c>
      <c r="AY30" s="147"/>
      <c r="AZ30" s="91"/>
    </row>
    <row r="31" spans="1:52" ht="15" customHeight="1" x14ac:dyDescent="0.3">
      <c r="A31" s="147"/>
      <c r="B31" s="65">
        <v>13</v>
      </c>
      <c r="C31" s="229" t="str">
        <f>IF('INPUT DATA'!K23="","",'INPUT DATA'!K23)</f>
        <v/>
      </c>
      <c r="D31" s="226"/>
      <c r="E31" s="22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6"/>
        <v/>
      </c>
      <c r="U31" s="185" t="str">
        <f t="shared" si="17"/>
        <v/>
      </c>
      <c r="V31" s="131"/>
      <c r="W31" s="127"/>
      <c r="X31" s="132"/>
      <c r="Y31" s="160" t="str">
        <f t="shared" si="18"/>
        <v/>
      </c>
      <c r="Z31" s="160" t="str">
        <f t="shared" si="19"/>
        <v/>
      </c>
      <c r="AA31" s="160" t="str">
        <f t="shared" si="20"/>
        <v/>
      </c>
      <c r="AB31" s="131"/>
      <c r="AC31" s="127"/>
      <c r="AD31" s="132"/>
      <c r="AE31" s="160" t="str">
        <f t="shared" si="21"/>
        <v/>
      </c>
      <c r="AF31" s="160" t="str">
        <f t="shared" si="22"/>
        <v/>
      </c>
      <c r="AG31" s="160" t="str">
        <f t="shared" si="23"/>
        <v/>
      </c>
      <c r="AH31" s="131"/>
      <c r="AI31" s="127"/>
      <c r="AJ31" s="132"/>
      <c r="AK31" s="177" t="str">
        <f t="shared" si="24"/>
        <v/>
      </c>
      <c r="AL31" s="160" t="str">
        <f t="shared" si="25"/>
        <v/>
      </c>
      <c r="AM31" s="160" t="str">
        <f t="shared" si="26"/>
        <v/>
      </c>
      <c r="AN31" s="131"/>
      <c r="AO31" s="127"/>
      <c r="AP31" s="132"/>
      <c r="AQ31" s="164" t="str">
        <f t="shared" si="27"/>
        <v/>
      </c>
      <c r="AR31" s="155" t="str">
        <f t="shared" si="28"/>
        <v/>
      </c>
      <c r="AS31" s="188" t="str">
        <f t="shared" si="29"/>
        <v/>
      </c>
      <c r="AT31" s="160" t="str">
        <f t="shared" si="30"/>
        <v/>
      </c>
      <c r="AU31" s="160" t="str">
        <f t="shared" si="31"/>
        <v/>
      </c>
      <c r="AV31" s="168" t="str">
        <f t="shared" si="32"/>
        <v/>
      </c>
      <c r="AW31" s="171" t="str">
        <f>IF(AV31="","",IFERROR(INDEX(HELPER!$D$8:$D$48,IF(AV31&gt;=HELPER!$B$8,1,MATCH(AV31,HELPER!$B$8:$B$48,-1)+1)),""))</f>
        <v/>
      </c>
      <c r="AX31" s="174" t="str">
        <f>IF(AW31="","",IFERROR(VLOOKUP(AW31,HELPER!$F$8:$G$48,2,FALSE),""))</f>
        <v/>
      </c>
      <c r="AY31" s="147"/>
      <c r="AZ31" s="91"/>
    </row>
    <row r="32" spans="1:52" ht="15" customHeight="1" x14ac:dyDescent="0.3">
      <c r="A32" s="147"/>
      <c r="B32" s="65">
        <v>14</v>
      </c>
      <c r="C32" s="229" t="str">
        <f>IF('INPUT DATA'!K24="","",'INPUT DATA'!K24)</f>
        <v/>
      </c>
      <c r="D32" s="226"/>
      <c r="E32" s="22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6"/>
        <v/>
      </c>
      <c r="U32" s="185" t="str">
        <f t="shared" si="17"/>
        <v/>
      </c>
      <c r="V32" s="131"/>
      <c r="W32" s="127"/>
      <c r="X32" s="132"/>
      <c r="Y32" s="160" t="str">
        <f t="shared" si="18"/>
        <v/>
      </c>
      <c r="Z32" s="160" t="str">
        <f t="shared" si="19"/>
        <v/>
      </c>
      <c r="AA32" s="160" t="str">
        <f t="shared" si="20"/>
        <v/>
      </c>
      <c r="AB32" s="131"/>
      <c r="AC32" s="127"/>
      <c r="AD32" s="132"/>
      <c r="AE32" s="160" t="str">
        <f t="shared" si="21"/>
        <v/>
      </c>
      <c r="AF32" s="160" t="str">
        <f t="shared" si="22"/>
        <v/>
      </c>
      <c r="AG32" s="160" t="str">
        <f t="shared" si="23"/>
        <v/>
      </c>
      <c r="AH32" s="131"/>
      <c r="AI32" s="127"/>
      <c r="AJ32" s="132"/>
      <c r="AK32" s="177" t="str">
        <f t="shared" si="24"/>
        <v/>
      </c>
      <c r="AL32" s="160" t="str">
        <f t="shared" si="25"/>
        <v/>
      </c>
      <c r="AM32" s="160" t="str">
        <f t="shared" si="26"/>
        <v/>
      </c>
      <c r="AN32" s="131"/>
      <c r="AO32" s="127"/>
      <c r="AP32" s="132"/>
      <c r="AQ32" s="164" t="str">
        <f t="shared" si="27"/>
        <v/>
      </c>
      <c r="AR32" s="155" t="str">
        <f t="shared" si="28"/>
        <v/>
      </c>
      <c r="AS32" s="188" t="str">
        <f t="shared" si="29"/>
        <v/>
      </c>
      <c r="AT32" s="160" t="str">
        <f t="shared" si="30"/>
        <v/>
      </c>
      <c r="AU32" s="160" t="str">
        <f t="shared" si="31"/>
        <v/>
      </c>
      <c r="AV32" s="168" t="str">
        <f t="shared" si="32"/>
        <v/>
      </c>
      <c r="AW32" s="171" t="str">
        <f>IF(AV32="","",IFERROR(INDEX(HELPER!$D$8:$D$48,IF(AV32&gt;=HELPER!$B$8,1,MATCH(AV32,HELPER!$B$8:$B$48,-1)+1)),""))</f>
        <v/>
      </c>
      <c r="AX32" s="174" t="str">
        <f>IF(AW32="","",IFERROR(VLOOKUP(AW32,HELPER!$F$8:$G$48,2,FALSE),""))</f>
        <v/>
      </c>
      <c r="AY32" s="147"/>
      <c r="AZ32" s="91"/>
    </row>
    <row r="33" spans="1:52" ht="15" customHeight="1" x14ac:dyDescent="0.3">
      <c r="A33" s="147"/>
      <c r="B33" s="65">
        <v>15</v>
      </c>
      <c r="C33" s="229" t="str">
        <f>IF('INPUT DATA'!K25="","",'INPUT DATA'!K25)</f>
        <v/>
      </c>
      <c r="D33" s="226"/>
      <c r="E33" s="22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6"/>
        <v/>
      </c>
      <c r="U33" s="185" t="str">
        <f t="shared" si="17"/>
        <v/>
      </c>
      <c r="V33" s="131"/>
      <c r="W33" s="127"/>
      <c r="X33" s="132"/>
      <c r="Y33" s="160" t="str">
        <f t="shared" si="18"/>
        <v/>
      </c>
      <c r="Z33" s="160" t="str">
        <f t="shared" si="19"/>
        <v/>
      </c>
      <c r="AA33" s="160" t="str">
        <f t="shared" si="20"/>
        <v/>
      </c>
      <c r="AB33" s="131"/>
      <c r="AC33" s="127"/>
      <c r="AD33" s="132"/>
      <c r="AE33" s="160" t="str">
        <f t="shared" si="21"/>
        <v/>
      </c>
      <c r="AF33" s="160" t="str">
        <f t="shared" si="22"/>
        <v/>
      </c>
      <c r="AG33" s="160" t="str">
        <f t="shared" si="23"/>
        <v/>
      </c>
      <c r="AH33" s="131"/>
      <c r="AI33" s="127"/>
      <c r="AJ33" s="132"/>
      <c r="AK33" s="177" t="str">
        <f t="shared" si="24"/>
        <v/>
      </c>
      <c r="AL33" s="160" t="str">
        <f t="shared" si="25"/>
        <v/>
      </c>
      <c r="AM33" s="160" t="str">
        <f t="shared" si="26"/>
        <v/>
      </c>
      <c r="AN33" s="131"/>
      <c r="AO33" s="127"/>
      <c r="AP33" s="132"/>
      <c r="AQ33" s="164" t="str">
        <f t="shared" si="27"/>
        <v/>
      </c>
      <c r="AR33" s="155" t="str">
        <f t="shared" si="28"/>
        <v/>
      </c>
      <c r="AS33" s="188" t="str">
        <f t="shared" si="29"/>
        <v/>
      </c>
      <c r="AT33" s="160" t="str">
        <f t="shared" si="30"/>
        <v/>
      </c>
      <c r="AU33" s="160" t="str">
        <f t="shared" si="31"/>
        <v/>
      </c>
      <c r="AV33" s="168" t="str">
        <f t="shared" si="32"/>
        <v/>
      </c>
      <c r="AW33" s="171" t="str">
        <f>IF(AV33="","",IFERROR(INDEX(HELPER!$D$8:$D$48,IF(AV33&gt;=HELPER!$B$8,1,MATCH(AV33,HELPER!$B$8:$B$48,-1)+1)),""))</f>
        <v/>
      </c>
      <c r="AX33" s="174" t="str">
        <f>IF(AW33="","",IFERROR(VLOOKUP(AW33,HELPER!$F$8:$G$48,2,FALSE),""))</f>
        <v/>
      </c>
      <c r="AY33" s="147"/>
      <c r="AZ33" s="91"/>
    </row>
    <row r="34" spans="1:52" ht="15" customHeight="1" x14ac:dyDescent="0.3">
      <c r="A34" s="147"/>
      <c r="B34" s="65">
        <v>16</v>
      </c>
      <c r="C34" s="229" t="str">
        <f>IF('INPUT DATA'!K26="","",'INPUT DATA'!K26)</f>
        <v/>
      </c>
      <c r="D34" s="226"/>
      <c r="E34" s="22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6"/>
        <v/>
      </c>
      <c r="U34" s="185" t="str">
        <f t="shared" si="17"/>
        <v/>
      </c>
      <c r="V34" s="131"/>
      <c r="W34" s="127"/>
      <c r="X34" s="132"/>
      <c r="Y34" s="160" t="str">
        <f t="shared" si="18"/>
        <v/>
      </c>
      <c r="Z34" s="160" t="str">
        <f t="shared" si="19"/>
        <v/>
      </c>
      <c r="AA34" s="160" t="str">
        <f t="shared" si="20"/>
        <v/>
      </c>
      <c r="AB34" s="131"/>
      <c r="AC34" s="127"/>
      <c r="AD34" s="132"/>
      <c r="AE34" s="160" t="str">
        <f t="shared" si="21"/>
        <v/>
      </c>
      <c r="AF34" s="160" t="str">
        <f t="shared" si="22"/>
        <v/>
      </c>
      <c r="AG34" s="160" t="str">
        <f t="shared" si="23"/>
        <v/>
      </c>
      <c r="AH34" s="131"/>
      <c r="AI34" s="127"/>
      <c r="AJ34" s="132"/>
      <c r="AK34" s="177" t="str">
        <f t="shared" si="24"/>
        <v/>
      </c>
      <c r="AL34" s="160" t="str">
        <f t="shared" si="25"/>
        <v/>
      </c>
      <c r="AM34" s="160" t="str">
        <f t="shared" si="26"/>
        <v/>
      </c>
      <c r="AN34" s="131"/>
      <c r="AO34" s="127"/>
      <c r="AP34" s="132"/>
      <c r="AQ34" s="164" t="str">
        <f t="shared" si="27"/>
        <v/>
      </c>
      <c r="AR34" s="155" t="str">
        <f t="shared" si="28"/>
        <v/>
      </c>
      <c r="AS34" s="188" t="str">
        <f t="shared" si="29"/>
        <v/>
      </c>
      <c r="AT34" s="160" t="str">
        <f t="shared" si="30"/>
        <v/>
      </c>
      <c r="AU34" s="160" t="str">
        <f t="shared" si="31"/>
        <v/>
      </c>
      <c r="AV34" s="168" t="str">
        <f t="shared" si="32"/>
        <v/>
      </c>
      <c r="AW34" s="171" t="str">
        <f>IF(AV34="","",IFERROR(INDEX(HELPER!$D$8:$D$48,IF(AV34&gt;=HELPER!$B$8,1,MATCH(AV34,HELPER!$B$8:$B$48,-1)+1)),""))</f>
        <v/>
      </c>
      <c r="AX34" s="174" t="str">
        <f>IF(AW34="","",IFERROR(VLOOKUP(AW34,HELPER!$F$8:$G$48,2,FALSE),""))</f>
        <v/>
      </c>
      <c r="AY34" s="147"/>
      <c r="AZ34" s="91"/>
    </row>
    <row r="35" spans="1:52" ht="15" customHeight="1" x14ac:dyDescent="0.3">
      <c r="A35" s="147"/>
      <c r="B35" s="65">
        <v>17</v>
      </c>
      <c r="C35" s="229" t="str">
        <f>IF('INPUT DATA'!K27="","",'INPUT DATA'!K27)</f>
        <v/>
      </c>
      <c r="D35" s="226"/>
      <c r="E35" s="22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6"/>
        <v/>
      </c>
      <c r="U35" s="185" t="str">
        <f t="shared" si="17"/>
        <v/>
      </c>
      <c r="V35" s="131"/>
      <c r="W35" s="127"/>
      <c r="X35" s="132"/>
      <c r="Y35" s="160" t="str">
        <f t="shared" si="18"/>
        <v/>
      </c>
      <c r="Z35" s="160" t="str">
        <f t="shared" si="19"/>
        <v/>
      </c>
      <c r="AA35" s="160" t="str">
        <f t="shared" si="20"/>
        <v/>
      </c>
      <c r="AB35" s="131"/>
      <c r="AC35" s="127"/>
      <c r="AD35" s="132"/>
      <c r="AE35" s="160" t="str">
        <f t="shared" si="21"/>
        <v/>
      </c>
      <c r="AF35" s="160" t="str">
        <f t="shared" si="22"/>
        <v/>
      </c>
      <c r="AG35" s="160" t="str">
        <f t="shared" si="23"/>
        <v/>
      </c>
      <c r="AH35" s="131"/>
      <c r="AI35" s="127"/>
      <c r="AJ35" s="132"/>
      <c r="AK35" s="177" t="str">
        <f t="shared" si="24"/>
        <v/>
      </c>
      <c r="AL35" s="160" t="str">
        <f t="shared" si="25"/>
        <v/>
      </c>
      <c r="AM35" s="160" t="str">
        <f t="shared" si="26"/>
        <v/>
      </c>
      <c r="AN35" s="131"/>
      <c r="AO35" s="127"/>
      <c r="AP35" s="132"/>
      <c r="AQ35" s="164" t="str">
        <f t="shared" si="27"/>
        <v/>
      </c>
      <c r="AR35" s="155" t="str">
        <f t="shared" si="28"/>
        <v/>
      </c>
      <c r="AS35" s="188" t="str">
        <f t="shared" si="29"/>
        <v/>
      </c>
      <c r="AT35" s="160" t="str">
        <f t="shared" si="30"/>
        <v/>
      </c>
      <c r="AU35" s="160" t="str">
        <f t="shared" si="31"/>
        <v/>
      </c>
      <c r="AV35" s="168" t="str">
        <f t="shared" si="32"/>
        <v/>
      </c>
      <c r="AW35" s="171" t="str">
        <f>IF(AV35="","",IFERROR(INDEX(HELPER!$D$8:$D$48,IF(AV35&gt;=HELPER!$B$8,1,MATCH(AV35,HELPER!$B$8:$B$48,-1)+1)),""))</f>
        <v/>
      </c>
      <c r="AX35" s="174" t="str">
        <f>IF(AW35="","",IFERROR(VLOOKUP(AW35,HELPER!$F$8:$G$48,2,FALSE),""))</f>
        <v/>
      </c>
      <c r="AY35" s="147"/>
      <c r="AZ35" s="91"/>
    </row>
    <row r="36" spans="1:52" ht="15" customHeight="1" x14ac:dyDescent="0.3">
      <c r="A36" s="147"/>
      <c r="B36" s="65">
        <v>18</v>
      </c>
      <c r="C36" s="229" t="str">
        <f>IF('INPUT DATA'!K28="","",'INPUT DATA'!K28)</f>
        <v/>
      </c>
      <c r="D36" s="226"/>
      <c r="E36" s="22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6"/>
        <v/>
      </c>
      <c r="U36" s="185" t="str">
        <f t="shared" si="17"/>
        <v/>
      </c>
      <c r="V36" s="131"/>
      <c r="W36" s="127"/>
      <c r="X36" s="132"/>
      <c r="Y36" s="160" t="str">
        <f t="shared" si="18"/>
        <v/>
      </c>
      <c r="Z36" s="160" t="str">
        <f t="shared" si="19"/>
        <v/>
      </c>
      <c r="AA36" s="160" t="str">
        <f t="shared" si="20"/>
        <v/>
      </c>
      <c r="AB36" s="131"/>
      <c r="AC36" s="127"/>
      <c r="AD36" s="132"/>
      <c r="AE36" s="160" t="str">
        <f t="shared" si="21"/>
        <v/>
      </c>
      <c r="AF36" s="160" t="str">
        <f t="shared" si="22"/>
        <v/>
      </c>
      <c r="AG36" s="160" t="str">
        <f t="shared" si="23"/>
        <v/>
      </c>
      <c r="AH36" s="131"/>
      <c r="AI36" s="127"/>
      <c r="AJ36" s="132"/>
      <c r="AK36" s="177" t="str">
        <f t="shared" si="24"/>
        <v/>
      </c>
      <c r="AL36" s="160" t="str">
        <f t="shared" si="25"/>
        <v/>
      </c>
      <c r="AM36" s="160" t="str">
        <f t="shared" si="26"/>
        <v/>
      </c>
      <c r="AN36" s="131"/>
      <c r="AO36" s="127"/>
      <c r="AP36" s="132"/>
      <c r="AQ36" s="164" t="str">
        <f t="shared" si="27"/>
        <v/>
      </c>
      <c r="AR36" s="155" t="str">
        <f t="shared" si="28"/>
        <v/>
      </c>
      <c r="AS36" s="188" t="str">
        <f t="shared" si="29"/>
        <v/>
      </c>
      <c r="AT36" s="160" t="str">
        <f t="shared" si="30"/>
        <v/>
      </c>
      <c r="AU36" s="160" t="str">
        <f t="shared" si="31"/>
        <v/>
      </c>
      <c r="AV36" s="168" t="str">
        <f t="shared" si="32"/>
        <v/>
      </c>
      <c r="AW36" s="171" t="str">
        <f>IF(AV36="","",IFERROR(INDEX(HELPER!$D$8:$D$48,IF(AV36&gt;=HELPER!$B$8,1,MATCH(AV36,HELPER!$B$8:$B$48,-1)+1)),""))</f>
        <v/>
      </c>
      <c r="AX36" s="174" t="str">
        <f>IF(AW36="","",IFERROR(VLOOKUP(AW36,HELPER!$F$8:$G$48,2,FALSE),""))</f>
        <v/>
      </c>
      <c r="AY36" s="147"/>
      <c r="AZ36" s="91"/>
    </row>
    <row r="37" spans="1:52" ht="15" customHeight="1" x14ac:dyDescent="0.3">
      <c r="A37" s="147"/>
      <c r="B37" s="65">
        <v>19</v>
      </c>
      <c r="C37" s="229" t="str">
        <f>IF('INPUT DATA'!K29="","",'INPUT DATA'!K29)</f>
        <v/>
      </c>
      <c r="D37" s="226"/>
      <c r="E37" s="22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6"/>
        <v/>
      </c>
      <c r="U37" s="185" t="str">
        <f t="shared" si="17"/>
        <v/>
      </c>
      <c r="V37" s="131"/>
      <c r="W37" s="127"/>
      <c r="X37" s="132"/>
      <c r="Y37" s="160" t="str">
        <f t="shared" si="18"/>
        <v/>
      </c>
      <c r="Z37" s="160" t="str">
        <f t="shared" si="19"/>
        <v/>
      </c>
      <c r="AA37" s="160" t="str">
        <f t="shared" si="20"/>
        <v/>
      </c>
      <c r="AB37" s="131"/>
      <c r="AC37" s="127"/>
      <c r="AD37" s="132"/>
      <c r="AE37" s="160" t="str">
        <f t="shared" si="21"/>
        <v/>
      </c>
      <c r="AF37" s="160" t="str">
        <f t="shared" si="22"/>
        <v/>
      </c>
      <c r="AG37" s="160" t="str">
        <f t="shared" si="23"/>
        <v/>
      </c>
      <c r="AH37" s="131"/>
      <c r="AI37" s="127"/>
      <c r="AJ37" s="132"/>
      <c r="AK37" s="177" t="str">
        <f t="shared" si="24"/>
        <v/>
      </c>
      <c r="AL37" s="160" t="str">
        <f t="shared" si="25"/>
        <v/>
      </c>
      <c r="AM37" s="160" t="str">
        <f t="shared" si="26"/>
        <v/>
      </c>
      <c r="AN37" s="131"/>
      <c r="AO37" s="127"/>
      <c r="AP37" s="132"/>
      <c r="AQ37" s="164" t="str">
        <f t="shared" si="27"/>
        <v/>
      </c>
      <c r="AR37" s="155" t="str">
        <f t="shared" si="28"/>
        <v/>
      </c>
      <c r="AS37" s="188" t="str">
        <f t="shared" si="29"/>
        <v/>
      </c>
      <c r="AT37" s="160" t="str">
        <f t="shared" si="30"/>
        <v/>
      </c>
      <c r="AU37" s="160" t="str">
        <f t="shared" si="31"/>
        <v/>
      </c>
      <c r="AV37" s="168" t="str">
        <f t="shared" si="32"/>
        <v/>
      </c>
      <c r="AW37" s="171" t="str">
        <f>IF(AV37="","",IFERROR(INDEX(HELPER!$D$8:$D$48,IF(AV37&gt;=HELPER!$B$8,1,MATCH(AV37,HELPER!$B$8:$B$48,-1)+1)),""))</f>
        <v/>
      </c>
      <c r="AX37" s="174" t="str">
        <f>IF(AW37="","",IFERROR(VLOOKUP(AW37,HELPER!$F$8:$G$48,2,FALSE),""))</f>
        <v/>
      </c>
      <c r="AY37" s="147"/>
      <c r="AZ37" s="91"/>
    </row>
    <row r="38" spans="1:52" ht="15" customHeight="1" x14ac:dyDescent="0.3">
      <c r="A38" s="147"/>
      <c r="B38" s="66">
        <v>20</v>
      </c>
      <c r="C38" s="229" t="str">
        <f>IF('INPUT DATA'!K30="","",'INPUT DATA'!K30)</f>
        <v/>
      </c>
      <c r="D38" s="226"/>
      <c r="E38" s="22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6"/>
        <v/>
      </c>
      <c r="U38" s="185" t="str">
        <f t="shared" si="17"/>
        <v/>
      </c>
      <c r="V38" s="131"/>
      <c r="W38" s="127"/>
      <c r="X38" s="132"/>
      <c r="Y38" s="160" t="str">
        <f t="shared" si="18"/>
        <v/>
      </c>
      <c r="Z38" s="160" t="str">
        <f t="shared" si="19"/>
        <v/>
      </c>
      <c r="AA38" s="160" t="str">
        <f t="shared" si="20"/>
        <v/>
      </c>
      <c r="AB38" s="131"/>
      <c r="AC38" s="127"/>
      <c r="AD38" s="132"/>
      <c r="AE38" s="160" t="str">
        <f t="shared" si="21"/>
        <v/>
      </c>
      <c r="AF38" s="160" t="str">
        <f t="shared" si="22"/>
        <v/>
      </c>
      <c r="AG38" s="160" t="str">
        <f t="shared" si="23"/>
        <v/>
      </c>
      <c r="AH38" s="131"/>
      <c r="AI38" s="127"/>
      <c r="AJ38" s="132"/>
      <c r="AK38" s="177" t="str">
        <f t="shared" si="24"/>
        <v/>
      </c>
      <c r="AL38" s="160" t="str">
        <f t="shared" si="25"/>
        <v/>
      </c>
      <c r="AM38" s="160" t="str">
        <f t="shared" si="26"/>
        <v/>
      </c>
      <c r="AN38" s="131"/>
      <c r="AO38" s="127"/>
      <c r="AP38" s="132"/>
      <c r="AQ38" s="164" t="str">
        <f t="shared" si="27"/>
        <v/>
      </c>
      <c r="AR38" s="155" t="str">
        <f t="shared" si="28"/>
        <v/>
      </c>
      <c r="AS38" s="188" t="str">
        <f t="shared" si="29"/>
        <v/>
      </c>
      <c r="AT38" s="160" t="str">
        <f t="shared" si="30"/>
        <v/>
      </c>
      <c r="AU38" s="160" t="str">
        <f t="shared" si="31"/>
        <v/>
      </c>
      <c r="AV38" s="168" t="str">
        <f t="shared" si="32"/>
        <v/>
      </c>
      <c r="AW38" s="171" t="str">
        <f>IF(AV38="","",IFERROR(INDEX(HELPER!$D$8:$D$48,IF(AV38&gt;=HELPER!$B$8,1,MATCH(AV38,HELPER!$B$8:$B$48,-1)+1)),""))</f>
        <v/>
      </c>
      <c r="AX38" s="174" t="str">
        <f>IF(AW38="","",IFERROR(VLOOKUP(AW38,HELPER!$F$8:$G$48,2,FALSE),""))</f>
        <v/>
      </c>
      <c r="AY38" s="147"/>
      <c r="AZ38" s="91"/>
    </row>
    <row r="39" spans="1:52" ht="15" customHeight="1" x14ac:dyDescent="0.3">
      <c r="A39" s="147"/>
      <c r="B39" s="66">
        <v>21</v>
      </c>
      <c r="C39" s="229" t="str">
        <f>IF('INPUT DATA'!K31="","",'INPUT DATA'!K31)</f>
        <v/>
      </c>
      <c r="D39" s="226"/>
      <c r="E39" s="22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6"/>
        <v/>
      </c>
      <c r="U39" s="185" t="str">
        <f t="shared" si="17"/>
        <v/>
      </c>
      <c r="V39" s="131"/>
      <c r="W39" s="127"/>
      <c r="X39" s="132"/>
      <c r="Y39" s="160" t="str">
        <f t="shared" si="18"/>
        <v/>
      </c>
      <c r="Z39" s="160" t="str">
        <f t="shared" si="19"/>
        <v/>
      </c>
      <c r="AA39" s="160" t="str">
        <f t="shared" si="20"/>
        <v/>
      </c>
      <c r="AB39" s="131"/>
      <c r="AC39" s="127"/>
      <c r="AD39" s="132"/>
      <c r="AE39" s="160" t="str">
        <f t="shared" si="21"/>
        <v/>
      </c>
      <c r="AF39" s="160" t="str">
        <f t="shared" si="22"/>
        <v/>
      </c>
      <c r="AG39" s="160" t="str">
        <f t="shared" si="23"/>
        <v/>
      </c>
      <c r="AH39" s="131"/>
      <c r="AI39" s="127"/>
      <c r="AJ39" s="132"/>
      <c r="AK39" s="177" t="str">
        <f t="shared" si="24"/>
        <v/>
      </c>
      <c r="AL39" s="160" t="str">
        <f t="shared" si="25"/>
        <v/>
      </c>
      <c r="AM39" s="160" t="str">
        <f t="shared" si="26"/>
        <v/>
      </c>
      <c r="AN39" s="131"/>
      <c r="AO39" s="127"/>
      <c r="AP39" s="132"/>
      <c r="AQ39" s="164" t="str">
        <f t="shared" si="27"/>
        <v/>
      </c>
      <c r="AR39" s="155" t="str">
        <f t="shared" si="28"/>
        <v/>
      </c>
      <c r="AS39" s="188" t="str">
        <f t="shared" si="29"/>
        <v/>
      </c>
      <c r="AT39" s="160" t="str">
        <f t="shared" si="30"/>
        <v/>
      </c>
      <c r="AU39" s="160" t="str">
        <f t="shared" si="31"/>
        <v/>
      </c>
      <c r="AV39" s="168" t="str">
        <f t="shared" si="32"/>
        <v/>
      </c>
      <c r="AW39" s="171" t="str">
        <f>IF(AV39="","",IFERROR(INDEX(HELPER!$D$8:$D$48,IF(AV39&gt;=HELPER!$B$8,1,MATCH(AV39,HELPER!$B$8:$B$48,-1)+1)),""))</f>
        <v/>
      </c>
      <c r="AX39" s="174" t="str">
        <f>IF(AW39="","",IFERROR(VLOOKUP(AW39,HELPER!$F$8:$G$48,2,FALSE),""))</f>
        <v/>
      </c>
      <c r="AY39" s="147"/>
      <c r="AZ39" s="91"/>
    </row>
    <row r="40" spans="1:52" ht="15" customHeight="1" x14ac:dyDescent="0.3">
      <c r="A40" s="147"/>
      <c r="B40" s="66">
        <v>22</v>
      </c>
      <c r="C40" s="229" t="str">
        <f>IF('INPUT DATA'!K32="","",'INPUT DATA'!K32)</f>
        <v/>
      </c>
      <c r="D40" s="226"/>
      <c r="E40" s="22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6"/>
        <v/>
      </c>
      <c r="U40" s="185" t="str">
        <f t="shared" si="17"/>
        <v/>
      </c>
      <c r="V40" s="131"/>
      <c r="W40" s="127"/>
      <c r="X40" s="132"/>
      <c r="Y40" s="160" t="str">
        <f t="shared" si="18"/>
        <v/>
      </c>
      <c r="Z40" s="160" t="str">
        <f t="shared" si="19"/>
        <v/>
      </c>
      <c r="AA40" s="160" t="str">
        <f t="shared" si="20"/>
        <v/>
      </c>
      <c r="AB40" s="131"/>
      <c r="AC40" s="127"/>
      <c r="AD40" s="132"/>
      <c r="AE40" s="160" t="str">
        <f t="shared" si="21"/>
        <v/>
      </c>
      <c r="AF40" s="160" t="str">
        <f t="shared" si="22"/>
        <v/>
      </c>
      <c r="AG40" s="160" t="str">
        <f t="shared" si="23"/>
        <v/>
      </c>
      <c r="AH40" s="131"/>
      <c r="AI40" s="127"/>
      <c r="AJ40" s="132"/>
      <c r="AK40" s="177" t="str">
        <f t="shared" si="24"/>
        <v/>
      </c>
      <c r="AL40" s="160" t="str">
        <f t="shared" si="25"/>
        <v/>
      </c>
      <c r="AM40" s="160" t="str">
        <f t="shared" si="26"/>
        <v/>
      </c>
      <c r="AN40" s="131"/>
      <c r="AO40" s="127"/>
      <c r="AP40" s="132"/>
      <c r="AQ40" s="164" t="str">
        <f t="shared" si="27"/>
        <v/>
      </c>
      <c r="AR40" s="155" t="str">
        <f t="shared" si="28"/>
        <v/>
      </c>
      <c r="AS40" s="188" t="str">
        <f t="shared" si="29"/>
        <v/>
      </c>
      <c r="AT40" s="160" t="str">
        <f t="shared" si="30"/>
        <v/>
      </c>
      <c r="AU40" s="160" t="str">
        <f t="shared" si="31"/>
        <v/>
      </c>
      <c r="AV40" s="168" t="str">
        <f t="shared" si="32"/>
        <v/>
      </c>
      <c r="AW40" s="171" t="str">
        <f>IF(AV40="","",IFERROR(INDEX(HELPER!$D$8:$D$48,IF(AV40&gt;=HELPER!$B$8,1,MATCH(AV40,HELPER!$B$8:$B$48,-1)+1)),""))</f>
        <v/>
      </c>
      <c r="AX40" s="174" t="str">
        <f>IF(AW40="","",IFERROR(VLOOKUP(AW40,HELPER!$F$8:$G$48,2,FALSE),""))</f>
        <v/>
      </c>
      <c r="AY40" s="147"/>
      <c r="AZ40" s="91"/>
    </row>
    <row r="41" spans="1:52" ht="15" customHeight="1" x14ac:dyDescent="0.3">
      <c r="A41" s="147"/>
      <c r="B41" s="66">
        <v>23</v>
      </c>
      <c r="C41" s="229" t="str">
        <f>IF('INPUT DATA'!K33="","",'INPUT DATA'!K33)</f>
        <v/>
      </c>
      <c r="D41" s="226"/>
      <c r="E41" s="22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6"/>
        <v/>
      </c>
      <c r="U41" s="185" t="str">
        <f t="shared" si="17"/>
        <v/>
      </c>
      <c r="V41" s="131"/>
      <c r="W41" s="127"/>
      <c r="X41" s="132"/>
      <c r="Y41" s="160" t="str">
        <f t="shared" si="18"/>
        <v/>
      </c>
      <c r="Z41" s="160" t="str">
        <f t="shared" si="19"/>
        <v/>
      </c>
      <c r="AA41" s="160" t="str">
        <f t="shared" si="20"/>
        <v/>
      </c>
      <c r="AB41" s="131"/>
      <c r="AC41" s="127"/>
      <c r="AD41" s="132"/>
      <c r="AE41" s="160" t="str">
        <f t="shared" si="21"/>
        <v/>
      </c>
      <c r="AF41" s="160" t="str">
        <f t="shared" si="22"/>
        <v/>
      </c>
      <c r="AG41" s="160" t="str">
        <f t="shared" si="23"/>
        <v/>
      </c>
      <c r="AH41" s="131"/>
      <c r="AI41" s="127"/>
      <c r="AJ41" s="132"/>
      <c r="AK41" s="177" t="str">
        <f t="shared" si="24"/>
        <v/>
      </c>
      <c r="AL41" s="160" t="str">
        <f t="shared" si="25"/>
        <v/>
      </c>
      <c r="AM41" s="160" t="str">
        <f t="shared" si="26"/>
        <v/>
      </c>
      <c r="AN41" s="131"/>
      <c r="AO41" s="127"/>
      <c r="AP41" s="132"/>
      <c r="AQ41" s="164" t="str">
        <f t="shared" si="27"/>
        <v/>
      </c>
      <c r="AR41" s="155" t="str">
        <f t="shared" si="28"/>
        <v/>
      </c>
      <c r="AS41" s="188" t="str">
        <f t="shared" si="29"/>
        <v/>
      </c>
      <c r="AT41" s="160" t="str">
        <f t="shared" si="30"/>
        <v/>
      </c>
      <c r="AU41" s="160" t="str">
        <f t="shared" si="31"/>
        <v/>
      </c>
      <c r="AV41" s="168" t="str">
        <f t="shared" si="32"/>
        <v/>
      </c>
      <c r="AW41" s="171" t="str">
        <f>IF(AV41="","",IFERROR(INDEX(HELPER!$D$8:$D$48,IF(AV41&gt;=HELPER!$B$8,1,MATCH(AV41,HELPER!$B$8:$B$48,-1)+1)),""))</f>
        <v/>
      </c>
      <c r="AX41" s="174" t="str">
        <f>IF(AW41="","",IFERROR(VLOOKUP(AW41,HELPER!$F$8:$G$48,2,FALSE),""))</f>
        <v/>
      </c>
      <c r="AY41" s="147"/>
      <c r="AZ41" s="91"/>
    </row>
    <row r="42" spans="1:52" ht="15" customHeight="1" x14ac:dyDescent="0.3">
      <c r="A42" s="147"/>
      <c r="B42" s="66">
        <v>24</v>
      </c>
      <c r="C42" s="229" t="str">
        <f>IF('INPUT DATA'!K34="","",'INPUT DATA'!K34)</f>
        <v/>
      </c>
      <c r="D42" s="226"/>
      <c r="E42" s="22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6"/>
        <v/>
      </c>
      <c r="U42" s="185" t="str">
        <f t="shared" si="17"/>
        <v/>
      </c>
      <c r="V42" s="131"/>
      <c r="W42" s="127"/>
      <c r="X42" s="132"/>
      <c r="Y42" s="160" t="str">
        <f t="shared" si="18"/>
        <v/>
      </c>
      <c r="Z42" s="160" t="str">
        <f t="shared" si="19"/>
        <v/>
      </c>
      <c r="AA42" s="160" t="str">
        <f t="shared" si="20"/>
        <v/>
      </c>
      <c r="AB42" s="131"/>
      <c r="AC42" s="127"/>
      <c r="AD42" s="132"/>
      <c r="AE42" s="160" t="str">
        <f t="shared" si="21"/>
        <v/>
      </c>
      <c r="AF42" s="160" t="str">
        <f t="shared" si="22"/>
        <v/>
      </c>
      <c r="AG42" s="160" t="str">
        <f t="shared" si="23"/>
        <v/>
      </c>
      <c r="AH42" s="131"/>
      <c r="AI42" s="127"/>
      <c r="AJ42" s="132"/>
      <c r="AK42" s="177" t="str">
        <f t="shared" si="24"/>
        <v/>
      </c>
      <c r="AL42" s="160" t="str">
        <f t="shared" si="25"/>
        <v/>
      </c>
      <c r="AM42" s="160" t="str">
        <f t="shared" si="26"/>
        <v/>
      </c>
      <c r="AN42" s="131"/>
      <c r="AO42" s="127"/>
      <c r="AP42" s="132"/>
      <c r="AQ42" s="164" t="str">
        <f t="shared" si="27"/>
        <v/>
      </c>
      <c r="AR42" s="155" t="str">
        <f t="shared" si="28"/>
        <v/>
      </c>
      <c r="AS42" s="188" t="str">
        <f t="shared" si="29"/>
        <v/>
      </c>
      <c r="AT42" s="160" t="str">
        <f t="shared" si="30"/>
        <v/>
      </c>
      <c r="AU42" s="160" t="str">
        <f t="shared" si="31"/>
        <v/>
      </c>
      <c r="AV42" s="168" t="str">
        <f t="shared" si="32"/>
        <v/>
      </c>
      <c r="AW42" s="171" t="str">
        <f>IF(AV42="","",IFERROR(INDEX(HELPER!$D$8:$D$48,IF(AV42&gt;=HELPER!$B$8,1,MATCH(AV42,HELPER!$B$8:$B$48,-1)+1)),""))</f>
        <v/>
      </c>
      <c r="AX42" s="174" t="str">
        <f>IF(AW42="","",IFERROR(VLOOKUP(AW42,HELPER!$F$8:$G$48,2,FALSE),""))</f>
        <v/>
      </c>
      <c r="AY42" s="147"/>
      <c r="AZ42" s="91"/>
    </row>
    <row r="43" spans="1:52" ht="15" customHeight="1" x14ac:dyDescent="0.3">
      <c r="A43" s="147"/>
      <c r="B43" s="66">
        <v>25</v>
      </c>
      <c r="C43" s="229" t="str">
        <f>IF('INPUT DATA'!K35="","",'INPUT DATA'!K35)</f>
        <v/>
      </c>
      <c r="D43" s="226"/>
      <c r="E43" s="22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6"/>
        <v/>
      </c>
      <c r="U43" s="185" t="str">
        <f t="shared" si="17"/>
        <v/>
      </c>
      <c r="V43" s="131"/>
      <c r="W43" s="127"/>
      <c r="X43" s="132"/>
      <c r="Y43" s="160" t="str">
        <f t="shared" si="18"/>
        <v/>
      </c>
      <c r="Z43" s="160" t="str">
        <f t="shared" si="19"/>
        <v/>
      </c>
      <c r="AA43" s="160" t="str">
        <f t="shared" si="20"/>
        <v/>
      </c>
      <c r="AB43" s="131"/>
      <c r="AC43" s="127"/>
      <c r="AD43" s="132"/>
      <c r="AE43" s="160" t="str">
        <f t="shared" si="21"/>
        <v/>
      </c>
      <c r="AF43" s="160" t="str">
        <f t="shared" si="22"/>
        <v/>
      </c>
      <c r="AG43" s="160" t="str">
        <f t="shared" si="23"/>
        <v/>
      </c>
      <c r="AH43" s="131"/>
      <c r="AI43" s="127"/>
      <c r="AJ43" s="132"/>
      <c r="AK43" s="177" t="str">
        <f t="shared" si="24"/>
        <v/>
      </c>
      <c r="AL43" s="160" t="str">
        <f t="shared" si="25"/>
        <v/>
      </c>
      <c r="AM43" s="160" t="str">
        <f t="shared" si="26"/>
        <v/>
      </c>
      <c r="AN43" s="131"/>
      <c r="AO43" s="127"/>
      <c r="AP43" s="132"/>
      <c r="AQ43" s="164" t="str">
        <f t="shared" si="27"/>
        <v/>
      </c>
      <c r="AR43" s="155" t="str">
        <f t="shared" si="28"/>
        <v/>
      </c>
      <c r="AS43" s="188" t="str">
        <f t="shared" si="29"/>
        <v/>
      </c>
      <c r="AT43" s="160" t="str">
        <f t="shared" si="30"/>
        <v/>
      </c>
      <c r="AU43" s="160" t="str">
        <f t="shared" si="31"/>
        <v/>
      </c>
      <c r="AV43" s="168" t="str">
        <f t="shared" si="32"/>
        <v/>
      </c>
      <c r="AW43" s="171" t="str">
        <f>IF(AV43="","",IFERROR(INDEX(HELPER!$D$8:$D$48,IF(AV43&gt;=HELPER!$B$8,1,MATCH(AV43,HELPER!$B$8:$B$48,-1)+1)),""))</f>
        <v/>
      </c>
      <c r="AX43" s="174" t="str">
        <f>IF(AW43="","",IFERROR(VLOOKUP(AW43,HELPER!$F$8:$G$48,2,FALSE),""))</f>
        <v/>
      </c>
      <c r="AY43" s="147"/>
      <c r="AZ43" s="91"/>
    </row>
    <row r="44" spans="1:52" ht="15" customHeight="1" x14ac:dyDescent="0.3">
      <c r="A44" s="147"/>
      <c r="B44" s="66">
        <v>26</v>
      </c>
      <c r="C44" s="229" t="str">
        <f>IF('INPUT DATA'!K36="","",'INPUT DATA'!K36)</f>
        <v/>
      </c>
      <c r="D44" s="226"/>
      <c r="E44" s="22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6"/>
        <v/>
      </c>
      <c r="U44" s="185" t="str">
        <f t="shared" si="17"/>
        <v/>
      </c>
      <c r="V44" s="131"/>
      <c r="W44" s="127"/>
      <c r="X44" s="132"/>
      <c r="Y44" s="160" t="str">
        <f t="shared" si="18"/>
        <v/>
      </c>
      <c r="Z44" s="160" t="str">
        <f t="shared" si="19"/>
        <v/>
      </c>
      <c r="AA44" s="160" t="str">
        <f t="shared" si="20"/>
        <v/>
      </c>
      <c r="AB44" s="131"/>
      <c r="AC44" s="127"/>
      <c r="AD44" s="132"/>
      <c r="AE44" s="160" t="str">
        <f t="shared" si="21"/>
        <v/>
      </c>
      <c r="AF44" s="160" t="str">
        <f t="shared" si="22"/>
        <v/>
      </c>
      <c r="AG44" s="160" t="str">
        <f t="shared" si="23"/>
        <v/>
      </c>
      <c r="AH44" s="131"/>
      <c r="AI44" s="127"/>
      <c r="AJ44" s="132"/>
      <c r="AK44" s="177" t="str">
        <f t="shared" si="24"/>
        <v/>
      </c>
      <c r="AL44" s="160" t="str">
        <f t="shared" si="25"/>
        <v/>
      </c>
      <c r="AM44" s="160" t="str">
        <f t="shared" si="26"/>
        <v/>
      </c>
      <c r="AN44" s="131"/>
      <c r="AO44" s="127"/>
      <c r="AP44" s="132"/>
      <c r="AQ44" s="164" t="str">
        <f t="shared" si="27"/>
        <v/>
      </c>
      <c r="AR44" s="155" t="str">
        <f t="shared" si="28"/>
        <v/>
      </c>
      <c r="AS44" s="188" t="str">
        <f t="shared" si="29"/>
        <v/>
      </c>
      <c r="AT44" s="160" t="str">
        <f t="shared" si="30"/>
        <v/>
      </c>
      <c r="AU44" s="160" t="str">
        <f t="shared" si="31"/>
        <v/>
      </c>
      <c r="AV44" s="168" t="str">
        <f t="shared" si="32"/>
        <v/>
      </c>
      <c r="AW44" s="171" t="str">
        <f>IF(AV44="","",IFERROR(INDEX(HELPER!$D$8:$D$48,IF(AV44&gt;=HELPER!$B$8,1,MATCH(AV44,HELPER!$B$8:$B$48,-1)+1)),""))</f>
        <v/>
      </c>
      <c r="AX44" s="174" t="str">
        <f>IF(AW44="","",IFERROR(VLOOKUP(AW44,HELPER!$F$8:$G$48,2,FALSE),""))</f>
        <v/>
      </c>
      <c r="AY44" s="147"/>
      <c r="AZ44" s="91"/>
    </row>
    <row r="45" spans="1:52" ht="15" customHeight="1" x14ac:dyDescent="0.3">
      <c r="A45" s="147"/>
      <c r="B45" s="66">
        <v>27</v>
      </c>
      <c r="C45" s="229" t="str">
        <f>IF('INPUT DATA'!K37="","",'INPUT DATA'!K37)</f>
        <v/>
      </c>
      <c r="D45" s="226"/>
      <c r="E45" s="22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6"/>
        <v/>
      </c>
      <c r="U45" s="185" t="str">
        <f t="shared" si="17"/>
        <v/>
      </c>
      <c r="V45" s="131"/>
      <c r="W45" s="127"/>
      <c r="X45" s="132"/>
      <c r="Y45" s="160" t="str">
        <f t="shared" si="18"/>
        <v/>
      </c>
      <c r="Z45" s="160" t="str">
        <f t="shared" si="19"/>
        <v/>
      </c>
      <c r="AA45" s="160" t="str">
        <f t="shared" si="20"/>
        <v/>
      </c>
      <c r="AB45" s="131"/>
      <c r="AC45" s="127"/>
      <c r="AD45" s="132"/>
      <c r="AE45" s="160" t="str">
        <f t="shared" si="21"/>
        <v/>
      </c>
      <c r="AF45" s="160" t="str">
        <f t="shared" si="22"/>
        <v/>
      </c>
      <c r="AG45" s="160" t="str">
        <f t="shared" si="23"/>
        <v/>
      </c>
      <c r="AH45" s="131"/>
      <c r="AI45" s="127"/>
      <c r="AJ45" s="132"/>
      <c r="AK45" s="177" t="str">
        <f t="shared" si="24"/>
        <v/>
      </c>
      <c r="AL45" s="160" t="str">
        <f t="shared" si="25"/>
        <v/>
      </c>
      <c r="AM45" s="160" t="str">
        <f t="shared" si="26"/>
        <v/>
      </c>
      <c r="AN45" s="131"/>
      <c r="AO45" s="127"/>
      <c r="AP45" s="132"/>
      <c r="AQ45" s="164" t="str">
        <f t="shared" si="27"/>
        <v/>
      </c>
      <c r="AR45" s="155" t="str">
        <f t="shared" si="28"/>
        <v/>
      </c>
      <c r="AS45" s="188" t="str">
        <f t="shared" si="29"/>
        <v/>
      </c>
      <c r="AT45" s="160" t="str">
        <f t="shared" si="30"/>
        <v/>
      </c>
      <c r="AU45" s="160" t="str">
        <f t="shared" si="31"/>
        <v/>
      </c>
      <c r="AV45" s="168" t="str">
        <f t="shared" si="32"/>
        <v/>
      </c>
      <c r="AW45" s="171" t="str">
        <f>IF(AV45="","",IFERROR(INDEX(HELPER!$D$8:$D$48,IF(AV45&gt;=HELPER!$B$8,1,MATCH(AV45,HELPER!$B$8:$B$48,-1)+1)),""))</f>
        <v/>
      </c>
      <c r="AX45" s="174" t="str">
        <f>IF(AW45="","",IFERROR(VLOOKUP(AW45,HELPER!$F$8:$G$48,2,FALSE),""))</f>
        <v/>
      </c>
      <c r="AY45" s="147"/>
      <c r="AZ45" s="91"/>
    </row>
    <row r="46" spans="1:52" ht="15" customHeight="1" x14ac:dyDescent="0.3">
      <c r="A46" s="147"/>
      <c r="B46" s="66">
        <v>28</v>
      </c>
      <c r="C46" s="229" t="str">
        <f>IF('INPUT DATA'!K38="","",'INPUT DATA'!K38)</f>
        <v/>
      </c>
      <c r="D46" s="226"/>
      <c r="E46" s="22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6"/>
        <v/>
      </c>
      <c r="U46" s="185" t="str">
        <f t="shared" si="17"/>
        <v/>
      </c>
      <c r="V46" s="131"/>
      <c r="W46" s="127"/>
      <c r="X46" s="132"/>
      <c r="Y46" s="160" t="str">
        <f t="shared" si="18"/>
        <v/>
      </c>
      <c r="Z46" s="160" t="str">
        <f t="shared" si="19"/>
        <v/>
      </c>
      <c r="AA46" s="160" t="str">
        <f t="shared" si="20"/>
        <v/>
      </c>
      <c r="AB46" s="131"/>
      <c r="AC46" s="127"/>
      <c r="AD46" s="132"/>
      <c r="AE46" s="160" t="str">
        <f t="shared" si="21"/>
        <v/>
      </c>
      <c r="AF46" s="160" t="str">
        <f t="shared" si="22"/>
        <v/>
      </c>
      <c r="AG46" s="160" t="str">
        <f t="shared" si="23"/>
        <v/>
      </c>
      <c r="AH46" s="131"/>
      <c r="AI46" s="127"/>
      <c r="AJ46" s="132"/>
      <c r="AK46" s="177" t="str">
        <f t="shared" si="24"/>
        <v/>
      </c>
      <c r="AL46" s="160" t="str">
        <f t="shared" si="25"/>
        <v/>
      </c>
      <c r="AM46" s="160" t="str">
        <f t="shared" si="26"/>
        <v/>
      </c>
      <c r="AN46" s="131"/>
      <c r="AO46" s="127"/>
      <c r="AP46" s="132"/>
      <c r="AQ46" s="164" t="str">
        <f t="shared" si="27"/>
        <v/>
      </c>
      <c r="AR46" s="155" t="str">
        <f t="shared" si="28"/>
        <v/>
      </c>
      <c r="AS46" s="188" t="str">
        <f t="shared" si="29"/>
        <v/>
      </c>
      <c r="AT46" s="160" t="str">
        <f t="shared" si="30"/>
        <v/>
      </c>
      <c r="AU46" s="160" t="str">
        <f t="shared" si="31"/>
        <v/>
      </c>
      <c r="AV46" s="168" t="str">
        <f t="shared" si="32"/>
        <v/>
      </c>
      <c r="AW46" s="171" t="str">
        <f>IF(AV46="","",IFERROR(INDEX(HELPER!$D$8:$D$48,IF(AV46&gt;=HELPER!$B$8,1,MATCH(AV46,HELPER!$B$8:$B$48,-1)+1)),""))</f>
        <v/>
      </c>
      <c r="AX46" s="174" t="str">
        <f>IF(AW46="","",IFERROR(VLOOKUP(AW46,HELPER!$F$8:$G$48,2,FALSE),""))</f>
        <v/>
      </c>
      <c r="AY46" s="147"/>
      <c r="AZ46" s="91"/>
    </row>
    <row r="47" spans="1:52" ht="15" customHeight="1" x14ac:dyDescent="0.3">
      <c r="A47" s="147"/>
      <c r="B47" s="66">
        <v>29</v>
      </c>
      <c r="C47" s="229" t="str">
        <f>IF('INPUT DATA'!K39="","",'INPUT DATA'!K39)</f>
        <v/>
      </c>
      <c r="D47" s="226"/>
      <c r="E47" s="22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6"/>
        <v/>
      </c>
      <c r="U47" s="185" t="str">
        <f t="shared" si="17"/>
        <v/>
      </c>
      <c r="V47" s="131"/>
      <c r="W47" s="127"/>
      <c r="X47" s="132"/>
      <c r="Y47" s="160" t="str">
        <f t="shared" si="18"/>
        <v/>
      </c>
      <c r="Z47" s="160" t="str">
        <f t="shared" si="19"/>
        <v/>
      </c>
      <c r="AA47" s="160" t="str">
        <f t="shared" si="20"/>
        <v/>
      </c>
      <c r="AB47" s="131"/>
      <c r="AC47" s="127"/>
      <c r="AD47" s="132"/>
      <c r="AE47" s="160" t="str">
        <f t="shared" si="21"/>
        <v/>
      </c>
      <c r="AF47" s="160" t="str">
        <f t="shared" si="22"/>
        <v/>
      </c>
      <c r="AG47" s="160" t="str">
        <f t="shared" si="23"/>
        <v/>
      </c>
      <c r="AH47" s="131"/>
      <c r="AI47" s="127"/>
      <c r="AJ47" s="132"/>
      <c r="AK47" s="177" t="str">
        <f t="shared" si="24"/>
        <v/>
      </c>
      <c r="AL47" s="160" t="str">
        <f t="shared" si="25"/>
        <v/>
      </c>
      <c r="AM47" s="160" t="str">
        <f t="shared" si="26"/>
        <v/>
      </c>
      <c r="AN47" s="131"/>
      <c r="AO47" s="127"/>
      <c r="AP47" s="132"/>
      <c r="AQ47" s="164" t="str">
        <f t="shared" si="27"/>
        <v/>
      </c>
      <c r="AR47" s="155" t="str">
        <f t="shared" si="28"/>
        <v/>
      </c>
      <c r="AS47" s="188" t="str">
        <f t="shared" si="29"/>
        <v/>
      </c>
      <c r="AT47" s="160" t="str">
        <f t="shared" si="30"/>
        <v/>
      </c>
      <c r="AU47" s="160" t="str">
        <f t="shared" si="31"/>
        <v/>
      </c>
      <c r="AV47" s="168" t="str">
        <f t="shared" si="32"/>
        <v/>
      </c>
      <c r="AW47" s="171" t="str">
        <f>IF(AV47="","",IFERROR(INDEX(HELPER!$D$8:$D$48,IF(AV47&gt;=HELPER!$B$8,1,MATCH(AV47,HELPER!$B$8:$B$48,-1)+1)),""))</f>
        <v/>
      </c>
      <c r="AX47" s="174" t="str">
        <f>IF(AW47="","",IFERROR(VLOOKUP(AW47,HELPER!$F$8:$G$48,2,FALSE),""))</f>
        <v/>
      </c>
      <c r="AY47" s="147"/>
      <c r="AZ47" s="91"/>
    </row>
    <row r="48" spans="1:52" ht="15" customHeight="1" x14ac:dyDescent="0.3">
      <c r="A48" s="147"/>
      <c r="B48" s="66">
        <v>30</v>
      </c>
      <c r="C48" s="229" t="str">
        <f>IF('INPUT DATA'!K40="","",'INPUT DATA'!K40)</f>
        <v/>
      </c>
      <c r="D48" s="226"/>
      <c r="E48" s="22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6"/>
        <v/>
      </c>
      <c r="U48" s="185" t="str">
        <f t="shared" si="17"/>
        <v/>
      </c>
      <c r="V48" s="131"/>
      <c r="W48" s="127"/>
      <c r="X48" s="132"/>
      <c r="Y48" s="160" t="str">
        <f t="shared" si="18"/>
        <v/>
      </c>
      <c r="Z48" s="160" t="str">
        <f t="shared" si="19"/>
        <v/>
      </c>
      <c r="AA48" s="160" t="str">
        <f t="shared" si="20"/>
        <v/>
      </c>
      <c r="AB48" s="131"/>
      <c r="AC48" s="127"/>
      <c r="AD48" s="132"/>
      <c r="AE48" s="160" t="str">
        <f t="shared" si="21"/>
        <v/>
      </c>
      <c r="AF48" s="160" t="str">
        <f t="shared" si="22"/>
        <v/>
      </c>
      <c r="AG48" s="160" t="str">
        <f t="shared" si="23"/>
        <v/>
      </c>
      <c r="AH48" s="131"/>
      <c r="AI48" s="127"/>
      <c r="AJ48" s="132"/>
      <c r="AK48" s="177" t="str">
        <f t="shared" si="24"/>
        <v/>
      </c>
      <c r="AL48" s="160" t="str">
        <f t="shared" si="25"/>
        <v/>
      </c>
      <c r="AM48" s="160" t="str">
        <f t="shared" si="26"/>
        <v/>
      </c>
      <c r="AN48" s="131"/>
      <c r="AO48" s="127"/>
      <c r="AP48" s="132"/>
      <c r="AQ48" s="164" t="str">
        <f t="shared" si="27"/>
        <v/>
      </c>
      <c r="AR48" s="155" t="str">
        <f t="shared" si="28"/>
        <v/>
      </c>
      <c r="AS48" s="188" t="str">
        <f t="shared" si="29"/>
        <v/>
      </c>
      <c r="AT48" s="160" t="str">
        <f t="shared" si="30"/>
        <v/>
      </c>
      <c r="AU48" s="160" t="str">
        <f t="shared" si="31"/>
        <v/>
      </c>
      <c r="AV48" s="168" t="str">
        <f t="shared" si="32"/>
        <v/>
      </c>
      <c r="AW48" s="171" t="str">
        <f>IF(AV48="","",IFERROR(INDEX(HELPER!$D$8:$D$48,IF(AV48&gt;=HELPER!$B$8,1,MATCH(AV48,HELPER!$B$8:$B$48,-1)+1)),""))</f>
        <v/>
      </c>
      <c r="AX48" s="174" t="str">
        <f>IF(AW48="","",IFERROR(VLOOKUP(AW48,HELPER!$F$8:$G$48,2,FALSE),""))</f>
        <v/>
      </c>
      <c r="AY48" s="147"/>
      <c r="AZ48" s="91"/>
    </row>
    <row r="49" spans="1:52" ht="15" customHeight="1" x14ac:dyDescent="0.3">
      <c r="A49" s="147"/>
      <c r="B49" s="66">
        <v>31</v>
      </c>
      <c r="C49" s="229" t="str">
        <f>IF('INPUT DATA'!K41="","",'INPUT DATA'!K41)</f>
        <v/>
      </c>
      <c r="D49" s="226"/>
      <c r="E49" s="22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6"/>
        <v/>
      </c>
      <c r="U49" s="185" t="str">
        <f t="shared" si="17"/>
        <v/>
      </c>
      <c r="V49" s="131"/>
      <c r="W49" s="127"/>
      <c r="X49" s="132"/>
      <c r="Y49" s="160" t="str">
        <f t="shared" si="18"/>
        <v/>
      </c>
      <c r="Z49" s="160" t="str">
        <f t="shared" si="19"/>
        <v/>
      </c>
      <c r="AA49" s="160" t="str">
        <f t="shared" si="20"/>
        <v/>
      </c>
      <c r="AB49" s="131"/>
      <c r="AC49" s="127"/>
      <c r="AD49" s="132"/>
      <c r="AE49" s="160" t="str">
        <f t="shared" si="21"/>
        <v/>
      </c>
      <c r="AF49" s="160" t="str">
        <f t="shared" si="22"/>
        <v/>
      </c>
      <c r="AG49" s="160" t="str">
        <f t="shared" si="23"/>
        <v/>
      </c>
      <c r="AH49" s="131"/>
      <c r="AI49" s="127"/>
      <c r="AJ49" s="132"/>
      <c r="AK49" s="177" t="str">
        <f t="shared" si="24"/>
        <v/>
      </c>
      <c r="AL49" s="160" t="str">
        <f t="shared" si="25"/>
        <v/>
      </c>
      <c r="AM49" s="160" t="str">
        <f t="shared" si="26"/>
        <v/>
      </c>
      <c r="AN49" s="131"/>
      <c r="AO49" s="127"/>
      <c r="AP49" s="132"/>
      <c r="AQ49" s="164" t="str">
        <f t="shared" si="27"/>
        <v/>
      </c>
      <c r="AR49" s="155" t="str">
        <f t="shared" si="28"/>
        <v/>
      </c>
      <c r="AS49" s="188" t="str">
        <f t="shared" si="29"/>
        <v/>
      </c>
      <c r="AT49" s="160" t="str">
        <f t="shared" si="30"/>
        <v/>
      </c>
      <c r="AU49" s="160" t="str">
        <f t="shared" si="31"/>
        <v/>
      </c>
      <c r="AV49" s="168" t="str">
        <f t="shared" si="32"/>
        <v/>
      </c>
      <c r="AW49" s="171" t="str">
        <f>IF(AV49="","",IFERROR(INDEX(HELPER!$D$8:$D$48,IF(AV49&gt;=HELPER!$B$8,1,MATCH(AV49,HELPER!$B$8:$B$48,-1)+1)),""))</f>
        <v/>
      </c>
      <c r="AX49" s="174" t="str">
        <f>IF(AW49="","",IFERROR(VLOOKUP(AW49,HELPER!$F$8:$G$48,2,FALSE),""))</f>
        <v/>
      </c>
      <c r="AY49" s="147"/>
      <c r="AZ49" s="91"/>
    </row>
    <row r="50" spans="1:52" ht="15" customHeight="1" x14ac:dyDescent="0.3">
      <c r="A50" s="147"/>
      <c r="B50" s="66">
        <v>32</v>
      </c>
      <c r="C50" s="229" t="str">
        <f>IF('INPUT DATA'!K42="","",'INPUT DATA'!K42)</f>
        <v/>
      </c>
      <c r="D50" s="226"/>
      <c r="E50" s="22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6"/>
        <v/>
      </c>
      <c r="U50" s="185" t="str">
        <f t="shared" si="17"/>
        <v/>
      </c>
      <c r="V50" s="131"/>
      <c r="W50" s="127"/>
      <c r="X50" s="132"/>
      <c r="Y50" s="160" t="str">
        <f t="shared" si="18"/>
        <v/>
      </c>
      <c r="Z50" s="160" t="str">
        <f t="shared" si="19"/>
        <v/>
      </c>
      <c r="AA50" s="160" t="str">
        <f t="shared" si="20"/>
        <v/>
      </c>
      <c r="AB50" s="131"/>
      <c r="AC50" s="127"/>
      <c r="AD50" s="132"/>
      <c r="AE50" s="160" t="str">
        <f t="shared" si="21"/>
        <v/>
      </c>
      <c r="AF50" s="160" t="str">
        <f t="shared" si="22"/>
        <v/>
      </c>
      <c r="AG50" s="160" t="str">
        <f t="shared" si="23"/>
        <v/>
      </c>
      <c r="AH50" s="131"/>
      <c r="AI50" s="127"/>
      <c r="AJ50" s="132"/>
      <c r="AK50" s="177" t="str">
        <f t="shared" si="24"/>
        <v/>
      </c>
      <c r="AL50" s="160" t="str">
        <f t="shared" si="25"/>
        <v/>
      </c>
      <c r="AM50" s="160" t="str">
        <f t="shared" si="26"/>
        <v/>
      </c>
      <c r="AN50" s="131"/>
      <c r="AO50" s="127"/>
      <c r="AP50" s="132"/>
      <c r="AQ50" s="164" t="str">
        <f t="shared" si="27"/>
        <v/>
      </c>
      <c r="AR50" s="155" t="str">
        <f t="shared" si="28"/>
        <v/>
      </c>
      <c r="AS50" s="188" t="str">
        <f t="shared" si="29"/>
        <v/>
      </c>
      <c r="AT50" s="160" t="str">
        <f t="shared" si="30"/>
        <v/>
      </c>
      <c r="AU50" s="160" t="str">
        <f t="shared" si="31"/>
        <v/>
      </c>
      <c r="AV50" s="168" t="str">
        <f t="shared" si="32"/>
        <v/>
      </c>
      <c r="AW50" s="171" t="str">
        <f>IF(AV50="","",IFERROR(INDEX(HELPER!$D$8:$D$48,IF(AV50&gt;=HELPER!$B$8,1,MATCH(AV50,HELPER!$B$8:$B$48,-1)+1)),""))</f>
        <v/>
      </c>
      <c r="AX50" s="174" t="str">
        <f>IF(AW50="","",IFERROR(VLOOKUP(AW50,HELPER!$F$8:$G$48,2,FALSE),""))</f>
        <v/>
      </c>
      <c r="AY50" s="147"/>
      <c r="AZ50" s="91"/>
    </row>
    <row r="51" spans="1:52" ht="15" customHeight="1" x14ac:dyDescent="0.3">
      <c r="A51" s="147"/>
      <c r="B51" s="66">
        <v>33</v>
      </c>
      <c r="C51" s="229" t="str">
        <f>IF('INPUT DATA'!K43="","",'INPUT DATA'!K43)</f>
        <v/>
      </c>
      <c r="D51" s="226"/>
      <c r="E51" s="22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6"/>
        <v/>
      </c>
      <c r="U51" s="185" t="str">
        <f t="shared" si="17"/>
        <v/>
      </c>
      <c r="V51" s="131"/>
      <c r="W51" s="127"/>
      <c r="X51" s="132"/>
      <c r="Y51" s="160" t="str">
        <f t="shared" si="18"/>
        <v/>
      </c>
      <c r="Z51" s="160" t="str">
        <f t="shared" si="19"/>
        <v/>
      </c>
      <c r="AA51" s="160" t="str">
        <f t="shared" si="20"/>
        <v/>
      </c>
      <c r="AB51" s="131"/>
      <c r="AC51" s="127"/>
      <c r="AD51" s="132"/>
      <c r="AE51" s="160" t="str">
        <f t="shared" si="21"/>
        <v/>
      </c>
      <c r="AF51" s="160" t="str">
        <f t="shared" si="22"/>
        <v/>
      </c>
      <c r="AG51" s="160" t="str">
        <f t="shared" si="23"/>
        <v/>
      </c>
      <c r="AH51" s="131"/>
      <c r="AI51" s="127"/>
      <c r="AJ51" s="132"/>
      <c r="AK51" s="177" t="str">
        <f t="shared" si="24"/>
        <v/>
      </c>
      <c r="AL51" s="160" t="str">
        <f t="shared" si="25"/>
        <v/>
      </c>
      <c r="AM51" s="160" t="str">
        <f t="shared" si="26"/>
        <v/>
      </c>
      <c r="AN51" s="131"/>
      <c r="AO51" s="127"/>
      <c r="AP51" s="132"/>
      <c r="AQ51" s="164" t="str">
        <f t="shared" si="27"/>
        <v/>
      </c>
      <c r="AR51" s="155" t="str">
        <f t="shared" si="28"/>
        <v/>
      </c>
      <c r="AS51" s="188" t="str">
        <f t="shared" si="29"/>
        <v/>
      </c>
      <c r="AT51" s="160" t="str">
        <f t="shared" si="30"/>
        <v/>
      </c>
      <c r="AU51" s="160" t="str">
        <f t="shared" si="31"/>
        <v/>
      </c>
      <c r="AV51" s="168" t="str">
        <f t="shared" si="32"/>
        <v/>
      </c>
      <c r="AW51" s="171" t="str">
        <f>IF(AV51="","",IFERROR(INDEX(HELPER!$D$8:$D$48,IF(AV51&gt;=HELPER!$B$8,1,MATCH(AV51,HELPER!$B$8:$B$48,-1)+1)),""))</f>
        <v/>
      </c>
      <c r="AX51" s="174" t="str">
        <f>IF(AW51="","",IFERROR(VLOOKUP(AW51,HELPER!$F$8:$G$48,2,FALSE),""))</f>
        <v/>
      </c>
      <c r="AY51" s="147"/>
      <c r="AZ51" s="91"/>
    </row>
    <row r="52" spans="1:52" ht="15" customHeight="1" x14ac:dyDescent="0.3">
      <c r="A52" s="147"/>
      <c r="B52" s="66">
        <v>34</v>
      </c>
      <c r="C52" s="229" t="str">
        <f>IF('INPUT DATA'!K44="","",'INPUT DATA'!K44)</f>
        <v/>
      </c>
      <c r="D52" s="226"/>
      <c r="E52" s="22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6"/>
        <v/>
      </c>
      <c r="U52" s="185" t="str">
        <f t="shared" si="17"/>
        <v/>
      </c>
      <c r="V52" s="131"/>
      <c r="W52" s="127"/>
      <c r="X52" s="132"/>
      <c r="Y52" s="160" t="str">
        <f t="shared" si="18"/>
        <v/>
      </c>
      <c r="Z52" s="160" t="str">
        <f t="shared" si="19"/>
        <v/>
      </c>
      <c r="AA52" s="160" t="str">
        <f t="shared" si="20"/>
        <v/>
      </c>
      <c r="AB52" s="131"/>
      <c r="AC52" s="127"/>
      <c r="AD52" s="132"/>
      <c r="AE52" s="160" t="str">
        <f t="shared" si="21"/>
        <v/>
      </c>
      <c r="AF52" s="160" t="str">
        <f t="shared" si="22"/>
        <v/>
      </c>
      <c r="AG52" s="160" t="str">
        <f t="shared" si="23"/>
        <v/>
      </c>
      <c r="AH52" s="131"/>
      <c r="AI52" s="127"/>
      <c r="AJ52" s="132"/>
      <c r="AK52" s="177" t="str">
        <f t="shared" si="24"/>
        <v/>
      </c>
      <c r="AL52" s="160" t="str">
        <f t="shared" si="25"/>
        <v/>
      </c>
      <c r="AM52" s="160" t="str">
        <f t="shared" si="26"/>
        <v/>
      </c>
      <c r="AN52" s="131"/>
      <c r="AO52" s="127"/>
      <c r="AP52" s="132"/>
      <c r="AQ52" s="164" t="str">
        <f t="shared" si="27"/>
        <v/>
      </c>
      <c r="AR52" s="155" t="str">
        <f t="shared" si="28"/>
        <v/>
      </c>
      <c r="AS52" s="188" t="str">
        <f t="shared" si="29"/>
        <v/>
      </c>
      <c r="AT52" s="160" t="str">
        <f t="shared" si="30"/>
        <v/>
      </c>
      <c r="AU52" s="160" t="str">
        <f t="shared" si="31"/>
        <v/>
      </c>
      <c r="AV52" s="168" t="str">
        <f t="shared" si="32"/>
        <v/>
      </c>
      <c r="AW52" s="171" t="str">
        <f>IF(AV52="","",IFERROR(INDEX(HELPER!$D$8:$D$48,IF(AV52&gt;=HELPER!$B$8,1,MATCH(AV52,HELPER!$B$8:$B$48,-1)+1)),""))</f>
        <v/>
      </c>
      <c r="AX52" s="174" t="str">
        <f>IF(AW52="","",IFERROR(VLOOKUP(AW52,HELPER!$F$8:$G$48,2,FALSE),""))</f>
        <v/>
      </c>
      <c r="AY52" s="147"/>
      <c r="AZ52" s="91"/>
    </row>
    <row r="53" spans="1:52" ht="15" customHeight="1" x14ac:dyDescent="0.3">
      <c r="A53" s="147"/>
      <c r="B53" s="66">
        <v>35</v>
      </c>
      <c r="C53" s="229" t="str">
        <f>IF('INPUT DATA'!K45="","",'INPUT DATA'!K45)</f>
        <v/>
      </c>
      <c r="D53" s="226"/>
      <c r="E53" s="22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6"/>
        <v/>
      </c>
      <c r="U53" s="185" t="str">
        <f t="shared" si="17"/>
        <v/>
      </c>
      <c r="V53" s="131"/>
      <c r="W53" s="127"/>
      <c r="X53" s="132"/>
      <c r="Y53" s="160" t="str">
        <f t="shared" si="18"/>
        <v/>
      </c>
      <c r="Z53" s="160" t="str">
        <f t="shared" si="19"/>
        <v/>
      </c>
      <c r="AA53" s="160" t="str">
        <f t="shared" si="20"/>
        <v/>
      </c>
      <c r="AB53" s="131"/>
      <c r="AC53" s="127"/>
      <c r="AD53" s="132"/>
      <c r="AE53" s="160" t="str">
        <f t="shared" si="21"/>
        <v/>
      </c>
      <c r="AF53" s="160" t="str">
        <f t="shared" si="22"/>
        <v/>
      </c>
      <c r="AG53" s="160" t="str">
        <f t="shared" si="23"/>
        <v/>
      </c>
      <c r="AH53" s="131"/>
      <c r="AI53" s="127"/>
      <c r="AJ53" s="132"/>
      <c r="AK53" s="177" t="str">
        <f t="shared" si="24"/>
        <v/>
      </c>
      <c r="AL53" s="160" t="str">
        <f t="shared" si="25"/>
        <v/>
      </c>
      <c r="AM53" s="160" t="str">
        <f t="shared" si="26"/>
        <v/>
      </c>
      <c r="AN53" s="131"/>
      <c r="AO53" s="127"/>
      <c r="AP53" s="132"/>
      <c r="AQ53" s="164" t="str">
        <f t="shared" si="27"/>
        <v/>
      </c>
      <c r="AR53" s="155" t="str">
        <f t="shared" si="28"/>
        <v/>
      </c>
      <c r="AS53" s="188" t="str">
        <f t="shared" si="29"/>
        <v/>
      </c>
      <c r="AT53" s="160" t="str">
        <f t="shared" si="30"/>
        <v/>
      </c>
      <c r="AU53" s="160" t="str">
        <f t="shared" si="31"/>
        <v/>
      </c>
      <c r="AV53" s="168" t="str">
        <f t="shared" si="32"/>
        <v/>
      </c>
      <c r="AW53" s="171" t="str">
        <f>IF(AV53="","",IFERROR(INDEX(HELPER!$D$8:$D$48,IF(AV53&gt;=HELPER!$B$8,1,MATCH(AV53,HELPER!$B$8:$B$48,-1)+1)),""))</f>
        <v/>
      </c>
      <c r="AX53" s="174" t="str">
        <f>IF(AW53="","",IFERROR(VLOOKUP(AW53,HELPER!$F$8:$G$48,2,FALSE),""))</f>
        <v/>
      </c>
      <c r="AY53" s="147"/>
      <c r="AZ53" s="91"/>
    </row>
    <row r="54" spans="1:52" ht="15" customHeight="1" x14ac:dyDescent="0.3">
      <c r="A54" s="147"/>
      <c r="B54" s="66">
        <v>36</v>
      </c>
      <c r="C54" s="229" t="str">
        <f>IF('INPUT DATA'!K46="","",'INPUT DATA'!K46)</f>
        <v/>
      </c>
      <c r="D54" s="226"/>
      <c r="E54" s="22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6"/>
        <v/>
      </c>
      <c r="U54" s="185" t="str">
        <f t="shared" si="17"/>
        <v/>
      </c>
      <c r="V54" s="131"/>
      <c r="W54" s="127"/>
      <c r="X54" s="132"/>
      <c r="Y54" s="160" t="str">
        <f t="shared" si="18"/>
        <v/>
      </c>
      <c r="Z54" s="160" t="str">
        <f t="shared" si="19"/>
        <v/>
      </c>
      <c r="AA54" s="160" t="str">
        <f t="shared" si="20"/>
        <v/>
      </c>
      <c r="AB54" s="131"/>
      <c r="AC54" s="127"/>
      <c r="AD54" s="132"/>
      <c r="AE54" s="160" t="str">
        <f t="shared" si="21"/>
        <v/>
      </c>
      <c r="AF54" s="160" t="str">
        <f t="shared" si="22"/>
        <v/>
      </c>
      <c r="AG54" s="160" t="str">
        <f t="shared" si="23"/>
        <v/>
      </c>
      <c r="AH54" s="131"/>
      <c r="AI54" s="127"/>
      <c r="AJ54" s="132"/>
      <c r="AK54" s="177" t="str">
        <f t="shared" si="24"/>
        <v/>
      </c>
      <c r="AL54" s="160" t="str">
        <f t="shared" si="25"/>
        <v/>
      </c>
      <c r="AM54" s="160" t="str">
        <f t="shared" si="26"/>
        <v/>
      </c>
      <c r="AN54" s="131"/>
      <c r="AO54" s="127"/>
      <c r="AP54" s="132"/>
      <c r="AQ54" s="164" t="str">
        <f t="shared" si="27"/>
        <v/>
      </c>
      <c r="AR54" s="155" t="str">
        <f t="shared" si="28"/>
        <v/>
      </c>
      <c r="AS54" s="188" t="str">
        <f t="shared" si="29"/>
        <v/>
      </c>
      <c r="AT54" s="160" t="str">
        <f t="shared" si="30"/>
        <v/>
      </c>
      <c r="AU54" s="160" t="str">
        <f t="shared" si="31"/>
        <v/>
      </c>
      <c r="AV54" s="168" t="str">
        <f t="shared" si="32"/>
        <v/>
      </c>
      <c r="AW54" s="171" t="str">
        <f>IF(AV54="","",IFERROR(INDEX(HELPER!$D$8:$D$48,IF(AV54&gt;=HELPER!$B$8,1,MATCH(AV54,HELPER!$B$8:$B$48,-1)+1)),""))</f>
        <v/>
      </c>
      <c r="AX54" s="174" t="str">
        <f>IF(AW54="","",IFERROR(VLOOKUP(AW54,HELPER!$F$8:$G$48,2,FALSE),""))</f>
        <v/>
      </c>
      <c r="AY54" s="147"/>
      <c r="AZ54" s="91"/>
    </row>
    <row r="55" spans="1:52" ht="15" customHeight="1" x14ac:dyDescent="0.3">
      <c r="A55" s="147"/>
      <c r="B55" s="66">
        <v>37</v>
      </c>
      <c r="C55" s="229" t="str">
        <f>IF('INPUT DATA'!K47="","",'INPUT DATA'!K47)</f>
        <v/>
      </c>
      <c r="D55" s="226"/>
      <c r="E55" s="22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6"/>
        <v/>
      </c>
      <c r="U55" s="185" t="str">
        <f t="shared" si="17"/>
        <v/>
      </c>
      <c r="V55" s="131"/>
      <c r="W55" s="127"/>
      <c r="X55" s="132"/>
      <c r="Y55" s="160" t="str">
        <f t="shared" si="18"/>
        <v/>
      </c>
      <c r="Z55" s="160" t="str">
        <f t="shared" si="19"/>
        <v/>
      </c>
      <c r="AA55" s="160" t="str">
        <f t="shared" si="20"/>
        <v/>
      </c>
      <c r="AB55" s="131"/>
      <c r="AC55" s="127"/>
      <c r="AD55" s="132"/>
      <c r="AE55" s="160" t="str">
        <f t="shared" si="21"/>
        <v/>
      </c>
      <c r="AF55" s="160" t="str">
        <f t="shared" si="22"/>
        <v/>
      </c>
      <c r="AG55" s="160" t="str">
        <f t="shared" si="23"/>
        <v/>
      </c>
      <c r="AH55" s="131"/>
      <c r="AI55" s="127"/>
      <c r="AJ55" s="132"/>
      <c r="AK55" s="177" t="str">
        <f t="shared" si="24"/>
        <v/>
      </c>
      <c r="AL55" s="160" t="str">
        <f t="shared" si="25"/>
        <v/>
      </c>
      <c r="AM55" s="160" t="str">
        <f t="shared" si="26"/>
        <v/>
      </c>
      <c r="AN55" s="131"/>
      <c r="AO55" s="127"/>
      <c r="AP55" s="132"/>
      <c r="AQ55" s="164" t="str">
        <f t="shared" si="27"/>
        <v/>
      </c>
      <c r="AR55" s="155" t="str">
        <f t="shared" si="28"/>
        <v/>
      </c>
      <c r="AS55" s="188" t="str">
        <f t="shared" si="29"/>
        <v/>
      </c>
      <c r="AT55" s="160" t="str">
        <f t="shared" si="30"/>
        <v/>
      </c>
      <c r="AU55" s="160" t="str">
        <f t="shared" si="31"/>
        <v/>
      </c>
      <c r="AV55" s="168" t="str">
        <f t="shared" si="32"/>
        <v/>
      </c>
      <c r="AW55" s="171" t="str">
        <f>IF(AV55="","",IFERROR(INDEX(HELPER!$D$8:$D$48,IF(AV55&gt;=HELPER!$B$8,1,MATCH(AV55,HELPER!$B$8:$B$48,-1)+1)),""))</f>
        <v/>
      </c>
      <c r="AX55" s="174" t="str">
        <f>IF(AW55="","",IFERROR(VLOOKUP(AW55,HELPER!$F$8:$G$48,2,FALSE),""))</f>
        <v/>
      </c>
      <c r="AY55" s="147"/>
      <c r="AZ55" s="91"/>
    </row>
    <row r="56" spans="1:52" ht="15" customHeight="1" x14ac:dyDescent="0.3">
      <c r="A56" s="147"/>
      <c r="B56" s="66">
        <v>38</v>
      </c>
      <c r="C56" s="229" t="str">
        <f>IF('INPUT DATA'!K48="","",'INPUT DATA'!K48)</f>
        <v/>
      </c>
      <c r="D56" s="226"/>
      <c r="E56" s="22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6"/>
        <v/>
      </c>
      <c r="U56" s="185" t="str">
        <f t="shared" si="17"/>
        <v/>
      </c>
      <c r="V56" s="131"/>
      <c r="W56" s="127"/>
      <c r="X56" s="132"/>
      <c r="Y56" s="160" t="str">
        <f t="shared" si="18"/>
        <v/>
      </c>
      <c r="Z56" s="160" t="str">
        <f t="shared" si="19"/>
        <v/>
      </c>
      <c r="AA56" s="160" t="str">
        <f t="shared" si="20"/>
        <v/>
      </c>
      <c r="AB56" s="131"/>
      <c r="AC56" s="127"/>
      <c r="AD56" s="132"/>
      <c r="AE56" s="160" t="str">
        <f t="shared" si="21"/>
        <v/>
      </c>
      <c r="AF56" s="160" t="str">
        <f t="shared" si="22"/>
        <v/>
      </c>
      <c r="AG56" s="160" t="str">
        <f t="shared" si="23"/>
        <v/>
      </c>
      <c r="AH56" s="131"/>
      <c r="AI56" s="127"/>
      <c r="AJ56" s="132"/>
      <c r="AK56" s="177" t="str">
        <f t="shared" si="24"/>
        <v/>
      </c>
      <c r="AL56" s="160" t="str">
        <f t="shared" si="25"/>
        <v/>
      </c>
      <c r="AM56" s="160" t="str">
        <f t="shared" si="26"/>
        <v/>
      </c>
      <c r="AN56" s="131"/>
      <c r="AO56" s="127"/>
      <c r="AP56" s="132"/>
      <c r="AQ56" s="164" t="str">
        <f t="shared" si="27"/>
        <v/>
      </c>
      <c r="AR56" s="155" t="str">
        <f t="shared" si="28"/>
        <v/>
      </c>
      <c r="AS56" s="188" t="str">
        <f t="shared" si="29"/>
        <v/>
      </c>
      <c r="AT56" s="160" t="str">
        <f t="shared" si="30"/>
        <v/>
      </c>
      <c r="AU56" s="160" t="str">
        <f t="shared" si="31"/>
        <v/>
      </c>
      <c r="AV56" s="168" t="str">
        <f t="shared" si="32"/>
        <v/>
      </c>
      <c r="AW56" s="171" t="str">
        <f>IF(AV56="","",IFERROR(INDEX(HELPER!$D$8:$D$48,IF(AV56&gt;=HELPER!$B$8,1,MATCH(AV56,HELPER!$B$8:$B$48,-1)+1)),""))</f>
        <v/>
      </c>
      <c r="AX56" s="174" t="str">
        <f>IF(AW56="","",IFERROR(VLOOKUP(AW56,HELPER!$F$8:$G$48,2,FALSE),""))</f>
        <v/>
      </c>
      <c r="AY56" s="147"/>
      <c r="AZ56" s="91"/>
    </row>
    <row r="57" spans="1:52" ht="15" customHeight="1" x14ac:dyDescent="0.3">
      <c r="A57" s="147"/>
      <c r="B57" s="66">
        <v>39</v>
      </c>
      <c r="C57" s="229" t="str">
        <f>IF('INPUT DATA'!K49="","",'INPUT DATA'!K49)</f>
        <v/>
      </c>
      <c r="D57" s="226"/>
      <c r="E57" s="22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6"/>
        <v/>
      </c>
      <c r="U57" s="185" t="str">
        <f t="shared" si="17"/>
        <v/>
      </c>
      <c r="V57" s="131"/>
      <c r="W57" s="127"/>
      <c r="X57" s="132"/>
      <c r="Y57" s="160" t="str">
        <f t="shared" si="18"/>
        <v/>
      </c>
      <c r="Z57" s="160" t="str">
        <f t="shared" si="19"/>
        <v/>
      </c>
      <c r="AA57" s="160" t="str">
        <f t="shared" si="20"/>
        <v/>
      </c>
      <c r="AB57" s="131"/>
      <c r="AC57" s="127"/>
      <c r="AD57" s="132"/>
      <c r="AE57" s="160" t="str">
        <f t="shared" si="21"/>
        <v/>
      </c>
      <c r="AF57" s="160" t="str">
        <f t="shared" si="22"/>
        <v/>
      </c>
      <c r="AG57" s="160" t="str">
        <f t="shared" si="23"/>
        <v/>
      </c>
      <c r="AH57" s="131"/>
      <c r="AI57" s="127"/>
      <c r="AJ57" s="132"/>
      <c r="AK57" s="177" t="str">
        <f t="shared" si="24"/>
        <v/>
      </c>
      <c r="AL57" s="160" t="str">
        <f t="shared" si="25"/>
        <v/>
      </c>
      <c r="AM57" s="160" t="str">
        <f t="shared" si="26"/>
        <v/>
      </c>
      <c r="AN57" s="131"/>
      <c r="AO57" s="127"/>
      <c r="AP57" s="132"/>
      <c r="AQ57" s="164" t="str">
        <f t="shared" si="27"/>
        <v/>
      </c>
      <c r="AR57" s="155" t="str">
        <f t="shared" si="28"/>
        <v/>
      </c>
      <c r="AS57" s="188" t="str">
        <f t="shared" si="29"/>
        <v/>
      </c>
      <c r="AT57" s="160" t="str">
        <f t="shared" si="30"/>
        <v/>
      </c>
      <c r="AU57" s="160" t="str">
        <f t="shared" si="31"/>
        <v/>
      </c>
      <c r="AV57" s="168" t="str">
        <f t="shared" si="32"/>
        <v/>
      </c>
      <c r="AW57" s="171" t="str">
        <f>IF(AV57="","",IFERROR(INDEX(HELPER!$D$8:$D$48,IF(AV57&gt;=HELPER!$B$8,1,MATCH(AV57,HELPER!$B$8:$B$48,-1)+1)),""))</f>
        <v/>
      </c>
      <c r="AX57" s="174" t="str">
        <f>IF(AW57="","",IFERROR(VLOOKUP(AW57,HELPER!$F$8:$G$48,2,FALSE),""))</f>
        <v/>
      </c>
      <c r="AY57" s="147"/>
      <c r="AZ57" s="91"/>
    </row>
    <row r="58" spans="1:52" ht="15" customHeight="1" x14ac:dyDescent="0.3">
      <c r="A58" s="147"/>
      <c r="B58" s="66">
        <v>40</v>
      </c>
      <c r="C58" s="229" t="str">
        <f>IF('INPUT DATA'!K50="","",'INPUT DATA'!K50)</f>
        <v/>
      </c>
      <c r="D58" s="226"/>
      <c r="E58" s="22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6"/>
        <v/>
      </c>
      <c r="U58" s="185" t="str">
        <f t="shared" si="17"/>
        <v/>
      </c>
      <c r="V58" s="131"/>
      <c r="W58" s="127"/>
      <c r="X58" s="132"/>
      <c r="Y58" s="160" t="str">
        <f t="shared" si="18"/>
        <v/>
      </c>
      <c r="Z58" s="160" t="str">
        <f t="shared" si="19"/>
        <v/>
      </c>
      <c r="AA58" s="160" t="str">
        <f t="shared" si="20"/>
        <v/>
      </c>
      <c r="AB58" s="131"/>
      <c r="AC58" s="127"/>
      <c r="AD58" s="132"/>
      <c r="AE58" s="160" t="str">
        <f t="shared" si="21"/>
        <v/>
      </c>
      <c r="AF58" s="160" t="str">
        <f t="shared" si="22"/>
        <v/>
      </c>
      <c r="AG58" s="160" t="str">
        <f t="shared" si="23"/>
        <v/>
      </c>
      <c r="AH58" s="131"/>
      <c r="AI58" s="127"/>
      <c r="AJ58" s="132"/>
      <c r="AK58" s="177" t="str">
        <f t="shared" si="24"/>
        <v/>
      </c>
      <c r="AL58" s="160" t="str">
        <f t="shared" si="25"/>
        <v/>
      </c>
      <c r="AM58" s="160" t="str">
        <f t="shared" si="26"/>
        <v/>
      </c>
      <c r="AN58" s="131"/>
      <c r="AO58" s="127"/>
      <c r="AP58" s="132"/>
      <c r="AQ58" s="164" t="str">
        <f t="shared" si="27"/>
        <v/>
      </c>
      <c r="AR58" s="155" t="str">
        <f t="shared" si="28"/>
        <v/>
      </c>
      <c r="AS58" s="188" t="str">
        <f t="shared" si="29"/>
        <v/>
      </c>
      <c r="AT58" s="160" t="str">
        <f t="shared" si="30"/>
        <v/>
      </c>
      <c r="AU58" s="160" t="str">
        <f t="shared" si="31"/>
        <v/>
      </c>
      <c r="AV58" s="168" t="str">
        <f t="shared" si="32"/>
        <v/>
      </c>
      <c r="AW58" s="171" t="str">
        <f>IF(AV58="","",IFERROR(INDEX(HELPER!$D$8:$D$48,IF(AV58&gt;=HELPER!$B$8,1,MATCH(AV58,HELPER!$B$8:$B$48,-1)+1)),""))</f>
        <v/>
      </c>
      <c r="AX58" s="174" t="str">
        <f>IF(AW58="","",IFERROR(VLOOKUP(AW58,HELPER!$F$8:$G$48,2,FALSE),""))</f>
        <v/>
      </c>
      <c r="AY58" s="147"/>
      <c r="AZ58" s="91"/>
    </row>
    <row r="59" spans="1:52" ht="15" customHeight="1" x14ac:dyDescent="0.3">
      <c r="A59" s="147"/>
      <c r="B59" s="66">
        <v>41</v>
      </c>
      <c r="C59" s="229" t="str">
        <f>IF('INPUT DATA'!K51="","",'INPUT DATA'!K51)</f>
        <v/>
      </c>
      <c r="D59" s="226"/>
      <c r="E59" s="22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6"/>
        <v/>
      </c>
      <c r="U59" s="185" t="str">
        <f t="shared" si="17"/>
        <v/>
      </c>
      <c r="V59" s="131"/>
      <c r="W59" s="127"/>
      <c r="X59" s="132"/>
      <c r="Y59" s="160" t="str">
        <f t="shared" si="18"/>
        <v/>
      </c>
      <c r="Z59" s="160" t="str">
        <f t="shared" si="19"/>
        <v/>
      </c>
      <c r="AA59" s="160" t="str">
        <f t="shared" si="20"/>
        <v/>
      </c>
      <c r="AB59" s="131"/>
      <c r="AC59" s="127"/>
      <c r="AD59" s="132"/>
      <c r="AE59" s="160" t="str">
        <f t="shared" si="21"/>
        <v/>
      </c>
      <c r="AF59" s="160" t="str">
        <f t="shared" si="22"/>
        <v/>
      </c>
      <c r="AG59" s="160" t="str">
        <f t="shared" si="23"/>
        <v/>
      </c>
      <c r="AH59" s="131"/>
      <c r="AI59" s="127"/>
      <c r="AJ59" s="132"/>
      <c r="AK59" s="177" t="str">
        <f t="shared" si="24"/>
        <v/>
      </c>
      <c r="AL59" s="160" t="str">
        <f t="shared" si="25"/>
        <v/>
      </c>
      <c r="AM59" s="160" t="str">
        <f t="shared" si="26"/>
        <v/>
      </c>
      <c r="AN59" s="131"/>
      <c r="AO59" s="127"/>
      <c r="AP59" s="132"/>
      <c r="AQ59" s="164" t="str">
        <f t="shared" si="27"/>
        <v/>
      </c>
      <c r="AR59" s="155" t="str">
        <f t="shared" si="28"/>
        <v/>
      </c>
      <c r="AS59" s="188" t="str">
        <f t="shared" si="29"/>
        <v/>
      </c>
      <c r="AT59" s="160" t="str">
        <f t="shared" si="30"/>
        <v/>
      </c>
      <c r="AU59" s="160" t="str">
        <f t="shared" si="31"/>
        <v/>
      </c>
      <c r="AV59" s="168" t="str">
        <f t="shared" si="32"/>
        <v/>
      </c>
      <c r="AW59" s="171" t="str">
        <f>IF(AV59="","",IFERROR(INDEX(HELPER!$D$8:$D$48,IF(AV59&gt;=HELPER!$B$8,1,MATCH(AV59,HELPER!$B$8:$B$48,-1)+1)),""))</f>
        <v/>
      </c>
      <c r="AX59" s="174" t="str">
        <f>IF(AW59="","",IFERROR(VLOOKUP(AW59,HELPER!$F$8:$G$48,2,FALSE),""))</f>
        <v/>
      </c>
      <c r="AY59" s="147"/>
      <c r="AZ59" s="91"/>
    </row>
    <row r="60" spans="1:52" ht="15" customHeight="1" x14ac:dyDescent="0.3">
      <c r="A60" s="147"/>
      <c r="B60" s="66">
        <v>42</v>
      </c>
      <c r="C60" s="229" t="str">
        <f>IF('INPUT DATA'!K52="","",'INPUT DATA'!K52)</f>
        <v/>
      </c>
      <c r="D60" s="226"/>
      <c r="E60" s="22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6"/>
        <v/>
      </c>
      <c r="U60" s="185" t="str">
        <f t="shared" si="17"/>
        <v/>
      </c>
      <c r="V60" s="131"/>
      <c r="W60" s="127"/>
      <c r="X60" s="132"/>
      <c r="Y60" s="160" t="str">
        <f t="shared" si="18"/>
        <v/>
      </c>
      <c r="Z60" s="160" t="str">
        <f t="shared" si="19"/>
        <v/>
      </c>
      <c r="AA60" s="160" t="str">
        <f t="shared" si="20"/>
        <v/>
      </c>
      <c r="AB60" s="131"/>
      <c r="AC60" s="127"/>
      <c r="AD60" s="132"/>
      <c r="AE60" s="160" t="str">
        <f t="shared" si="21"/>
        <v/>
      </c>
      <c r="AF60" s="160" t="str">
        <f t="shared" si="22"/>
        <v/>
      </c>
      <c r="AG60" s="160" t="str">
        <f t="shared" si="23"/>
        <v/>
      </c>
      <c r="AH60" s="131"/>
      <c r="AI60" s="127"/>
      <c r="AJ60" s="132"/>
      <c r="AK60" s="177" t="str">
        <f t="shared" si="24"/>
        <v/>
      </c>
      <c r="AL60" s="160" t="str">
        <f t="shared" si="25"/>
        <v/>
      </c>
      <c r="AM60" s="160" t="str">
        <f t="shared" si="26"/>
        <v/>
      </c>
      <c r="AN60" s="131"/>
      <c r="AO60" s="127"/>
      <c r="AP60" s="132"/>
      <c r="AQ60" s="164" t="str">
        <f t="shared" si="27"/>
        <v/>
      </c>
      <c r="AR60" s="155" t="str">
        <f t="shared" si="28"/>
        <v/>
      </c>
      <c r="AS60" s="188" t="str">
        <f t="shared" si="29"/>
        <v/>
      </c>
      <c r="AT60" s="160" t="str">
        <f t="shared" si="30"/>
        <v/>
      </c>
      <c r="AU60" s="160" t="str">
        <f t="shared" si="31"/>
        <v/>
      </c>
      <c r="AV60" s="168" t="str">
        <f t="shared" si="32"/>
        <v/>
      </c>
      <c r="AW60" s="171" t="str">
        <f>IF(AV60="","",IFERROR(INDEX(HELPER!$D$8:$D$48,IF(AV60&gt;=HELPER!$B$8,1,MATCH(AV60,HELPER!$B$8:$B$48,-1)+1)),""))</f>
        <v/>
      </c>
      <c r="AX60" s="174" t="str">
        <f>IF(AW60="","",IFERROR(VLOOKUP(AW60,HELPER!$F$8:$G$48,2,FALSE),""))</f>
        <v/>
      </c>
      <c r="AY60" s="147"/>
      <c r="AZ60" s="91"/>
    </row>
    <row r="61" spans="1:52" ht="15" customHeight="1" x14ac:dyDescent="0.3">
      <c r="A61" s="147"/>
      <c r="B61" s="66">
        <v>43</v>
      </c>
      <c r="C61" s="229" t="str">
        <f>IF('INPUT DATA'!K53="","",'INPUT DATA'!K53)</f>
        <v/>
      </c>
      <c r="D61" s="226"/>
      <c r="E61" s="22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6"/>
        <v/>
      </c>
      <c r="U61" s="185" t="str">
        <f t="shared" si="17"/>
        <v/>
      </c>
      <c r="V61" s="131"/>
      <c r="W61" s="127"/>
      <c r="X61" s="132"/>
      <c r="Y61" s="160" t="str">
        <f t="shared" si="18"/>
        <v/>
      </c>
      <c r="Z61" s="160" t="str">
        <f t="shared" si="19"/>
        <v/>
      </c>
      <c r="AA61" s="160" t="str">
        <f t="shared" si="20"/>
        <v/>
      </c>
      <c r="AB61" s="131"/>
      <c r="AC61" s="127"/>
      <c r="AD61" s="132"/>
      <c r="AE61" s="160" t="str">
        <f t="shared" si="21"/>
        <v/>
      </c>
      <c r="AF61" s="160" t="str">
        <f t="shared" si="22"/>
        <v/>
      </c>
      <c r="AG61" s="160" t="str">
        <f t="shared" si="23"/>
        <v/>
      </c>
      <c r="AH61" s="131"/>
      <c r="AI61" s="127"/>
      <c r="AJ61" s="132"/>
      <c r="AK61" s="177" t="str">
        <f t="shared" si="24"/>
        <v/>
      </c>
      <c r="AL61" s="160" t="str">
        <f t="shared" si="25"/>
        <v/>
      </c>
      <c r="AM61" s="160" t="str">
        <f t="shared" si="26"/>
        <v/>
      </c>
      <c r="AN61" s="131"/>
      <c r="AO61" s="127"/>
      <c r="AP61" s="132"/>
      <c r="AQ61" s="164" t="str">
        <f t="shared" si="27"/>
        <v/>
      </c>
      <c r="AR61" s="155" t="str">
        <f t="shared" si="28"/>
        <v/>
      </c>
      <c r="AS61" s="188" t="str">
        <f t="shared" si="29"/>
        <v/>
      </c>
      <c r="AT61" s="160" t="str">
        <f t="shared" si="30"/>
        <v/>
      </c>
      <c r="AU61" s="160" t="str">
        <f t="shared" si="31"/>
        <v/>
      </c>
      <c r="AV61" s="168" t="str">
        <f t="shared" si="32"/>
        <v/>
      </c>
      <c r="AW61" s="171" t="str">
        <f>IF(AV61="","",IFERROR(INDEX(HELPER!$D$8:$D$48,IF(AV61&gt;=HELPER!$B$8,1,MATCH(AV61,HELPER!$B$8:$B$48,-1)+1)),""))</f>
        <v/>
      </c>
      <c r="AX61" s="174" t="str">
        <f>IF(AW61="","",IFERROR(VLOOKUP(AW61,HELPER!$F$8:$G$48,2,FALSE),""))</f>
        <v/>
      </c>
      <c r="AY61" s="147"/>
      <c r="AZ61" s="91"/>
    </row>
    <row r="62" spans="1:52" ht="15" customHeight="1" x14ac:dyDescent="0.3">
      <c r="A62" s="147"/>
      <c r="B62" s="66">
        <v>44</v>
      </c>
      <c r="C62" s="229" t="str">
        <f>IF('INPUT DATA'!K54="","",'INPUT DATA'!K54)</f>
        <v/>
      </c>
      <c r="D62" s="226"/>
      <c r="E62" s="22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6"/>
        <v/>
      </c>
      <c r="U62" s="185" t="str">
        <f t="shared" si="17"/>
        <v/>
      </c>
      <c r="V62" s="131"/>
      <c r="W62" s="127"/>
      <c r="X62" s="132"/>
      <c r="Y62" s="160" t="str">
        <f t="shared" si="18"/>
        <v/>
      </c>
      <c r="Z62" s="160" t="str">
        <f t="shared" si="19"/>
        <v/>
      </c>
      <c r="AA62" s="160" t="str">
        <f t="shared" si="20"/>
        <v/>
      </c>
      <c r="AB62" s="131"/>
      <c r="AC62" s="127"/>
      <c r="AD62" s="132"/>
      <c r="AE62" s="160" t="str">
        <f t="shared" si="21"/>
        <v/>
      </c>
      <c r="AF62" s="160" t="str">
        <f t="shared" si="22"/>
        <v/>
      </c>
      <c r="AG62" s="160" t="str">
        <f t="shared" si="23"/>
        <v/>
      </c>
      <c r="AH62" s="131"/>
      <c r="AI62" s="127"/>
      <c r="AJ62" s="132"/>
      <c r="AK62" s="177" t="str">
        <f t="shared" si="24"/>
        <v/>
      </c>
      <c r="AL62" s="160" t="str">
        <f t="shared" si="25"/>
        <v/>
      </c>
      <c r="AM62" s="160" t="str">
        <f t="shared" si="26"/>
        <v/>
      </c>
      <c r="AN62" s="131"/>
      <c r="AO62" s="127"/>
      <c r="AP62" s="132"/>
      <c r="AQ62" s="164" t="str">
        <f t="shared" si="27"/>
        <v/>
      </c>
      <c r="AR62" s="155" t="str">
        <f t="shared" si="28"/>
        <v/>
      </c>
      <c r="AS62" s="188" t="str">
        <f t="shared" si="29"/>
        <v/>
      </c>
      <c r="AT62" s="160" t="str">
        <f t="shared" si="30"/>
        <v/>
      </c>
      <c r="AU62" s="160" t="str">
        <f t="shared" si="31"/>
        <v/>
      </c>
      <c r="AV62" s="168" t="str">
        <f t="shared" si="32"/>
        <v/>
      </c>
      <c r="AW62" s="171" t="str">
        <f>IF(AV62="","",IFERROR(INDEX(HELPER!$D$8:$D$48,IF(AV62&gt;=HELPER!$B$8,1,MATCH(AV62,HELPER!$B$8:$B$48,-1)+1)),""))</f>
        <v/>
      </c>
      <c r="AX62" s="174" t="str">
        <f>IF(AW62="","",IFERROR(VLOOKUP(AW62,HELPER!$F$8:$G$48,2,FALSE),""))</f>
        <v/>
      </c>
      <c r="AY62" s="147"/>
      <c r="AZ62" s="91"/>
    </row>
    <row r="63" spans="1:52" ht="15" customHeight="1" x14ac:dyDescent="0.3">
      <c r="A63" s="147"/>
      <c r="B63" s="66">
        <v>45</v>
      </c>
      <c r="C63" s="229" t="str">
        <f>IF('INPUT DATA'!K55="","",'INPUT DATA'!K55)</f>
        <v/>
      </c>
      <c r="D63" s="226"/>
      <c r="E63" s="22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6"/>
        <v/>
      </c>
      <c r="U63" s="185" t="str">
        <f t="shared" si="17"/>
        <v/>
      </c>
      <c r="V63" s="131"/>
      <c r="W63" s="127"/>
      <c r="X63" s="132"/>
      <c r="Y63" s="160" t="str">
        <f t="shared" si="18"/>
        <v/>
      </c>
      <c r="Z63" s="160" t="str">
        <f t="shared" si="19"/>
        <v/>
      </c>
      <c r="AA63" s="160" t="str">
        <f t="shared" si="20"/>
        <v/>
      </c>
      <c r="AB63" s="131"/>
      <c r="AC63" s="127"/>
      <c r="AD63" s="132"/>
      <c r="AE63" s="160" t="str">
        <f t="shared" si="21"/>
        <v/>
      </c>
      <c r="AF63" s="160" t="str">
        <f t="shared" si="22"/>
        <v/>
      </c>
      <c r="AG63" s="160" t="str">
        <f t="shared" si="23"/>
        <v/>
      </c>
      <c r="AH63" s="131"/>
      <c r="AI63" s="127"/>
      <c r="AJ63" s="132"/>
      <c r="AK63" s="177" t="str">
        <f t="shared" si="24"/>
        <v/>
      </c>
      <c r="AL63" s="160" t="str">
        <f t="shared" si="25"/>
        <v/>
      </c>
      <c r="AM63" s="160" t="str">
        <f t="shared" si="26"/>
        <v/>
      </c>
      <c r="AN63" s="131"/>
      <c r="AO63" s="127"/>
      <c r="AP63" s="132"/>
      <c r="AQ63" s="164" t="str">
        <f t="shared" si="27"/>
        <v/>
      </c>
      <c r="AR63" s="155" t="str">
        <f t="shared" si="28"/>
        <v/>
      </c>
      <c r="AS63" s="188" t="str">
        <f t="shared" si="29"/>
        <v/>
      </c>
      <c r="AT63" s="160" t="str">
        <f t="shared" si="30"/>
        <v/>
      </c>
      <c r="AU63" s="160" t="str">
        <f t="shared" si="31"/>
        <v/>
      </c>
      <c r="AV63" s="168" t="str">
        <f t="shared" si="32"/>
        <v/>
      </c>
      <c r="AW63" s="171" t="str">
        <f>IF(AV63="","",IFERROR(INDEX(HELPER!$D$8:$D$48,IF(AV63&gt;=HELPER!$B$8,1,MATCH(AV63,HELPER!$B$8:$B$48,-1)+1)),""))</f>
        <v/>
      </c>
      <c r="AX63" s="174" t="str">
        <f>IF(AW63="","",IFERROR(VLOOKUP(AW63,HELPER!$F$8:$G$48,2,FALSE),""))</f>
        <v/>
      </c>
      <c r="AY63" s="147"/>
      <c r="AZ63" s="91"/>
    </row>
    <row r="64" spans="1:52" ht="15" customHeight="1" x14ac:dyDescent="0.3">
      <c r="A64" s="147"/>
      <c r="B64" s="66">
        <v>46</v>
      </c>
      <c r="C64" s="229" t="str">
        <f>IF('INPUT DATA'!K56="","",'INPUT DATA'!K56)</f>
        <v/>
      </c>
      <c r="D64" s="226"/>
      <c r="E64" s="22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6"/>
        <v/>
      </c>
      <c r="U64" s="185" t="str">
        <f t="shared" si="17"/>
        <v/>
      </c>
      <c r="V64" s="131"/>
      <c r="W64" s="127"/>
      <c r="X64" s="132"/>
      <c r="Y64" s="160" t="str">
        <f t="shared" si="18"/>
        <v/>
      </c>
      <c r="Z64" s="160" t="str">
        <f t="shared" si="19"/>
        <v/>
      </c>
      <c r="AA64" s="160" t="str">
        <f t="shared" si="20"/>
        <v/>
      </c>
      <c r="AB64" s="131"/>
      <c r="AC64" s="127"/>
      <c r="AD64" s="132"/>
      <c r="AE64" s="160" t="str">
        <f t="shared" si="21"/>
        <v/>
      </c>
      <c r="AF64" s="160" t="str">
        <f t="shared" si="22"/>
        <v/>
      </c>
      <c r="AG64" s="160" t="str">
        <f t="shared" si="23"/>
        <v/>
      </c>
      <c r="AH64" s="131"/>
      <c r="AI64" s="127"/>
      <c r="AJ64" s="132"/>
      <c r="AK64" s="177" t="str">
        <f t="shared" si="24"/>
        <v/>
      </c>
      <c r="AL64" s="160" t="str">
        <f t="shared" si="25"/>
        <v/>
      </c>
      <c r="AM64" s="160" t="str">
        <f t="shared" si="26"/>
        <v/>
      </c>
      <c r="AN64" s="131"/>
      <c r="AO64" s="127"/>
      <c r="AP64" s="132"/>
      <c r="AQ64" s="164" t="str">
        <f t="shared" si="27"/>
        <v/>
      </c>
      <c r="AR64" s="155" t="str">
        <f t="shared" si="28"/>
        <v/>
      </c>
      <c r="AS64" s="188" t="str">
        <f t="shared" si="29"/>
        <v/>
      </c>
      <c r="AT64" s="160" t="str">
        <f t="shared" si="30"/>
        <v/>
      </c>
      <c r="AU64" s="160" t="str">
        <f t="shared" si="31"/>
        <v/>
      </c>
      <c r="AV64" s="168" t="str">
        <f t="shared" si="32"/>
        <v/>
      </c>
      <c r="AW64" s="171" t="str">
        <f>IF(AV64="","",IFERROR(INDEX(HELPER!$D$8:$D$48,IF(AV64&gt;=HELPER!$B$8,1,MATCH(AV64,HELPER!$B$8:$B$48,-1)+1)),""))</f>
        <v/>
      </c>
      <c r="AX64" s="174" t="str">
        <f>IF(AW64="","",IFERROR(VLOOKUP(AW64,HELPER!$F$8:$G$48,2,FALSE),""))</f>
        <v/>
      </c>
      <c r="AY64" s="147"/>
      <c r="AZ64" s="91"/>
    </row>
    <row r="65" spans="1:52" ht="15" customHeight="1" x14ac:dyDescent="0.3">
      <c r="A65" s="147"/>
      <c r="B65" s="66">
        <v>47</v>
      </c>
      <c r="C65" s="229" t="str">
        <f>IF('INPUT DATA'!K57="","",'INPUT DATA'!K57)</f>
        <v/>
      </c>
      <c r="D65" s="226"/>
      <c r="E65" s="22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6"/>
        <v/>
      </c>
      <c r="U65" s="185" t="str">
        <f t="shared" si="17"/>
        <v/>
      </c>
      <c r="V65" s="131"/>
      <c r="W65" s="127"/>
      <c r="X65" s="132"/>
      <c r="Y65" s="160" t="str">
        <f t="shared" si="18"/>
        <v/>
      </c>
      <c r="Z65" s="160" t="str">
        <f t="shared" si="19"/>
        <v/>
      </c>
      <c r="AA65" s="160" t="str">
        <f t="shared" si="20"/>
        <v/>
      </c>
      <c r="AB65" s="131"/>
      <c r="AC65" s="127"/>
      <c r="AD65" s="132"/>
      <c r="AE65" s="160" t="str">
        <f t="shared" si="21"/>
        <v/>
      </c>
      <c r="AF65" s="160" t="str">
        <f t="shared" si="22"/>
        <v/>
      </c>
      <c r="AG65" s="160" t="str">
        <f t="shared" si="23"/>
        <v/>
      </c>
      <c r="AH65" s="131"/>
      <c r="AI65" s="127"/>
      <c r="AJ65" s="132"/>
      <c r="AK65" s="177" t="str">
        <f t="shared" si="24"/>
        <v/>
      </c>
      <c r="AL65" s="160" t="str">
        <f t="shared" si="25"/>
        <v/>
      </c>
      <c r="AM65" s="160" t="str">
        <f t="shared" si="26"/>
        <v/>
      </c>
      <c r="AN65" s="131"/>
      <c r="AO65" s="127"/>
      <c r="AP65" s="132"/>
      <c r="AQ65" s="164" t="str">
        <f t="shared" si="27"/>
        <v/>
      </c>
      <c r="AR65" s="155" t="str">
        <f t="shared" si="28"/>
        <v/>
      </c>
      <c r="AS65" s="188" t="str">
        <f t="shared" si="29"/>
        <v/>
      </c>
      <c r="AT65" s="160" t="str">
        <f t="shared" si="30"/>
        <v/>
      </c>
      <c r="AU65" s="160" t="str">
        <f t="shared" si="31"/>
        <v/>
      </c>
      <c r="AV65" s="168" t="str">
        <f t="shared" si="32"/>
        <v/>
      </c>
      <c r="AW65" s="171" t="str">
        <f>IF(AV65="","",IFERROR(INDEX(HELPER!$D$8:$D$48,IF(AV65&gt;=HELPER!$B$8,1,MATCH(AV65,HELPER!$B$8:$B$48,-1)+1)),""))</f>
        <v/>
      </c>
      <c r="AX65" s="174" t="str">
        <f>IF(AW65="","",IFERROR(VLOOKUP(AW65,HELPER!$F$8:$G$48,2,FALSE),""))</f>
        <v/>
      </c>
      <c r="AY65" s="147"/>
      <c r="AZ65" s="91"/>
    </row>
    <row r="66" spans="1:52" ht="15" customHeight="1" x14ac:dyDescent="0.3">
      <c r="A66" s="147"/>
      <c r="B66" s="66">
        <v>48</v>
      </c>
      <c r="C66" s="229" t="str">
        <f>IF('INPUT DATA'!K58="","",'INPUT DATA'!K58)</f>
        <v/>
      </c>
      <c r="D66" s="226"/>
      <c r="E66" s="22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6"/>
        <v/>
      </c>
      <c r="U66" s="185" t="str">
        <f t="shared" si="17"/>
        <v/>
      </c>
      <c r="V66" s="131"/>
      <c r="W66" s="127"/>
      <c r="X66" s="132"/>
      <c r="Y66" s="160" t="str">
        <f t="shared" si="18"/>
        <v/>
      </c>
      <c r="Z66" s="160" t="str">
        <f t="shared" si="19"/>
        <v/>
      </c>
      <c r="AA66" s="160" t="str">
        <f t="shared" si="20"/>
        <v/>
      </c>
      <c r="AB66" s="131"/>
      <c r="AC66" s="127"/>
      <c r="AD66" s="132"/>
      <c r="AE66" s="160" t="str">
        <f t="shared" si="21"/>
        <v/>
      </c>
      <c r="AF66" s="160" t="str">
        <f t="shared" si="22"/>
        <v/>
      </c>
      <c r="AG66" s="160" t="str">
        <f t="shared" si="23"/>
        <v/>
      </c>
      <c r="AH66" s="131"/>
      <c r="AI66" s="127"/>
      <c r="AJ66" s="132"/>
      <c r="AK66" s="177" t="str">
        <f t="shared" si="24"/>
        <v/>
      </c>
      <c r="AL66" s="160" t="str">
        <f t="shared" si="25"/>
        <v/>
      </c>
      <c r="AM66" s="160" t="str">
        <f t="shared" si="26"/>
        <v/>
      </c>
      <c r="AN66" s="131"/>
      <c r="AO66" s="127"/>
      <c r="AP66" s="132"/>
      <c r="AQ66" s="164" t="str">
        <f t="shared" si="27"/>
        <v/>
      </c>
      <c r="AR66" s="155" t="str">
        <f t="shared" si="28"/>
        <v/>
      </c>
      <c r="AS66" s="188" t="str">
        <f t="shared" si="29"/>
        <v/>
      </c>
      <c r="AT66" s="160" t="str">
        <f t="shared" si="30"/>
        <v/>
      </c>
      <c r="AU66" s="160" t="str">
        <f t="shared" si="31"/>
        <v/>
      </c>
      <c r="AV66" s="168" t="str">
        <f t="shared" si="32"/>
        <v/>
      </c>
      <c r="AW66" s="171" t="str">
        <f>IF(AV66="","",IFERROR(INDEX(HELPER!$D$8:$D$48,IF(AV66&gt;=HELPER!$B$8,1,MATCH(AV66,HELPER!$B$8:$B$48,-1)+1)),""))</f>
        <v/>
      </c>
      <c r="AX66" s="174" t="str">
        <f>IF(AW66="","",IFERROR(VLOOKUP(AW66,HELPER!$F$8:$G$48,2,FALSE),""))</f>
        <v/>
      </c>
      <c r="AY66" s="147"/>
      <c r="AZ66" s="91"/>
    </row>
    <row r="67" spans="1:52" ht="15" customHeight="1" x14ac:dyDescent="0.3">
      <c r="A67" s="147"/>
      <c r="B67" s="66">
        <v>49</v>
      </c>
      <c r="C67" s="229" t="str">
        <f>IF('INPUT DATA'!K59="","",'INPUT DATA'!K59)</f>
        <v/>
      </c>
      <c r="D67" s="226"/>
      <c r="E67" s="22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6"/>
        <v/>
      </c>
      <c r="U67" s="185" t="str">
        <f t="shared" si="17"/>
        <v/>
      </c>
      <c r="V67" s="131"/>
      <c r="W67" s="127"/>
      <c r="X67" s="132"/>
      <c r="Y67" s="160" t="str">
        <f t="shared" si="18"/>
        <v/>
      </c>
      <c r="Z67" s="160" t="str">
        <f t="shared" si="19"/>
        <v/>
      </c>
      <c r="AA67" s="160" t="str">
        <f t="shared" si="20"/>
        <v/>
      </c>
      <c r="AB67" s="131"/>
      <c r="AC67" s="127"/>
      <c r="AD67" s="132"/>
      <c r="AE67" s="160" t="str">
        <f t="shared" si="21"/>
        <v/>
      </c>
      <c r="AF67" s="160" t="str">
        <f t="shared" si="22"/>
        <v/>
      </c>
      <c r="AG67" s="160" t="str">
        <f t="shared" si="23"/>
        <v/>
      </c>
      <c r="AH67" s="131"/>
      <c r="AI67" s="127"/>
      <c r="AJ67" s="132"/>
      <c r="AK67" s="177" t="str">
        <f t="shared" si="24"/>
        <v/>
      </c>
      <c r="AL67" s="160" t="str">
        <f t="shared" si="25"/>
        <v/>
      </c>
      <c r="AM67" s="160" t="str">
        <f t="shared" si="26"/>
        <v/>
      </c>
      <c r="AN67" s="131"/>
      <c r="AO67" s="127"/>
      <c r="AP67" s="132"/>
      <c r="AQ67" s="164" t="str">
        <f t="shared" si="27"/>
        <v/>
      </c>
      <c r="AR67" s="155" t="str">
        <f t="shared" si="28"/>
        <v/>
      </c>
      <c r="AS67" s="188" t="str">
        <f t="shared" si="29"/>
        <v/>
      </c>
      <c r="AT67" s="160" t="str">
        <f t="shared" si="30"/>
        <v/>
      </c>
      <c r="AU67" s="160" t="str">
        <f t="shared" si="31"/>
        <v/>
      </c>
      <c r="AV67" s="168" t="str">
        <f t="shared" si="32"/>
        <v/>
      </c>
      <c r="AW67" s="171" t="str">
        <f>IF(AV67="","",IFERROR(INDEX(HELPER!$D$8:$D$48,IF(AV67&gt;=HELPER!$B$8,1,MATCH(AV67,HELPER!$B$8:$B$48,-1)+1)),""))</f>
        <v/>
      </c>
      <c r="AX67" s="174" t="str">
        <f>IF(AW67="","",IFERROR(VLOOKUP(AW67,HELPER!$F$8:$G$48,2,FALSE),""))</f>
        <v/>
      </c>
      <c r="AY67" s="147"/>
      <c r="AZ67" s="91"/>
    </row>
    <row r="68" spans="1:52" ht="15" customHeight="1" thickBot="1" x14ac:dyDescent="0.35">
      <c r="A68" s="147"/>
      <c r="B68" s="66">
        <v>50</v>
      </c>
      <c r="C68" s="229" t="str">
        <f>IF('INPUT DATA'!K60="","",'INPUT DATA'!K60)</f>
        <v/>
      </c>
      <c r="D68" s="226"/>
      <c r="E68" s="22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6"/>
        <v/>
      </c>
      <c r="U68" s="186" t="str">
        <f t="shared" si="17"/>
        <v/>
      </c>
      <c r="V68" s="156"/>
      <c r="W68" s="157"/>
      <c r="X68" s="158"/>
      <c r="Y68" s="161" t="str">
        <f t="shared" si="18"/>
        <v/>
      </c>
      <c r="Z68" s="161" t="str">
        <f t="shared" si="19"/>
        <v/>
      </c>
      <c r="AA68" s="161" t="str">
        <f t="shared" si="20"/>
        <v/>
      </c>
      <c r="AB68" s="156"/>
      <c r="AC68" s="157"/>
      <c r="AD68" s="158"/>
      <c r="AE68" s="161" t="str">
        <f t="shared" si="21"/>
        <v/>
      </c>
      <c r="AF68" s="161" t="str">
        <f t="shared" si="22"/>
        <v/>
      </c>
      <c r="AG68" s="161" t="str">
        <f t="shared" si="23"/>
        <v/>
      </c>
      <c r="AH68" s="156"/>
      <c r="AI68" s="157"/>
      <c r="AJ68" s="158"/>
      <c r="AK68" s="178" t="str">
        <f t="shared" si="24"/>
        <v/>
      </c>
      <c r="AL68" s="161" t="str">
        <f t="shared" si="25"/>
        <v/>
      </c>
      <c r="AM68" s="161" t="str">
        <f t="shared" si="26"/>
        <v/>
      </c>
      <c r="AN68" s="156"/>
      <c r="AO68" s="157"/>
      <c r="AP68" s="158"/>
      <c r="AQ68" s="165" t="str">
        <f t="shared" si="27"/>
        <v/>
      </c>
      <c r="AR68" s="166" t="str">
        <f t="shared" si="28"/>
        <v/>
      </c>
      <c r="AS68" s="189" t="str">
        <f t="shared" si="29"/>
        <v/>
      </c>
      <c r="AT68" s="161" t="str">
        <f t="shared" si="30"/>
        <v/>
      </c>
      <c r="AU68" s="161" t="str">
        <f t="shared" si="31"/>
        <v/>
      </c>
      <c r="AV68" s="169" t="str">
        <f t="shared" si="32"/>
        <v/>
      </c>
      <c r="AW68" s="172" t="str">
        <f>IF(AV68="","",IFERROR(INDEX(HELPER!$D$8:$D$48,IF(AV68&gt;=HELPER!$B$8,1,MATCH(AV68,HELPER!$B$8:$B$48,-1)+1)),""))</f>
        <v/>
      </c>
      <c r="AX68" s="175" t="str">
        <f>IF(AW68="","",IFERROR(VLOOKUP(AW68,HELPER!$F$8:$G$48,2,FALSE),""))</f>
        <v/>
      </c>
      <c r="AY68" s="147"/>
      <c r="AZ68" s="91"/>
    </row>
    <row r="69" spans="1:52" ht="14.4" customHeight="1" thickBot="1" x14ac:dyDescent="0.35">
      <c r="A69" s="147"/>
      <c r="B69" s="280" t="s">
        <v>6</v>
      </c>
      <c r="C69" s="281"/>
      <c r="D69" s="281"/>
      <c r="E69" s="281"/>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3"/>
      <c r="AY69" s="147"/>
      <c r="AZ69" s="91"/>
    </row>
    <row r="70" spans="1:52" ht="15" customHeight="1" x14ac:dyDescent="0.3">
      <c r="A70" s="147"/>
      <c r="B70" s="112">
        <v>1</v>
      </c>
      <c r="C70" s="271" t="str">
        <f>IF('INPUT DATA'!N11="","",'INPUT DATA'!N11)</f>
        <v/>
      </c>
      <c r="D70" s="272"/>
      <c r="E70" s="272"/>
      <c r="F70" s="128"/>
      <c r="G70" s="129"/>
      <c r="H70" s="129"/>
      <c r="I70" s="129"/>
      <c r="J70" s="130"/>
      <c r="K70" s="159" t="str">
        <f t="shared" si="13"/>
        <v/>
      </c>
      <c r="L70" s="184" t="str">
        <f t="shared" ref="L70:L119" si="33">IF(COUNT(F70:J70)=0,"",IFERROR(K70/$K$16*$L$16,""))</f>
        <v/>
      </c>
      <c r="M70" s="184" t="str">
        <f t="shared" si="15"/>
        <v/>
      </c>
      <c r="N70" s="128"/>
      <c r="O70" s="129"/>
      <c r="P70" s="129"/>
      <c r="Q70" s="129"/>
      <c r="R70" s="130"/>
      <c r="S70" s="159" t="str">
        <f t="shared" si="0"/>
        <v/>
      </c>
      <c r="T70" s="184" t="str">
        <f t="shared" ref="T70:T119" si="34">IF(COUNT(N70:R70)=0,"",IFERROR(S70/$S$16*$T$16,""))</f>
        <v/>
      </c>
      <c r="U70" s="184" t="str">
        <f t="shared" ref="U70:U119" si="35">IF(T70="","",T70*$U$16)</f>
        <v/>
      </c>
      <c r="V70" s="128"/>
      <c r="W70" s="129"/>
      <c r="X70" s="130"/>
      <c r="Y70" s="159" t="str">
        <f t="shared" ref="Y70:Y119" si="36">IF(COUNT(V70:X70)=0,"",SUM(V70:X70))</f>
        <v/>
      </c>
      <c r="Z70" s="159" t="str">
        <f t="shared" ref="Z70:Z119" si="37">IF(COUNT(V70:X70)=0,"",IFERROR(Y70/$Y$16*$Z$16,""))</f>
        <v/>
      </c>
      <c r="AA70" s="159" t="str">
        <f t="shared" si="20"/>
        <v/>
      </c>
      <c r="AB70" s="128"/>
      <c r="AC70" s="129"/>
      <c r="AD70" s="130"/>
      <c r="AE70" s="159" t="str">
        <f t="shared" ref="AE70:AE119" si="38">IF(COUNT(AB70:AD70)=0,"",SUM(AB70:AD70))</f>
        <v/>
      </c>
      <c r="AF70" s="159" t="str">
        <f t="shared" ref="AF70:AF119" si="39">IF(COUNT(AB70:AD70)=0,"",IFERROR(AE70/$AE$16*$AF$16,""))</f>
        <v/>
      </c>
      <c r="AG70" s="159" t="str">
        <f t="shared" si="23"/>
        <v/>
      </c>
      <c r="AH70" s="128"/>
      <c r="AI70" s="129"/>
      <c r="AJ70" s="130"/>
      <c r="AK70" s="176" t="str">
        <f t="shared" ref="AK70:AK119" si="40">IF(COUNT(AH70:AJ70)=0,"",SUM(AH70:AJ70))</f>
        <v/>
      </c>
      <c r="AL70" s="159" t="str">
        <f t="shared" ref="AL70:AL119" si="41">IF(COUNT(AH70:AJ70)=0,"",IFERROR(AK70/$AK$16*$AL$16,""))</f>
        <v/>
      </c>
      <c r="AM70" s="159" t="str">
        <f t="shared" ref="AM70:AM119" si="42">IF(AL70="","",AL70*$AM$16)</f>
        <v/>
      </c>
      <c r="AN70" s="128"/>
      <c r="AO70" s="129"/>
      <c r="AP70" s="130"/>
      <c r="AQ70" s="162" t="str">
        <f t="shared" ref="AQ70:AQ119" si="43">IF(AN70="","",IFERROR(AN70/$AN$16*$AQ$16,""))</f>
        <v/>
      </c>
      <c r="AR70" s="163" t="str">
        <f t="shared" ref="AR70:AR119" si="44">IF(AO70="","",IFERROR(AO70/$AO$16*$AR$16,""))</f>
        <v/>
      </c>
      <c r="AS70" s="187" t="str">
        <f t="shared" ref="AS70:AS119" si="45">IF(AP70="","",IFERROR(AP70/$AP$16*$AS$16,""))</f>
        <v/>
      </c>
      <c r="AT70" s="159" t="str">
        <f t="shared" ref="AT70:AT119" si="46">IF(COUNT(AN70:AP70)=0,"",SUM(AQ70:AS70))</f>
        <v/>
      </c>
      <c r="AU70" s="159" t="str">
        <f t="shared" ref="AU70:AU119" si="47">IF(AT70="","",AT70*$AU$16)</f>
        <v/>
      </c>
      <c r="AV70" s="167" t="str">
        <f t="shared" ref="AV70:AV119" si="48">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3">
      <c r="A71" s="147"/>
      <c r="B71" s="113">
        <v>2</v>
      </c>
      <c r="C71" s="227" t="str">
        <f>IF('INPUT DATA'!N12="","",'INPUT DATA'!N12)</f>
        <v/>
      </c>
      <c r="D71" s="228"/>
      <c r="E71" s="228"/>
      <c r="F71" s="131"/>
      <c r="G71" s="127"/>
      <c r="H71" s="127"/>
      <c r="I71" s="127"/>
      <c r="J71" s="132"/>
      <c r="K71" s="160" t="str">
        <f t="shared" si="13"/>
        <v/>
      </c>
      <c r="L71" s="185" t="str">
        <f t="shared" si="33"/>
        <v/>
      </c>
      <c r="M71" s="185" t="str">
        <f t="shared" si="15"/>
        <v/>
      </c>
      <c r="N71" s="131"/>
      <c r="O71" s="127"/>
      <c r="P71" s="127"/>
      <c r="Q71" s="127"/>
      <c r="R71" s="132"/>
      <c r="S71" s="160" t="str">
        <f t="shared" si="0"/>
        <v/>
      </c>
      <c r="T71" s="185" t="str">
        <f t="shared" si="34"/>
        <v/>
      </c>
      <c r="U71" s="185" t="str">
        <f t="shared" si="35"/>
        <v/>
      </c>
      <c r="V71" s="131"/>
      <c r="W71" s="127"/>
      <c r="X71" s="132"/>
      <c r="Y71" s="160" t="str">
        <f t="shared" si="36"/>
        <v/>
      </c>
      <c r="Z71" s="160" t="str">
        <f t="shared" si="37"/>
        <v/>
      </c>
      <c r="AA71" s="160" t="str">
        <f t="shared" si="20"/>
        <v/>
      </c>
      <c r="AB71" s="131"/>
      <c r="AC71" s="127"/>
      <c r="AD71" s="132"/>
      <c r="AE71" s="160" t="str">
        <f t="shared" si="38"/>
        <v/>
      </c>
      <c r="AF71" s="160" t="str">
        <f t="shared" si="39"/>
        <v/>
      </c>
      <c r="AG71" s="160" t="str">
        <f t="shared" si="23"/>
        <v/>
      </c>
      <c r="AH71" s="131"/>
      <c r="AI71" s="127"/>
      <c r="AJ71" s="132"/>
      <c r="AK71" s="177" t="str">
        <f t="shared" si="40"/>
        <v/>
      </c>
      <c r="AL71" s="160" t="str">
        <f t="shared" si="41"/>
        <v/>
      </c>
      <c r="AM71" s="160" t="str">
        <f t="shared" si="42"/>
        <v/>
      </c>
      <c r="AN71" s="131"/>
      <c r="AO71" s="127"/>
      <c r="AP71" s="132"/>
      <c r="AQ71" s="164" t="str">
        <f t="shared" si="43"/>
        <v/>
      </c>
      <c r="AR71" s="155" t="str">
        <f t="shared" si="44"/>
        <v/>
      </c>
      <c r="AS71" s="188" t="str">
        <f t="shared" si="45"/>
        <v/>
      </c>
      <c r="AT71" s="160" t="str">
        <f t="shared" si="46"/>
        <v/>
      </c>
      <c r="AU71" s="160" t="str">
        <f t="shared" si="47"/>
        <v/>
      </c>
      <c r="AV71" s="168" t="str">
        <f t="shared" si="48"/>
        <v/>
      </c>
      <c r="AW71" s="171" t="str">
        <f>IF(AV71="","",IFERROR(INDEX(HELPER!$D$8:$D$48,IF(AV71&gt;=HELPER!$B$8,1,MATCH(AV71,HELPER!$B$8:$B$48,-1)+1)),""))</f>
        <v/>
      </c>
      <c r="AX71" s="174" t="str">
        <f>IF(AW71="","",IFERROR(VLOOKUP(AW71,HELPER!$F$8:$G$48,2,FALSE),""))</f>
        <v/>
      </c>
      <c r="AY71" s="147"/>
      <c r="AZ71" s="91"/>
    </row>
    <row r="72" spans="1:52" ht="15" customHeight="1" x14ac:dyDescent="0.3">
      <c r="A72" s="147"/>
      <c r="B72" s="113">
        <v>3</v>
      </c>
      <c r="C72" s="227" t="str">
        <f>IF('INPUT DATA'!N13="","",'INPUT DATA'!N13)</f>
        <v/>
      </c>
      <c r="D72" s="228"/>
      <c r="E72" s="228"/>
      <c r="F72" s="131"/>
      <c r="G72" s="127"/>
      <c r="H72" s="127"/>
      <c r="I72" s="127"/>
      <c r="J72" s="132"/>
      <c r="K72" s="160" t="str">
        <f t="shared" si="13"/>
        <v/>
      </c>
      <c r="L72" s="185" t="str">
        <f t="shared" si="33"/>
        <v/>
      </c>
      <c r="M72" s="185" t="str">
        <f t="shared" si="15"/>
        <v/>
      </c>
      <c r="N72" s="131"/>
      <c r="O72" s="127"/>
      <c r="P72" s="127"/>
      <c r="Q72" s="127"/>
      <c r="R72" s="132"/>
      <c r="S72" s="160" t="str">
        <f t="shared" si="0"/>
        <v/>
      </c>
      <c r="T72" s="185" t="str">
        <f t="shared" si="34"/>
        <v/>
      </c>
      <c r="U72" s="185" t="str">
        <f t="shared" si="35"/>
        <v/>
      </c>
      <c r="V72" s="131"/>
      <c r="W72" s="127"/>
      <c r="X72" s="132"/>
      <c r="Y72" s="160" t="str">
        <f t="shared" si="36"/>
        <v/>
      </c>
      <c r="Z72" s="160" t="str">
        <f t="shared" si="37"/>
        <v/>
      </c>
      <c r="AA72" s="160" t="str">
        <f t="shared" si="20"/>
        <v/>
      </c>
      <c r="AB72" s="131"/>
      <c r="AC72" s="127"/>
      <c r="AD72" s="132"/>
      <c r="AE72" s="160" t="str">
        <f t="shared" si="38"/>
        <v/>
      </c>
      <c r="AF72" s="160" t="str">
        <f t="shared" si="39"/>
        <v/>
      </c>
      <c r="AG72" s="160" t="str">
        <f t="shared" si="23"/>
        <v/>
      </c>
      <c r="AH72" s="131"/>
      <c r="AI72" s="127"/>
      <c r="AJ72" s="132"/>
      <c r="AK72" s="177" t="str">
        <f t="shared" si="40"/>
        <v/>
      </c>
      <c r="AL72" s="160" t="str">
        <f t="shared" si="41"/>
        <v/>
      </c>
      <c r="AM72" s="160" t="str">
        <f t="shared" si="42"/>
        <v/>
      </c>
      <c r="AN72" s="131"/>
      <c r="AO72" s="127"/>
      <c r="AP72" s="132"/>
      <c r="AQ72" s="164" t="str">
        <f t="shared" si="43"/>
        <v/>
      </c>
      <c r="AR72" s="155" t="str">
        <f t="shared" si="44"/>
        <v/>
      </c>
      <c r="AS72" s="188" t="str">
        <f t="shared" si="45"/>
        <v/>
      </c>
      <c r="AT72" s="160" t="str">
        <f t="shared" si="46"/>
        <v/>
      </c>
      <c r="AU72" s="160" t="str">
        <f t="shared" si="47"/>
        <v/>
      </c>
      <c r="AV72" s="168" t="str">
        <f t="shared" si="48"/>
        <v/>
      </c>
      <c r="AW72" s="171" t="str">
        <f>IF(AV72="","",IFERROR(INDEX(HELPER!$D$8:$D$48,IF(AV72&gt;=HELPER!$B$8,1,MATCH(AV72,HELPER!$B$8:$B$48,-1)+1)),""))</f>
        <v/>
      </c>
      <c r="AX72" s="174" t="str">
        <f>IF(AW72="","",IFERROR(VLOOKUP(AW72,HELPER!$F$8:$G$48,2,FALSE),""))</f>
        <v/>
      </c>
      <c r="AY72" s="147"/>
      <c r="AZ72" s="91"/>
    </row>
    <row r="73" spans="1:52" ht="15" customHeight="1" x14ac:dyDescent="0.3">
      <c r="A73" s="147"/>
      <c r="B73" s="113">
        <v>4</v>
      </c>
      <c r="C73" s="227" t="str">
        <f>IF('INPUT DATA'!N14="","",'INPUT DATA'!N14)</f>
        <v/>
      </c>
      <c r="D73" s="228"/>
      <c r="E73" s="228"/>
      <c r="F73" s="131"/>
      <c r="G73" s="127"/>
      <c r="H73" s="127"/>
      <c r="I73" s="127"/>
      <c r="J73" s="132"/>
      <c r="K73" s="160" t="str">
        <f t="shared" si="13"/>
        <v/>
      </c>
      <c r="L73" s="185" t="str">
        <f t="shared" si="33"/>
        <v/>
      </c>
      <c r="M73" s="185" t="str">
        <f t="shared" si="15"/>
        <v/>
      </c>
      <c r="N73" s="131"/>
      <c r="O73" s="127"/>
      <c r="P73" s="127"/>
      <c r="Q73" s="127"/>
      <c r="R73" s="132"/>
      <c r="S73" s="160" t="str">
        <f t="shared" si="0"/>
        <v/>
      </c>
      <c r="T73" s="185" t="str">
        <f t="shared" si="34"/>
        <v/>
      </c>
      <c r="U73" s="185" t="str">
        <f t="shared" si="35"/>
        <v/>
      </c>
      <c r="V73" s="131"/>
      <c r="W73" s="127"/>
      <c r="X73" s="132"/>
      <c r="Y73" s="160" t="str">
        <f t="shared" si="36"/>
        <v/>
      </c>
      <c r="Z73" s="160" t="str">
        <f t="shared" si="37"/>
        <v/>
      </c>
      <c r="AA73" s="160" t="str">
        <f t="shared" si="20"/>
        <v/>
      </c>
      <c r="AB73" s="131"/>
      <c r="AC73" s="127"/>
      <c r="AD73" s="132"/>
      <c r="AE73" s="160" t="str">
        <f t="shared" si="38"/>
        <v/>
      </c>
      <c r="AF73" s="160" t="str">
        <f t="shared" si="39"/>
        <v/>
      </c>
      <c r="AG73" s="160" t="str">
        <f t="shared" si="23"/>
        <v/>
      </c>
      <c r="AH73" s="131"/>
      <c r="AI73" s="127"/>
      <c r="AJ73" s="132"/>
      <c r="AK73" s="177" t="str">
        <f t="shared" si="40"/>
        <v/>
      </c>
      <c r="AL73" s="160" t="str">
        <f t="shared" si="41"/>
        <v/>
      </c>
      <c r="AM73" s="160" t="str">
        <f t="shared" si="42"/>
        <v/>
      </c>
      <c r="AN73" s="131"/>
      <c r="AO73" s="127"/>
      <c r="AP73" s="132"/>
      <c r="AQ73" s="164" t="str">
        <f t="shared" si="43"/>
        <v/>
      </c>
      <c r="AR73" s="155" t="str">
        <f t="shared" si="44"/>
        <v/>
      </c>
      <c r="AS73" s="188" t="str">
        <f t="shared" si="45"/>
        <v/>
      </c>
      <c r="AT73" s="160" t="str">
        <f t="shared" si="46"/>
        <v/>
      </c>
      <c r="AU73" s="160" t="str">
        <f t="shared" si="47"/>
        <v/>
      </c>
      <c r="AV73" s="168" t="str">
        <f t="shared" si="48"/>
        <v/>
      </c>
      <c r="AW73" s="171" t="str">
        <f>IF(AV73="","",IFERROR(INDEX(HELPER!$D$8:$D$48,IF(AV73&gt;=HELPER!$B$8,1,MATCH(AV73,HELPER!$B$8:$B$48,-1)+1)),""))</f>
        <v/>
      </c>
      <c r="AX73" s="174" t="str">
        <f>IF(AW73="","",IFERROR(VLOOKUP(AW73,HELPER!$F$8:$G$48,2,FALSE),""))</f>
        <v/>
      </c>
      <c r="AY73" s="147"/>
      <c r="AZ73" s="91"/>
    </row>
    <row r="74" spans="1:52" ht="15" customHeight="1" x14ac:dyDescent="0.3">
      <c r="A74" s="147"/>
      <c r="B74" s="113">
        <v>5</v>
      </c>
      <c r="C74" s="227" t="str">
        <f>IF('INPUT DATA'!N15="","",'INPUT DATA'!N15)</f>
        <v/>
      </c>
      <c r="D74" s="228"/>
      <c r="E74" s="228"/>
      <c r="F74" s="131"/>
      <c r="G74" s="127"/>
      <c r="H74" s="127"/>
      <c r="I74" s="127"/>
      <c r="J74" s="132"/>
      <c r="K74" s="160" t="str">
        <f t="shared" si="13"/>
        <v/>
      </c>
      <c r="L74" s="185" t="str">
        <f t="shared" si="33"/>
        <v/>
      </c>
      <c r="M74" s="185" t="str">
        <f t="shared" si="15"/>
        <v/>
      </c>
      <c r="N74" s="131"/>
      <c r="O74" s="127"/>
      <c r="P74" s="127"/>
      <c r="Q74" s="127"/>
      <c r="R74" s="132"/>
      <c r="S74" s="160" t="str">
        <f t="shared" si="0"/>
        <v/>
      </c>
      <c r="T74" s="185" t="str">
        <f t="shared" si="34"/>
        <v/>
      </c>
      <c r="U74" s="185" t="str">
        <f t="shared" si="35"/>
        <v/>
      </c>
      <c r="V74" s="131"/>
      <c r="W74" s="127"/>
      <c r="X74" s="132"/>
      <c r="Y74" s="160" t="str">
        <f t="shared" si="36"/>
        <v/>
      </c>
      <c r="Z74" s="160" t="str">
        <f t="shared" si="37"/>
        <v/>
      </c>
      <c r="AA74" s="160" t="str">
        <f t="shared" si="20"/>
        <v/>
      </c>
      <c r="AB74" s="131"/>
      <c r="AC74" s="127"/>
      <c r="AD74" s="132"/>
      <c r="AE74" s="160" t="str">
        <f t="shared" si="38"/>
        <v/>
      </c>
      <c r="AF74" s="160" t="str">
        <f t="shared" si="39"/>
        <v/>
      </c>
      <c r="AG74" s="160" t="str">
        <f t="shared" si="23"/>
        <v/>
      </c>
      <c r="AH74" s="131"/>
      <c r="AI74" s="127"/>
      <c r="AJ74" s="132"/>
      <c r="AK74" s="177" t="str">
        <f t="shared" si="40"/>
        <v/>
      </c>
      <c r="AL74" s="160" t="str">
        <f t="shared" si="41"/>
        <v/>
      </c>
      <c r="AM74" s="160" t="str">
        <f t="shared" si="42"/>
        <v/>
      </c>
      <c r="AN74" s="131"/>
      <c r="AO74" s="127"/>
      <c r="AP74" s="132"/>
      <c r="AQ74" s="164" t="str">
        <f t="shared" si="43"/>
        <v/>
      </c>
      <c r="AR74" s="155" t="str">
        <f t="shared" si="44"/>
        <v/>
      </c>
      <c r="AS74" s="188" t="str">
        <f t="shared" si="45"/>
        <v/>
      </c>
      <c r="AT74" s="160" t="str">
        <f t="shared" si="46"/>
        <v/>
      </c>
      <c r="AU74" s="160" t="str">
        <f t="shared" si="47"/>
        <v/>
      </c>
      <c r="AV74" s="168" t="str">
        <f t="shared" si="48"/>
        <v/>
      </c>
      <c r="AW74" s="171" t="str">
        <f>IF(AV74="","",IFERROR(INDEX(HELPER!$D$8:$D$48,IF(AV74&gt;=HELPER!$B$8,1,MATCH(AV74,HELPER!$B$8:$B$48,-1)+1)),""))</f>
        <v/>
      </c>
      <c r="AX74" s="174" t="str">
        <f>IF(AW74="","",IFERROR(VLOOKUP(AW74,HELPER!$F$8:$G$48,2,FALSE),""))</f>
        <v/>
      </c>
      <c r="AY74" s="147"/>
      <c r="AZ74" s="91"/>
    </row>
    <row r="75" spans="1:52" ht="15" customHeight="1" x14ac:dyDescent="0.3">
      <c r="A75" s="147"/>
      <c r="B75" s="113">
        <v>6</v>
      </c>
      <c r="C75" s="227" t="str">
        <f>IF('INPUT DATA'!N16="","",'INPUT DATA'!N16)</f>
        <v/>
      </c>
      <c r="D75" s="228"/>
      <c r="E75" s="228"/>
      <c r="F75" s="131"/>
      <c r="G75" s="127"/>
      <c r="H75" s="127"/>
      <c r="I75" s="127"/>
      <c r="J75" s="132"/>
      <c r="K75" s="160" t="str">
        <f t="shared" si="13"/>
        <v/>
      </c>
      <c r="L75" s="185" t="str">
        <f t="shared" si="33"/>
        <v/>
      </c>
      <c r="M75" s="185" t="str">
        <f t="shared" si="15"/>
        <v/>
      </c>
      <c r="N75" s="131"/>
      <c r="O75" s="127"/>
      <c r="P75" s="127"/>
      <c r="Q75" s="127"/>
      <c r="R75" s="132"/>
      <c r="S75" s="160" t="str">
        <f t="shared" si="0"/>
        <v/>
      </c>
      <c r="T75" s="185" t="str">
        <f t="shared" si="34"/>
        <v/>
      </c>
      <c r="U75" s="185" t="str">
        <f t="shared" si="35"/>
        <v/>
      </c>
      <c r="V75" s="131"/>
      <c r="W75" s="127"/>
      <c r="X75" s="132"/>
      <c r="Y75" s="160" t="str">
        <f t="shared" si="36"/>
        <v/>
      </c>
      <c r="Z75" s="160" t="str">
        <f t="shared" si="37"/>
        <v/>
      </c>
      <c r="AA75" s="160" t="str">
        <f t="shared" si="20"/>
        <v/>
      </c>
      <c r="AB75" s="131"/>
      <c r="AC75" s="127"/>
      <c r="AD75" s="132"/>
      <c r="AE75" s="160" t="str">
        <f t="shared" si="38"/>
        <v/>
      </c>
      <c r="AF75" s="160" t="str">
        <f t="shared" si="39"/>
        <v/>
      </c>
      <c r="AG75" s="160" t="str">
        <f t="shared" si="23"/>
        <v/>
      </c>
      <c r="AH75" s="131"/>
      <c r="AI75" s="127"/>
      <c r="AJ75" s="132"/>
      <c r="AK75" s="177" t="str">
        <f t="shared" si="40"/>
        <v/>
      </c>
      <c r="AL75" s="160" t="str">
        <f t="shared" si="41"/>
        <v/>
      </c>
      <c r="AM75" s="160" t="str">
        <f t="shared" si="42"/>
        <v/>
      </c>
      <c r="AN75" s="131"/>
      <c r="AO75" s="127"/>
      <c r="AP75" s="132"/>
      <c r="AQ75" s="164" t="str">
        <f t="shared" si="43"/>
        <v/>
      </c>
      <c r="AR75" s="155" t="str">
        <f t="shared" si="44"/>
        <v/>
      </c>
      <c r="AS75" s="188" t="str">
        <f t="shared" si="45"/>
        <v/>
      </c>
      <c r="AT75" s="160" t="str">
        <f t="shared" si="46"/>
        <v/>
      </c>
      <c r="AU75" s="160" t="str">
        <f t="shared" si="47"/>
        <v/>
      </c>
      <c r="AV75" s="168" t="str">
        <f t="shared" si="48"/>
        <v/>
      </c>
      <c r="AW75" s="171" t="str">
        <f>IF(AV75="","",IFERROR(INDEX(HELPER!$D$8:$D$48,IF(AV75&gt;=HELPER!$B$8,1,MATCH(AV75,HELPER!$B$8:$B$48,-1)+1)),""))</f>
        <v/>
      </c>
      <c r="AX75" s="174" t="str">
        <f>IF(AW75="","",IFERROR(VLOOKUP(AW75,HELPER!$F$8:$G$48,2,FALSE),""))</f>
        <v/>
      </c>
      <c r="AY75" s="147"/>
      <c r="AZ75" s="91"/>
    </row>
    <row r="76" spans="1:52" ht="15" customHeight="1" x14ac:dyDescent="0.3">
      <c r="A76" s="147"/>
      <c r="B76" s="113">
        <v>7</v>
      </c>
      <c r="C76" s="227" t="str">
        <f>IF('INPUT DATA'!N17="","",'INPUT DATA'!N17)</f>
        <v/>
      </c>
      <c r="D76" s="228"/>
      <c r="E76" s="228"/>
      <c r="F76" s="131"/>
      <c r="G76" s="127"/>
      <c r="H76" s="127"/>
      <c r="I76" s="127"/>
      <c r="J76" s="132"/>
      <c r="K76" s="160" t="str">
        <f t="shared" si="13"/>
        <v/>
      </c>
      <c r="L76" s="185" t="str">
        <f t="shared" si="33"/>
        <v/>
      </c>
      <c r="M76" s="185" t="str">
        <f t="shared" si="15"/>
        <v/>
      </c>
      <c r="N76" s="131"/>
      <c r="O76" s="127"/>
      <c r="P76" s="127"/>
      <c r="Q76" s="127"/>
      <c r="R76" s="132"/>
      <c r="S76" s="160" t="str">
        <f t="shared" si="0"/>
        <v/>
      </c>
      <c r="T76" s="185" t="str">
        <f t="shared" si="34"/>
        <v/>
      </c>
      <c r="U76" s="185" t="str">
        <f t="shared" si="35"/>
        <v/>
      </c>
      <c r="V76" s="131"/>
      <c r="W76" s="127"/>
      <c r="X76" s="132"/>
      <c r="Y76" s="160" t="str">
        <f t="shared" si="36"/>
        <v/>
      </c>
      <c r="Z76" s="160" t="str">
        <f t="shared" si="37"/>
        <v/>
      </c>
      <c r="AA76" s="160" t="str">
        <f t="shared" si="20"/>
        <v/>
      </c>
      <c r="AB76" s="131"/>
      <c r="AC76" s="127"/>
      <c r="AD76" s="132"/>
      <c r="AE76" s="160" t="str">
        <f t="shared" si="38"/>
        <v/>
      </c>
      <c r="AF76" s="160" t="str">
        <f t="shared" si="39"/>
        <v/>
      </c>
      <c r="AG76" s="160" t="str">
        <f t="shared" si="23"/>
        <v/>
      </c>
      <c r="AH76" s="131"/>
      <c r="AI76" s="127"/>
      <c r="AJ76" s="132"/>
      <c r="AK76" s="177" t="str">
        <f t="shared" si="40"/>
        <v/>
      </c>
      <c r="AL76" s="160" t="str">
        <f t="shared" si="41"/>
        <v/>
      </c>
      <c r="AM76" s="160" t="str">
        <f t="shared" si="42"/>
        <v/>
      </c>
      <c r="AN76" s="131"/>
      <c r="AO76" s="127"/>
      <c r="AP76" s="132"/>
      <c r="AQ76" s="164" t="str">
        <f t="shared" si="43"/>
        <v/>
      </c>
      <c r="AR76" s="155" t="str">
        <f t="shared" si="44"/>
        <v/>
      </c>
      <c r="AS76" s="188" t="str">
        <f t="shared" si="45"/>
        <v/>
      </c>
      <c r="AT76" s="160" t="str">
        <f t="shared" si="46"/>
        <v/>
      </c>
      <c r="AU76" s="160" t="str">
        <f t="shared" si="47"/>
        <v/>
      </c>
      <c r="AV76" s="168" t="str">
        <f t="shared" si="48"/>
        <v/>
      </c>
      <c r="AW76" s="171" t="str">
        <f>IF(AV76="","",IFERROR(INDEX(HELPER!$D$8:$D$48,IF(AV76&gt;=HELPER!$B$8,1,MATCH(AV76,HELPER!$B$8:$B$48,-1)+1)),""))</f>
        <v/>
      </c>
      <c r="AX76" s="174" t="str">
        <f>IF(AW76="","",IFERROR(VLOOKUP(AW76,HELPER!$F$8:$G$48,2,FALSE),""))</f>
        <v/>
      </c>
      <c r="AY76" s="147"/>
      <c r="AZ76" s="91"/>
    </row>
    <row r="77" spans="1:52" ht="15" customHeight="1" x14ac:dyDescent="0.3">
      <c r="A77" s="147"/>
      <c r="B77" s="113">
        <v>8</v>
      </c>
      <c r="C77" s="227" t="str">
        <f>IF('INPUT DATA'!N18="","",'INPUT DATA'!N18)</f>
        <v/>
      </c>
      <c r="D77" s="228"/>
      <c r="E77" s="228"/>
      <c r="F77" s="131"/>
      <c r="G77" s="127"/>
      <c r="H77" s="127"/>
      <c r="I77" s="127"/>
      <c r="J77" s="132"/>
      <c r="K77" s="160" t="str">
        <f t="shared" si="13"/>
        <v/>
      </c>
      <c r="L77" s="185" t="str">
        <f t="shared" si="33"/>
        <v/>
      </c>
      <c r="M77" s="185" t="str">
        <f t="shared" si="15"/>
        <v/>
      </c>
      <c r="N77" s="131"/>
      <c r="O77" s="127"/>
      <c r="P77" s="127"/>
      <c r="Q77" s="127"/>
      <c r="R77" s="132"/>
      <c r="S77" s="160" t="str">
        <f t="shared" si="0"/>
        <v/>
      </c>
      <c r="T77" s="185" t="str">
        <f t="shared" si="34"/>
        <v/>
      </c>
      <c r="U77" s="185" t="str">
        <f t="shared" si="35"/>
        <v/>
      </c>
      <c r="V77" s="131"/>
      <c r="W77" s="127"/>
      <c r="X77" s="132"/>
      <c r="Y77" s="160" t="str">
        <f t="shared" si="36"/>
        <v/>
      </c>
      <c r="Z77" s="160" t="str">
        <f t="shared" si="37"/>
        <v/>
      </c>
      <c r="AA77" s="160" t="str">
        <f t="shared" si="20"/>
        <v/>
      </c>
      <c r="AB77" s="131"/>
      <c r="AC77" s="127"/>
      <c r="AD77" s="132"/>
      <c r="AE77" s="160" t="str">
        <f t="shared" si="38"/>
        <v/>
      </c>
      <c r="AF77" s="160" t="str">
        <f t="shared" si="39"/>
        <v/>
      </c>
      <c r="AG77" s="160" t="str">
        <f t="shared" si="23"/>
        <v/>
      </c>
      <c r="AH77" s="131"/>
      <c r="AI77" s="127"/>
      <c r="AJ77" s="132"/>
      <c r="AK77" s="177" t="str">
        <f t="shared" si="40"/>
        <v/>
      </c>
      <c r="AL77" s="160" t="str">
        <f t="shared" si="41"/>
        <v/>
      </c>
      <c r="AM77" s="160" t="str">
        <f t="shared" si="42"/>
        <v/>
      </c>
      <c r="AN77" s="131"/>
      <c r="AO77" s="127"/>
      <c r="AP77" s="132"/>
      <c r="AQ77" s="164" t="str">
        <f t="shared" si="43"/>
        <v/>
      </c>
      <c r="AR77" s="155" t="str">
        <f t="shared" si="44"/>
        <v/>
      </c>
      <c r="AS77" s="188" t="str">
        <f t="shared" si="45"/>
        <v/>
      </c>
      <c r="AT77" s="160" t="str">
        <f t="shared" si="46"/>
        <v/>
      </c>
      <c r="AU77" s="160" t="str">
        <f t="shared" si="47"/>
        <v/>
      </c>
      <c r="AV77" s="168" t="str">
        <f t="shared" si="48"/>
        <v/>
      </c>
      <c r="AW77" s="171" t="str">
        <f>IF(AV77="","",IFERROR(INDEX(HELPER!$D$8:$D$48,IF(AV77&gt;=HELPER!$B$8,1,MATCH(AV77,HELPER!$B$8:$B$48,-1)+1)),""))</f>
        <v/>
      </c>
      <c r="AX77" s="174" t="str">
        <f>IF(AW77="","",IFERROR(VLOOKUP(AW77,HELPER!$F$8:$G$48,2,FALSE),""))</f>
        <v/>
      </c>
      <c r="AY77" s="147"/>
      <c r="AZ77" s="91"/>
    </row>
    <row r="78" spans="1:52" ht="15" customHeight="1" x14ac:dyDescent="0.3">
      <c r="A78" s="147"/>
      <c r="B78" s="113">
        <v>9</v>
      </c>
      <c r="C78" s="227" t="str">
        <f>IF('INPUT DATA'!N19="","",'INPUT DATA'!N19)</f>
        <v/>
      </c>
      <c r="D78" s="228"/>
      <c r="E78" s="228"/>
      <c r="F78" s="131"/>
      <c r="G78" s="127"/>
      <c r="H78" s="127"/>
      <c r="I78" s="127"/>
      <c r="J78" s="132"/>
      <c r="K78" s="160" t="str">
        <f t="shared" si="13"/>
        <v/>
      </c>
      <c r="L78" s="185" t="str">
        <f t="shared" si="33"/>
        <v/>
      </c>
      <c r="M78" s="185" t="str">
        <f t="shared" si="15"/>
        <v/>
      </c>
      <c r="N78" s="131"/>
      <c r="O78" s="127"/>
      <c r="P78" s="127"/>
      <c r="Q78" s="127"/>
      <c r="R78" s="132"/>
      <c r="S78" s="160" t="str">
        <f t="shared" si="0"/>
        <v/>
      </c>
      <c r="T78" s="185" t="str">
        <f t="shared" si="34"/>
        <v/>
      </c>
      <c r="U78" s="185" t="str">
        <f t="shared" si="35"/>
        <v/>
      </c>
      <c r="V78" s="131"/>
      <c r="W78" s="127"/>
      <c r="X78" s="132"/>
      <c r="Y78" s="160" t="str">
        <f t="shared" si="36"/>
        <v/>
      </c>
      <c r="Z78" s="160" t="str">
        <f t="shared" si="37"/>
        <v/>
      </c>
      <c r="AA78" s="160" t="str">
        <f t="shared" si="20"/>
        <v/>
      </c>
      <c r="AB78" s="131"/>
      <c r="AC78" s="127"/>
      <c r="AD78" s="132"/>
      <c r="AE78" s="160" t="str">
        <f t="shared" si="38"/>
        <v/>
      </c>
      <c r="AF78" s="160" t="str">
        <f t="shared" si="39"/>
        <v/>
      </c>
      <c r="AG78" s="160" t="str">
        <f t="shared" si="23"/>
        <v/>
      </c>
      <c r="AH78" s="131"/>
      <c r="AI78" s="127"/>
      <c r="AJ78" s="132"/>
      <c r="AK78" s="177" t="str">
        <f t="shared" si="40"/>
        <v/>
      </c>
      <c r="AL78" s="160" t="str">
        <f t="shared" si="41"/>
        <v/>
      </c>
      <c r="AM78" s="160" t="str">
        <f t="shared" si="42"/>
        <v/>
      </c>
      <c r="AN78" s="131"/>
      <c r="AO78" s="127"/>
      <c r="AP78" s="132"/>
      <c r="AQ78" s="164" t="str">
        <f t="shared" si="43"/>
        <v/>
      </c>
      <c r="AR78" s="155" t="str">
        <f t="shared" si="44"/>
        <v/>
      </c>
      <c r="AS78" s="188" t="str">
        <f t="shared" si="45"/>
        <v/>
      </c>
      <c r="AT78" s="160" t="str">
        <f t="shared" si="46"/>
        <v/>
      </c>
      <c r="AU78" s="160" t="str">
        <f t="shared" si="47"/>
        <v/>
      </c>
      <c r="AV78" s="168" t="str">
        <f t="shared" si="48"/>
        <v/>
      </c>
      <c r="AW78" s="171" t="str">
        <f>IF(AV78="","",IFERROR(INDEX(HELPER!$D$8:$D$48,IF(AV78&gt;=HELPER!$B$8,1,MATCH(AV78,HELPER!$B$8:$B$48,-1)+1)),""))</f>
        <v/>
      </c>
      <c r="AX78" s="174" t="str">
        <f>IF(AW78="","",IFERROR(VLOOKUP(AW78,HELPER!$F$8:$G$48,2,FALSE),""))</f>
        <v/>
      </c>
      <c r="AY78" s="147"/>
      <c r="AZ78" s="91"/>
    </row>
    <row r="79" spans="1:52" ht="15" customHeight="1" x14ac:dyDescent="0.3">
      <c r="A79" s="147"/>
      <c r="B79" s="113">
        <v>10</v>
      </c>
      <c r="C79" s="227" t="str">
        <f>IF('INPUT DATA'!N20="","",'INPUT DATA'!N20)</f>
        <v/>
      </c>
      <c r="D79" s="228"/>
      <c r="E79" s="228"/>
      <c r="F79" s="131"/>
      <c r="G79" s="127"/>
      <c r="H79" s="127"/>
      <c r="I79" s="127"/>
      <c r="J79" s="132"/>
      <c r="K79" s="160" t="str">
        <f t="shared" si="13"/>
        <v/>
      </c>
      <c r="L79" s="185" t="str">
        <f t="shared" si="33"/>
        <v/>
      </c>
      <c r="M79" s="185" t="str">
        <f t="shared" si="15"/>
        <v/>
      </c>
      <c r="N79" s="131"/>
      <c r="O79" s="127"/>
      <c r="P79" s="127"/>
      <c r="Q79" s="127"/>
      <c r="R79" s="132"/>
      <c r="S79" s="160" t="str">
        <f t="shared" si="0"/>
        <v/>
      </c>
      <c r="T79" s="185" t="str">
        <f t="shared" si="34"/>
        <v/>
      </c>
      <c r="U79" s="185" t="str">
        <f t="shared" si="35"/>
        <v/>
      </c>
      <c r="V79" s="131"/>
      <c r="W79" s="127"/>
      <c r="X79" s="132"/>
      <c r="Y79" s="160" t="str">
        <f t="shared" si="36"/>
        <v/>
      </c>
      <c r="Z79" s="160" t="str">
        <f t="shared" si="37"/>
        <v/>
      </c>
      <c r="AA79" s="160" t="str">
        <f t="shared" si="20"/>
        <v/>
      </c>
      <c r="AB79" s="131"/>
      <c r="AC79" s="127"/>
      <c r="AD79" s="132"/>
      <c r="AE79" s="160" t="str">
        <f t="shared" si="38"/>
        <v/>
      </c>
      <c r="AF79" s="160" t="str">
        <f t="shared" si="39"/>
        <v/>
      </c>
      <c r="AG79" s="160" t="str">
        <f t="shared" si="23"/>
        <v/>
      </c>
      <c r="AH79" s="131"/>
      <c r="AI79" s="127"/>
      <c r="AJ79" s="132"/>
      <c r="AK79" s="177" t="str">
        <f t="shared" si="40"/>
        <v/>
      </c>
      <c r="AL79" s="160" t="str">
        <f t="shared" si="41"/>
        <v/>
      </c>
      <c r="AM79" s="160" t="str">
        <f t="shared" si="42"/>
        <v/>
      </c>
      <c r="AN79" s="131"/>
      <c r="AO79" s="127"/>
      <c r="AP79" s="132"/>
      <c r="AQ79" s="164" t="str">
        <f t="shared" si="43"/>
        <v/>
      </c>
      <c r="AR79" s="155" t="str">
        <f t="shared" si="44"/>
        <v/>
      </c>
      <c r="AS79" s="188" t="str">
        <f t="shared" si="45"/>
        <v/>
      </c>
      <c r="AT79" s="160" t="str">
        <f t="shared" si="46"/>
        <v/>
      </c>
      <c r="AU79" s="160" t="str">
        <f t="shared" si="47"/>
        <v/>
      </c>
      <c r="AV79" s="168" t="str">
        <f t="shared" si="48"/>
        <v/>
      </c>
      <c r="AW79" s="171" t="str">
        <f>IF(AV79="","",IFERROR(INDEX(HELPER!$D$8:$D$48,IF(AV79&gt;=HELPER!$B$8,1,MATCH(AV79,HELPER!$B$8:$B$48,-1)+1)),""))</f>
        <v/>
      </c>
      <c r="AX79" s="174" t="str">
        <f>IF(AW79="","",IFERROR(VLOOKUP(AW79,HELPER!$F$8:$G$48,2,FALSE),""))</f>
        <v/>
      </c>
      <c r="AY79" s="147"/>
      <c r="AZ79" s="91"/>
    </row>
    <row r="80" spans="1:52" ht="15" customHeight="1" x14ac:dyDescent="0.3">
      <c r="A80" s="147"/>
      <c r="B80" s="113">
        <v>11</v>
      </c>
      <c r="C80" s="227" t="str">
        <f>IF('INPUT DATA'!N21="","",'INPUT DATA'!N21)</f>
        <v/>
      </c>
      <c r="D80" s="228"/>
      <c r="E80" s="228"/>
      <c r="F80" s="131"/>
      <c r="G80" s="127"/>
      <c r="H80" s="127"/>
      <c r="I80" s="127"/>
      <c r="J80" s="132"/>
      <c r="K80" s="160" t="str">
        <f t="shared" si="13"/>
        <v/>
      </c>
      <c r="L80" s="185" t="str">
        <f t="shared" si="33"/>
        <v/>
      </c>
      <c r="M80" s="185" t="str">
        <f t="shared" si="15"/>
        <v/>
      </c>
      <c r="N80" s="131"/>
      <c r="O80" s="127"/>
      <c r="P80" s="127"/>
      <c r="Q80" s="127"/>
      <c r="R80" s="132"/>
      <c r="S80" s="160" t="str">
        <f t="shared" si="0"/>
        <v/>
      </c>
      <c r="T80" s="185" t="str">
        <f t="shared" si="34"/>
        <v/>
      </c>
      <c r="U80" s="185" t="str">
        <f t="shared" si="35"/>
        <v/>
      </c>
      <c r="V80" s="131"/>
      <c r="W80" s="127"/>
      <c r="X80" s="132"/>
      <c r="Y80" s="160" t="str">
        <f t="shared" si="36"/>
        <v/>
      </c>
      <c r="Z80" s="160" t="str">
        <f t="shared" si="37"/>
        <v/>
      </c>
      <c r="AA80" s="160" t="str">
        <f t="shared" si="20"/>
        <v/>
      </c>
      <c r="AB80" s="131"/>
      <c r="AC80" s="127"/>
      <c r="AD80" s="132"/>
      <c r="AE80" s="160" t="str">
        <f t="shared" si="38"/>
        <v/>
      </c>
      <c r="AF80" s="160" t="str">
        <f t="shared" si="39"/>
        <v/>
      </c>
      <c r="AG80" s="160" t="str">
        <f t="shared" si="23"/>
        <v/>
      </c>
      <c r="AH80" s="131"/>
      <c r="AI80" s="127"/>
      <c r="AJ80" s="132"/>
      <c r="AK80" s="177" t="str">
        <f t="shared" si="40"/>
        <v/>
      </c>
      <c r="AL80" s="160" t="str">
        <f t="shared" si="41"/>
        <v/>
      </c>
      <c r="AM80" s="160" t="str">
        <f t="shared" si="42"/>
        <v/>
      </c>
      <c r="AN80" s="131"/>
      <c r="AO80" s="127"/>
      <c r="AP80" s="132"/>
      <c r="AQ80" s="164" t="str">
        <f t="shared" si="43"/>
        <v/>
      </c>
      <c r="AR80" s="155" t="str">
        <f t="shared" si="44"/>
        <v/>
      </c>
      <c r="AS80" s="188" t="str">
        <f t="shared" si="45"/>
        <v/>
      </c>
      <c r="AT80" s="160" t="str">
        <f t="shared" si="46"/>
        <v/>
      </c>
      <c r="AU80" s="160" t="str">
        <f t="shared" si="47"/>
        <v/>
      </c>
      <c r="AV80" s="168" t="str">
        <f t="shared" si="48"/>
        <v/>
      </c>
      <c r="AW80" s="171" t="str">
        <f>IF(AV80="","",IFERROR(INDEX(HELPER!$D$8:$D$48,IF(AV80&gt;=HELPER!$B$8,1,MATCH(AV80,HELPER!$B$8:$B$48,-1)+1)),""))</f>
        <v/>
      </c>
      <c r="AX80" s="174" t="str">
        <f>IF(AW80="","",IFERROR(VLOOKUP(AW80,HELPER!$F$8:$G$48,2,FALSE),""))</f>
        <v/>
      </c>
      <c r="AY80" s="147"/>
      <c r="AZ80" s="91"/>
    </row>
    <row r="81" spans="1:52" ht="15" customHeight="1" x14ac:dyDescent="0.3">
      <c r="A81" s="147"/>
      <c r="B81" s="113">
        <v>12</v>
      </c>
      <c r="C81" s="227" t="str">
        <f>IF('INPUT DATA'!N22="","",'INPUT DATA'!N22)</f>
        <v/>
      </c>
      <c r="D81" s="228"/>
      <c r="E81" s="228"/>
      <c r="F81" s="131"/>
      <c r="G81" s="127"/>
      <c r="H81" s="127"/>
      <c r="I81" s="127"/>
      <c r="J81" s="132"/>
      <c r="K81" s="160" t="str">
        <f t="shared" si="13"/>
        <v/>
      </c>
      <c r="L81" s="185" t="str">
        <f t="shared" si="33"/>
        <v/>
      </c>
      <c r="M81" s="185" t="str">
        <f t="shared" si="15"/>
        <v/>
      </c>
      <c r="N81" s="131"/>
      <c r="O81" s="127"/>
      <c r="P81" s="127"/>
      <c r="Q81" s="127"/>
      <c r="R81" s="132"/>
      <c r="S81" s="160" t="str">
        <f t="shared" si="0"/>
        <v/>
      </c>
      <c r="T81" s="185" t="str">
        <f t="shared" si="34"/>
        <v/>
      </c>
      <c r="U81" s="185" t="str">
        <f t="shared" si="35"/>
        <v/>
      </c>
      <c r="V81" s="131"/>
      <c r="W81" s="127"/>
      <c r="X81" s="132"/>
      <c r="Y81" s="160" t="str">
        <f t="shared" si="36"/>
        <v/>
      </c>
      <c r="Z81" s="160" t="str">
        <f t="shared" si="37"/>
        <v/>
      </c>
      <c r="AA81" s="160" t="str">
        <f t="shared" si="20"/>
        <v/>
      </c>
      <c r="AB81" s="131"/>
      <c r="AC81" s="127"/>
      <c r="AD81" s="132"/>
      <c r="AE81" s="160" t="str">
        <f t="shared" si="38"/>
        <v/>
      </c>
      <c r="AF81" s="160" t="str">
        <f t="shared" si="39"/>
        <v/>
      </c>
      <c r="AG81" s="160" t="str">
        <f t="shared" si="23"/>
        <v/>
      </c>
      <c r="AH81" s="131"/>
      <c r="AI81" s="127"/>
      <c r="AJ81" s="132"/>
      <c r="AK81" s="177" t="str">
        <f t="shared" si="40"/>
        <v/>
      </c>
      <c r="AL81" s="160" t="str">
        <f t="shared" si="41"/>
        <v/>
      </c>
      <c r="AM81" s="160" t="str">
        <f t="shared" si="42"/>
        <v/>
      </c>
      <c r="AN81" s="131"/>
      <c r="AO81" s="127"/>
      <c r="AP81" s="132"/>
      <c r="AQ81" s="164" t="str">
        <f t="shared" si="43"/>
        <v/>
      </c>
      <c r="AR81" s="155" t="str">
        <f t="shared" si="44"/>
        <v/>
      </c>
      <c r="AS81" s="188" t="str">
        <f t="shared" si="45"/>
        <v/>
      </c>
      <c r="AT81" s="160" t="str">
        <f t="shared" si="46"/>
        <v/>
      </c>
      <c r="AU81" s="160" t="str">
        <f t="shared" si="47"/>
        <v/>
      </c>
      <c r="AV81" s="168" t="str">
        <f t="shared" si="48"/>
        <v/>
      </c>
      <c r="AW81" s="171" t="str">
        <f>IF(AV81="","",IFERROR(INDEX(HELPER!$D$8:$D$48,IF(AV81&gt;=HELPER!$B$8,1,MATCH(AV81,HELPER!$B$8:$B$48,-1)+1)),""))</f>
        <v/>
      </c>
      <c r="AX81" s="174" t="str">
        <f>IF(AW81="","",IFERROR(VLOOKUP(AW81,HELPER!$F$8:$G$48,2,FALSE),""))</f>
        <v/>
      </c>
      <c r="AY81" s="147"/>
      <c r="AZ81" s="91"/>
    </row>
    <row r="82" spans="1:52" ht="15" customHeight="1" x14ac:dyDescent="0.3">
      <c r="A82" s="147"/>
      <c r="B82" s="113">
        <v>13</v>
      </c>
      <c r="C82" s="227" t="str">
        <f>IF('INPUT DATA'!N23="","",'INPUT DATA'!N23)</f>
        <v/>
      </c>
      <c r="D82" s="228"/>
      <c r="E82" s="228"/>
      <c r="F82" s="131"/>
      <c r="G82" s="127"/>
      <c r="H82" s="127"/>
      <c r="I82" s="127"/>
      <c r="J82" s="132"/>
      <c r="K82" s="160" t="str">
        <f t="shared" si="13"/>
        <v/>
      </c>
      <c r="L82" s="185" t="str">
        <f t="shared" si="33"/>
        <v/>
      </c>
      <c r="M82" s="185" t="str">
        <f t="shared" si="15"/>
        <v/>
      </c>
      <c r="N82" s="131"/>
      <c r="O82" s="127"/>
      <c r="P82" s="127"/>
      <c r="Q82" s="127"/>
      <c r="R82" s="132"/>
      <c r="S82" s="160" t="str">
        <f t="shared" si="0"/>
        <v/>
      </c>
      <c r="T82" s="185" t="str">
        <f t="shared" si="34"/>
        <v/>
      </c>
      <c r="U82" s="185" t="str">
        <f t="shared" si="35"/>
        <v/>
      </c>
      <c r="V82" s="131"/>
      <c r="W82" s="127"/>
      <c r="X82" s="132"/>
      <c r="Y82" s="160" t="str">
        <f t="shared" si="36"/>
        <v/>
      </c>
      <c r="Z82" s="160" t="str">
        <f t="shared" si="37"/>
        <v/>
      </c>
      <c r="AA82" s="160" t="str">
        <f t="shared" si="20"/>
        <v/>
      </c>
      <c r="AB82" s="131"/>
      <c r="AC82" s="127"/>
      <c r="AD82" s="132"/>
      <c r="AE82" s="160" t="str">
        <f t="shared" si="38"/>
        <v/>
      </c>
      <c r="AF82" s="160" t="str">
        <f t="shared" si="39"/>
        <v/>
      </c>
      <c r="AG82" s="160" t="str">
        <f t="shared" si="23"/>
        <v/>
      </c>
      <c r="AH82" s="131"/>
      <c r="AI82" s="127"/>
      <c r="AJ82" s="132"/>
      <c r="AK82" s="177" t="str">
        <f t="shared" si="40"/>
        <v/>
      </c>
      <c r="AL82" s="160" t="str">
        <f t="shared" si="41"/>
        <v/>
      </c>
      <c r="AM82" s="160" t="str">
        <f t="shared" si="42"/>
        <v/>
      </c>
      <c r="AN82" s="131"/>
      <c r="AO82" s="127"/>
      <c r="AP82" s="132"/>
      <c r="AQ82" s="164" t="str">
        <f t="shared" si="43"/>
        <v/>
      </c>
      <c r="AR82" s="155" t="str">
        <f t="shared" si="44"/>
        <v/>
      </c>
      <c r="AS82" s="188" t="str">
        <f t="shared" si="45"/>
        <v/>
      </c>
      <c r="AT82" s="160" t="str">
        <f t="shared" si="46"/>
        <v/>
      </c>
      <c r="AU82" s="160" t="str">
        <f t="shared" si="47"/>
        <v/>
      </c>
      <c r="AV82" s="168" t="str">
        <f t="shared" si="48"/>
        <v/>
      </c>
      <c r="AW82" s="171" t="str">
        <f>IF(AV82="","",IFERROR(INDEX(HELPER!$D$8:$D$48,IF(AV82&gt;=HELPER!$B$8,1,MATCH(AV82,HELPER!$B$8:$B$48,-1)+1)),""))</f>
        <v/>
      </c>
      <c r="AX82" s="174" t="str">
        <f>IF(AW82="","",IFERROR(VLOOKUP(AW82,HELPER!$F$8:$G$48,2,FALSE),""))</f>
        <v/>
      </c>
      <c r="AY82" s="147"/>
      <c r="AZ82" s="91"/>
    </row>
    <row r="83" spans="1:52" ht="15" customHeight="1" x14ac:dyDescent="0.3">
      <c r="A83" s="147"/>
      <c r="B83" s="113">
        <v>14</v>
      </c>
      <c r="C83" s="227" t="str">
        <f>IF('INPUT DATA'!N24="","",'INPUT DATA'!N24)</f>
        <v/>
      </c>
      <c r="D83" s="228"/>
      <c r="E83" s="228"/>
      <c r="F83" s="131"/>
      <c r="G83" s="127"/>
      <c r="H83" s="127"/>
      <c r="I83" s="127"/>
      <c r="J83" s="132"/>
      <c r="K83" s="160" t="str">
        <f t="shared" si="13"/>
        <v/>
      </c>
      <c r="L83" s="185" t="str">
        <f t="shared" si="33"/>
        <v/>
      </c>
      <c r="M83" s="185" t="str">
        <f t="shared" si="15"/>
        <v/>
      </c>
      <c r="N83" s="131"/>
      <c r="O83" s="127"/>
      <c r="P83" s="127"/>
      <c r="Q83" s="127"/>
      <c r="R83" s="132"/>
      <c r="S83" s="160" t="str">
        <f t="shared" ref="S83:S119" si="49">IF(COUNT($N83:$R83)=0,"",SUM($N83:$R83))</f>
        <v/>
      </c>
      <c r="T83" s="185" t="str">
        <f t="shared" si="34"/>
        <v/>
      </c>
      <c r="U83" s="185" t="str">
        <f t="shared" si="35"/>
        <v/>
      </c>
      <c r="V83" s="131"/>
      <c r="W83" s="127"/>
      <c r="X83" s="132"/>
      <c r="Y83" s="160" t="str">
        <f t="shared" si="36"/>
        <v/>
      </c>
      <c r="Z83" s="160" t="str">
        <f t="shared" si="37"/>
        <v/>
      </c>
      <c r="AA83" s="160" t="str">
        <f t="shared" si="20"/>
        <v/>
      </c>
      <c r="AB83" s="131"/>
      <c r="AC83" s="127"/>
      <c r="AD83" s="132"/>
      <c r="AE83" s="160" t="str">
        <f t="shared" si="38"/>
        <v/>
      </c>
      <c r="AF83" s="160" t="str">
        <f t="shared" si="39"/>
        <v/>
      </c>
      <c r="AG83" s="160" t="str">
        <f t="shared" si="23"/>
        <v/>
      </c>
      <c r="AH83" s="131"/>
      <c r="AI83" s="127"/>
      <c r="AJ83" s="132"/>
      <c r="AK83" s="177" t="str">
        <f t="shared" si="40"/>
        <v/>
      </c>
      <c r="AL83" s="160" t="str">
        <f t="shared" si="41"/>
        <v/>
      </c>
      <c r="AM83" s="160" t="str">
        <f t="shared" si="42"/>
        <v/>
      </c>
      <c r="AN83" s="131"/>
      <c r="AO83" s="127"/>
      <c r="AP83" s="132"/>
      <c r="AQ83" s="164" t="str">
        <f t="shared" si="43"/>
        <v/>
      </c>
      <c r="AR83" s="155" t="str">
        <f t="shared" si="44"/>
        <v/>
      </c>
      <c r="AS83" s="188" t="str">
        <f t="shared" si="45"/>
        <v/>
      </c>
      <c r="AT83" s="160" t="str">
        <f t="shared" si="46"/>
        <v/>
      </c>
      <c r="AU83" s="160" t="str">
        <f t="shared" si="47"/>
        <v/>
      </c>
      <c r="AV83" s="168" t="str">
        <f t="shared" si="48"/>
        <v/>
      </c>
      <c r="AW83" s="171" t="str">
        <f>IF(AV83="","",IFERROR(INDEX(HELPER!$D$8:$D$48,IF(AV83&gt;=HELPER!$B$8,1,MATCH(AV83,HELPER!$B$8:$B$48,-1)+1)),""))</f>
        <v/>
      </c>
      <c r="AX83" s="174" t="str">
        <f>IF(AW83="","",IFERROR(VLOOKUP(AW83,HELPER!$F$8:$G$48,2,FALSE),""))</f>
        <v/>
      </c>
      <c r="AY83" s="147"/>
      <c r="AZ83" s="91"/>
    </row>
    <row r="84" spans="1:52" ht="15" customHeight="1" x14ac:dyDescent="0.3">
      <c r="A84" s="147"/>
      <c r="B84" s="113">
        <v>15</v>
      </c>
      <c r="C84" s="227" t="str">
        <f>IF('INPUT DATA'!N25="","",'INPUT DATA'!N25)</f>
        <v/>
      </c>
      <c r="D84" s="228"/>
      <c r="E84" s="228"/>
      <c r="F84" s="131"/>
      <c r="G84" s="127"/>
      <c r="H84" s="127"/>
      <c r="I84" s="127"/>
      <c r="J84" s="132"/>
      <c r="K84" s="160" t="str">
        <f t="shared" ref="K84:K119" si="50">IF(COUNT($F84:$J84)=0,"",SUM($F84:$J84))</f>
        <v/>
      </c>
      <c r="L84" s="185" t="str">
        <f t="shared" si="33"/>
        <v/>
      </c>
      <c r="M84" s="185" t="str">
        <f t="shared" ref="M84:M119" si="51">IF(L84="","",L84*$M$16)</f>
        <v/>
      </c>
      <c r="N84" s="131"/>
      <c r="O84" s="127"/>
      <c r="P84" s="127"/>
      <c r="Q84" s="127"/>
      <c r="R84" s="132"/>
      <c r="S84" s="160" t="str">
        <f t="shared" si="49"/>
        <v/>
      </c>
      <c r="T84" s="185" t="str">
        <f t="shared" si="34"/>
        <v/>
      </c>
      <c r="U84" s="185" t="str">
        <f t="shared" si="35"/>
        <v/>
      </c>
      <c r="V84" s="131"/>
      <c r="W84" s="127"/>
      <c r="X84" s="132"/>
      <c r="Y84" s="160" t="str">
        <f t="shared" si="36"/>
        <v/>
      </c>
      <c r="Z84" s="160" t="str">
        <f t="shared" si="37"/>
        <v/>
      </c>
      <c r="AA84" s="160" t="str">
        <f t="shared" ref="AA84:AA119" si="52">IF(Z84="","",Z84*$AA$16)</f>
        <v/>
      </c>
      <c r="AB84" s="131"/>
      <c r="AC84" s="127"/>
      <c r="AD84" s="132"/>
      <c r="AE84" s="160" t="str">
        <f t="shared" si="38"/>
        <v/>
      </c>
      <c r="AF84" s="160" t="str">
        <f t="shared" si="39"/>
        <v/>
      </c>
      <c r="AG84" s="160" t="str">
        <f t="shared" ref="AG84:AG119" si="53">IF(AF84="","",AF84*$AG$16)</f>
        <v/>
      </c>
      <c r="AH84" s="131"/>
      <c r="AI84" s="127"/>
      <c r="AJ84" s="132"/>
      <c r="AK84" s="177" t="str">
        <f t="shared" si="40"/>
        <v/>
      </c>
      <c r="AL84" s="160" t="str">
        <f t="shared" si="41"/>
        <v/>
      </c>
      <c r="AM84" s="160" t="str">
        <f t="shared" si="42"/>
        <v/>
      </c>
      <c r="AN84" s="131"/>
      <c r="AO84" s="127"/>
      <c r="AP84" s="132"/>
      <c r="AQ84" s="164" t="str">
        <f t="shared" si="43"/>
        <v/>
      </c>
      <c r="AR84" s="155" t="str">
        <f t="shared" si="44"/>
        <v/>
      </c>
      <c r="AS84" s="188" t="str">
        <f t="shared" si="45"/>
        <v/>
      </c>
      <c r="AT84" s="160" t="str">
        <f t="shared" si="46"/>
        <v/>
      </c>
      <c r="AU84" s="160" t="str">
        <f t="shared" si="47"/>
        <v/>
      </c>
      <c r="AV84" s="168" t="str">
        <f t="shared" si="48"/>
        <v/>
      </c>
      <c r="AW84" s="171" t="str">
        <f>IF(AV84="","",IFERROR(INDEX(HELPER!$D$8:$D$48,IF(AV84&gt;=HELPER!$B$8,1,MATCH(AV84,HELPER!$B$8:$B$48,-1)+1)),""))</f>
        <v/>
      </c>
      <c r="AX84" s="174" t="str">
        <f>IF(AW84="","",IFERROR(VLOOKUP(AW84,HELPER!$F$8:$G$48,2,FALSE),""))</f>
        <v/>
      </c>
      <c r="AY84" s="147"/>
      <c r="AZ84" s="91"/>
    </row>
    <row r="85" spans="1:52" ht="15" customHeight="1" x14ac:dyDescent="0.3">
      <c r="A85" s="147"/>
      <c r="B85" s="113">
        <v>16</v>
      </c>
      <c r="C85" s="227" t="str">
        <f>IF('INPUT DATA'!N26="","",'INPUT DATA'!N26)</f>
        <v/>
      </c>
      <c r="D85" s="228"/>
      <c r="E85" s="228"/>
      <c r="F85" s="131"/>
      <c r="G85" s="127"/>
      <c r="H85" s="127"/>
      <c r="I85" s="127"/>
      <c r="J85" s="132"/>
      <c r="K85" s="160" t="str">
        <f t="shared" si="50"/>
        <v/>
      </c>
      <c r="L85" s="185" t="str">
        <f t="shared" si="33"/>
        <v/>
      </c>
      <c r="M85" s="185" t="str">
        <f t="shared" si="51"/>
        <v/>
      </c>
      <c r="N85" s="131"/>
      <c r="O85" s="127"/>
      <c r="P85" s="127"/>
      <c r="Q85" s="127"/>
      <c r="R85" s="132"/>
      <c r="S85" s="160" t="str">
        <f t="shared" si="49"/>
        <v/>
      </c>
      <c r="T85" s="185" t="str">
        <f t="shared" si="34"/>
        <v/>
      </c>
      <c r="U85" s="185" t="str">
        <f t="shared" si="35"/>
        <v/>
      </c>
      <c r="V85" s="131"/>
      <c r="W85" s="127"/>
      <c r="X85" s="132"/>
      <c r="Y85" s="160" t="str">
        <f t="shared" si="36"/>
        <v/>
      </c>
      <c r="Z85" s="160" t="str">
        <f t="shared" si="37"/>
        <v/>
      </c>
      <c r="AA85" s="160" t="str">
        <f t="shared" si="52"/>
        <v/>
      </c>
      <c r="AB85" s="131"/>
      <c r="AC85" s="127"/>
      <c r="AD85" s="132"/>
      <c r="AE85" s="160" t="str">
        <f t="shared" si="38"/>
        <v/>
      </c>
      <c r="AF85" s="160" t="str">
        <f t="shared" si="39"/>
        <v/>
      </c>
      <c r="AG85" s="160" t="str">
        <f t="shared" si="53"/>
        <v/>
      </c>
      <c r="AH85" s="131"/>
      <c r="AI85" s="127"/>
      <c r="AJ85" s="132"/>
      <c r="AK85" s="177" t="str">
        <f t="shared" si="40"/>
        <v/>
      </c>
      <c r="AL85" s="160" t="str">
        <f t="shared" si="41"/>
        <v/>
      </c>
      <c r="AM85" s="160" t="str">
        <f t="shared" si="42"/>
        <v/>
      </c>
      <c r="AN85" s="131"/>
      <c r="AO85" s="127"/>
      <c r="AP85" s="132"/>
      <c r="AQ85" s="164" t="str">
        <f t="shared" si="43"/>
        <v/>
      </c>
      <c r="AR85" s="155" t="str">
        <f t="shared" si="44"/>
        <v/>
      </c>
      <c r="AS85" s="188" t="str">
        <f t="shared" si="45"/>
        <v/>
      </c>
      <c r="AT85" s="160" t="str">
        <f t="shared" si="46"/>
        <v/>
      </c>
      <c r="AU85" s="160" t="str">
        <f t="shared" si="47"/>
        <v/>
      </c>
      <c r="AV85" s="168" t="str">
        <f t="shared" si="48"/>
        <v/>
      </c>
      <c r="AW85" s="171" t="str">
        <f>IF(AV85="","",IFERROR(INDEX(HELPER!$D$8:$D$48,IF(AV85&gt;=HELPER!$B$8,1,MATCH(AV85,HELPER!$B$8:$B$48,-1)+1)),""))</f>
        <v/>
      </c>
      <c r="AX85" s="174" t="str">
        <f>IF(AW85="","",IFERROR(VLOOKUP(AW85,HELPER!$F$8:$G$48,2,FALSE),""))</f>
        <v/>
      </c>
      <c r="AY85" s="147"/>
      <c r="AZ85" s="91"/>
    </row>
    <row r="86" spans="1:52" ht="15" customHeight="1" x14ac:dyDescent="0.3">
      <c r="A86" s="147"/>
      <c r="B86" s="113">
        <v>17</v>
      </c>
      <c r="C86" s="227" t="str">
        <f>IF('INPUT DATA'!N27="","",'INPUT DATA'!N27)</f>
        <v/>
      </c>
      <c r="D86" s="228"/>
      <c r="E86" s="228"/>
      <c r="F86" s="131"/>
      <c r="G86" s="127"/>
      <c r="H86" s="127"/>
      <c r="I86" s="127"/>
      <c r="J86" s="132"/>
      <c r="K86" s="160" t="str">
        <f t="shared" si="50"/>
        <v/>
      </c>
      <c r="L86" s="185" t="str">
        <f t="shared" si="33"/>
        <v/>
      </c>
      <c r="M86" s="185" t="str">
        <f t="shared" si="51"/>
        <v/>
      </c>
      <c r="N86" s="131"/>
      <c r="O86" s="127"/>
      <c r="P86" s="127"/>
      <c r="Q86" s="127"/>
      <c r="R86" s="132"/>
      <c r="S86" s="160" t="str">
        <f t="shared" si="49"/>
        <v/>
      </c>
      <c r="T86" s="185" t="str">
        <f t="shared" si="34"/>
        <v/>
      </c>
      <c r="U86" s="185" t="str">
        <f t="shared" si="35"/>
        <v/>
      </c>
      <c r="V86" s="131"/>
      <c r="W86" s="127"/>
      <c r="X86" s="132"/>
      <c r="Y86" s="160" t="str">
        <f t="shared" si="36"/>
        <v/>
      </c>
      <c r="Z86" s="160" t="str">
        <f t="shared" si="37"/>
        <v/>
      </c>
      <c r="AA86" s="160" t="str">
        <f t="shared" si="52"/>
        <v/>
      </c>
      <c r="AB86" s="131"/>
      <c r="AC86" s="127"/>
      <c r="AD86" s="132"/>
      <c r="AE86" s="160" t="str">
        <f t="shared" si="38"/>
        <v/>
      </c>
      <c r="AF86" s="160" t="str">
        <f t="shared" si="39"/>
        <v/>
      </c>
      <c r="AG86" s="160" t="str">
        <f t="shared" si="53"/>
        <v/>
      </c>
      <c r="AH86" s="131"/>
      <c r="AI86" s="127"/>
      <c r="AJ86" s="132"/>
      <c r="AK86" s="177" t="str">
        <f t="shared" si="40"/>
        <v/>
      </c>
      <c r="AL86" s="160" t="str">
        <f t="shared" si="41"/>
        <v/>
      </c>
      <c r="AM86" s="160" t="str">
        <f t="shared" si="42"/>
        <v/>
      </c>
      <c r="AN86" s="131"/>
      <c r="AO86" s="127"/>
      <c r="AP86" s="132"/>
      <c r="AQ86" s="164" t="str">
        <f t="shared" si="43"/>
        <v/>
      </c>
      <c r="AR86" s="155" t="str">
        <f t="shared" si="44"/>
        <v/>
      </c>
      <c r="AS86" s="188" t="str">
        <f t="shared" si="45"/>
        <v/>
      </c>
      <c r="AT86" s="160" t="str">
        <f t="shared" si="46"/>
        <v/>
      </c>
      <c r="AU86" s="160" t="str">
        <f t="shared" si="47"/>
        <v/>
      </c>
      <c r="AV86" s="168" t="str">
        <f t="shared" si="48"/>
        <v/>
      </c>
      <c r="AW86" s="171" t="str">
        <f>IF(AV86="","",IFERROR(INDEX(HELPER!$D$8:$D$48,IF(AV86&gt;=HELPER!$B$8,1,MATCH(AV86,HELPER!$B$8:$B$48,-1)+1)),""))</f>
        <v/>
      </c>
      <c r="AX86" s="174" t="str">
        <f>IF(AW86="","",IFERROR(VLOOKUP(AW86,HELPER!$F$8:$G$48,2,FALSE),""))</f>
        <v/>
      </c>
      <c r="AY86" s="147"/>
      <c r="AZ86" s="91"/>
    </row>
    <row r="87" spans="1:52" ht="15" customHeight="1" x14ac:dyDescent="0.3">
      <c r="A87" s="147"/>
      <c r="B87" s="113">
        <v>18</v>
      </c>
      <c r="C87" s="227" t="str">
        <f>IF('INPUT DATA'!N28="","",'INPUT DATA'!N28)</f>
        <v/>
      </c>
      <c r="D87" s="228"/>
      <c r="E87" s="228"/>
      <c r="F87" s="131"/>
      <c r="G87" s="127"/>
      <c r="H87" s="127"/>
      <c r="I87" s="127"/>
      <c r="J87" s="132"/>
      <c r="K87" s="160" t="str">
        <f t="shared" si="50"/>
        <v/>
      </c>
      <c r="L87" s="185" t="str">
        <f t="shared" si="33"/>
        <v/>
      </c>
      <c r="M87" s="185" t="str">
        <f t="shared" si="51"/>
        <v/>
      </c>
      <c r="N87" s="131"/>
      <c r="O87" s="127"/>
      <c r="P87" s="127"/>
      <c r="Q87" s="127"/>
      <c r="R87" s="132"/>
      <c r="S87" s="160" t="str">
        <f t="shared" si="49"/>
        <v/>
      </c>
      <c r="T87" s="185" t="str">
        <f t="shared" si="34"/>
        <v/>
      </c>
      <c r="U87" s="185" t="str">
        <f t="shared" si="35"/>
        <v/>
      </c>
      <c r="V87" s="131"/>
      <c r="W87" s="127"/>
      <c r="X87" s="132"/>
      <c r="Y87" s="160" t="str">
        <f t="shared" si="36"/>
        <v/>
      </c>
      <c r="Z87" s="160" t="str">
        <f t="shared" si="37"/>
        <v/>
      </c>
      <c r="AA87" s="160" t="str">
        <f t="shared" si="52"/>
        <v/>
      </c>
      <c r="AB87" s="131"/>
      <c r="AC87" s="127"/>
      <c r="AD87" s="132"/>
      <c r="AE87" s="160" t="str">
        <f t="shared" si="38"/>
        <v/>
      </c>
      <c r="AF87" s="160" t="str">
        <f t="shared" si="39"/>
        <v/>
      </c>
      <c r="AG87" s="160" t="str">
        <f t="shared" si="53"/>
        <v/>
      </c>
      <c r="AH87" s="131"/>
      <c r="AI87" s="127"/>
      <c r="AJ87" s="132"/>
      <c r="AK87" s="177" t="str">
        <f t="shared" si="40"/>
        <v/>
      </c>
      <c r="AL87" s="160" t="str">
        <f t="shared" si="41"/>
        <v/>
      </c>
      <c r="AM87" s="160" t="str">
        <f t="shared" si="42"/>
        <v/>
      </c>
      <c r="AN87" s="131"/>
      <c r="AO87" s="127"/>
      <c r="AP87" s="132"/>
      <c r="AQ87" s="164" t="str">
        <f t="shared" si="43"/>
        <v/>
      </c>
      <c r="AR87" s="155" t="str">
        <f t="shared" si="44"/>
        <v/>
      </c>
      <c r="AS87" s="188" t="str">
        <f t="shared" si="45"/>
        <v/>
      </c>
      <c r="AT87" s="160" t="str">
        <f t="shared" si="46"/>
        <v/>
      </c>
      <c r="AU87" s="160" t="str">
        <f t="shared" si="47"/>
        <v/>
      </c>
      <c r="AV87" s="168" t="str">
        <f t="shared" si="48"/>
        <v/>
      </c>
      <c r="AW87" s="171" t="str">
        <f>IF(AV87="","",IFERROR(INDEX(HELPER!$D$8:$D$48,IF(AV87&gt;=HELPER!$B$8,1,MATCH(AV87,HELPER!$B$8:$B$48,-1)+1)),""))</f>
        <v/>
      </c>
      <c r="AX87" s="174" t="str">
        <f>IF(AW87="","",IFERROR(VLOOKUP(AW87,HELPER!$F$8:$G$48,2,FALSE),""))</f>
        <v/>
      </c>
      <c r="AY87" s="147"/>
      <c r="AZ87" s="91"/>
    </row>
    <row r="88" spans="1:52" ht="15" customHeight="1" x14ac:dyDescent="0.3">
      <c r="A88" s="147"/>
      <c r="B88" s="113">
        <v>19</v>
      </c>
      <c r="C88" s="227" t="str">
        <f>IF('INPUT DATA'!N29="","",'INPUT DATA'!N29)</f>
        <v/>
      </c>
      <c r="D88" s="228"/>
      <c r="E88" s="228"/>
      <c r="F88" s="131"/>
      <c r="G88" s="127"/>
      <c r="H88" s="127"/>
      <c r="I88" s="127"/>
      <c r="J88" s="132"/>
      <c r="K88" s="160" t="str">
        <f t="shared" si="50"/>
        <v/>
      </c>
      <c r="L88" s="185" t="str">
        <f t="shared" si="33"/>
        <v/>
      </c>
      <c r="M88" s="185" t="str">
        <f t="shared" si="51"/>
        <v/>
      </c>
      <c r="N88" s="131"/>
      <c r="O88" s="127"/>
      <c r="P88" s="127"/>
      <c r="Q88" s="127"/>
      <c r="R88" s="132"/>
      <c r="S88" s="160" t="str">
        <f t="shared" si="49"/>
        <v/>
      </c>
      <c r="T88" s="185" t="str">
        <f t="shared" si="34"/>
        <v/>
      </c>
      <c r="U88" s="185" t="str">
        <f t="shared" si="35"/>
        <v/>
      </c>
      <c r="V88" s="131"/>
      <c r="W88" s="127"/>
      <c r="X88" s="132"/>
      <c r="Y88" s="160" t="str">
        <f t="shared" si="36"/>
        <v/>
      </c>
      <c r="Z88" s="160" t="str">
        <f t="shared" si="37"/>
        <v/>
      </c>
      <c r="AA88" s="160" t="str">
        <f t="shared" si="52"/>
        <v/>
      </c>
      <c r="AB88" s="131"/>
      <c r="AC88" s="127"/>
      <c r="AD88" s="132"/>
      <c r="AE88" s="160" t="str">
        <f t="shared" si="38"/>
        <v/>
      </c>
      <c r="AF88" s="160" t="str">
        <f t="shared" si="39"/>
        <v/>
      </c>
      <c r="AG88" s="160" t="str">
        <f t="shared" si="53"/>
        <v/>
      </c>
      <c r="AH88" s="131"/>
      <c r="AI88" s="127"/>
      <c r="AJ88" s="132"/>
      <c r="AK88" s="177" t="str">
        <f t="shared" si="40"/>
        <v/>
      </c>
      <c r="AL88" s="160" t="str">
        <f t="shared" si="41"/>
        <v/>
      </c>
      <c r="AM88" s="160" t="str">
        <f t="shared" si="42"/>
        <v/>
      </c>
      <c r="AN88" s="131"/>
      <c r="AO88" s="127"/>
      <c r="AP88" s="132"/>
      <c r="AQ88" s="164" t="str">
        <f t="shared" si="43"/>
        <v/>
      </c>
      <c r="AR88" s="155" t="str">
        <f t="shared" si="44"/>
        <v/>
      </c>
      <c r="AS88" s="188" t="str">
        <f t="shared" si="45"/>
        <v/>
      </c>
      <c r="AT88" s="160" t="str">
        <f t="shared" si="46"/>
        <v/>
      </c>
      <c r="AU88" s="160" t="str">
        <f t="shared" si="47"/>
        <v/>
      </c>
      <c r="AV88" s="168" t="str">
        <f t="shared" si="48"/>
        <v/>
      </c>
      <c r="AW88" s="171" t="str">
        <f>IF(AV88="","",IFERROR(INDEX(HELPER!$D$8:$D$48,IF(AV88&gt;=HELPER!$B$8,1,MATCH(AV88,HELPER!$B$8:$B$48,-1)+1)),""))</f>
        <v/>
      </c>
      <c r="AX88" s="174" t="str">
        <f>IF(AW88="","",IFERROR(VLOOKUP(AW88,HELPER!$F$8:$G$48,2,FALSE),""))</f>
        <v/>
      </c>
      <c r="AY88" s="147"/>
      <c r="AZ88" s="91"/>
    </row>
    <row r="89" spans="1:52" ht="15" customHeight="1" x14ac:dyDescent="0.3">
      <c r="A89" s="147"/>
      <c r="B89" s="114">
        <v>20</v>
      </c>
      <c r="C89" s="227" t="str">
        <f>IF('INPUT DATA'!N30="","",'INPUT DATA'!N30)</f>
        <v/>
      </c>
      <c r="D89" s="228"/>
      <c r="E89" s="228"/>
      <c r="F89" s="131"/>
      <c r="G89" s="127"/>
      <c r="H89" s="127"/>
      <c r="I89" s="127"/>
      <c r="J89" s="132"/>
      <c r="K89" s="160" t="str">
        <f t="shared" si="50"/>
        <v/>
      </c>
      <c r="L89" s="185" t="str">
        <f t="shared" si="33"/>
        <v/>
      </c>
      <c r="M89" s="185" t="str">
        <f t="shared" si="51"/>
        <v/>
      </c>
      <c r="N89" s="131"/>
      <c r="O89" s="127"/>
      <c r="P89" s="127"/>
      <c r="Q89" s="127"/>
      <c r="R89" s="132"/>
      <c r="S89" s="160" t="str">
        <f t="shared" si="49"/>
        <v/>
      </c>
      <c r="T89" s="185" t="str">
        <f t="shared" si="34"/>
        <v/>
      </c>
      <c r="U89" s="185" t="str">
        <f t="shared" si="35"/>
        <v/>
      </c>
      <c r="V89" s="131"/>
      <c r="W89" s="127"/>
      <c r="X89" s="132"/>
      <c r="Y89" s="160" t="str">
        <f t="shared" si="36"/>
        <v/>
      </c>
      <c r="Z89" s="160" t="str">
        <f t="shared" si="37"/>
        <v/>
      </c>
      <c r="AA89" s="160" t="str">
        <f t="shared" si="52"/>
        <v/>
      </c>
      <c r="AB89" s="131"/>
      <c r="AC89" s="127"/>
      <c r="AD89" s="132"/>
      <c r="AE89" s="160" t="str">
        <f t="shared" si="38"/>
        <v/>
      </c>
      <c r="AF89" s="160" t="str">
        <f t="shared" si="39"/>
        <v/>
      </c>
      <c r="AG89" s="160" t="str">
        <f t="shared" si="53"/>
        <v/>
      </c>
      <c r="AH89" s="131"/>
      <c r="AI89" s="127"/>
      <c r="AJ89" s="132"/>
      <c r="AK89" s="177" t="str">
        <f t="shared" si="40"/>
        <v/>
      </c>
      <c r="AL89" s="160" t="str">
        <f t="shared" si="41"/>
        <v/>
      </c>
      <c r="AM89" s="160" t="str">
        <f t="shared" si="42"/>
        <v/>
      </c>
      <c r="AN89" s="131"/>
      <c r="AO89" s="127"/>
      <c r="AP89" s="132"/>
      <c r="AQ89" s="164" t="str">
        <f t="shared" si="43"/>
        <v/>
      </c>
      <c r="AR89" s="155" t="str">
        <f t="shared" si="44"/>
        <v/>
      </c>
      <c r="AS89" s="188" t="str">
        <f t="shared" si="45"/>
        <v/>
      </c>
      <c r="AT89" s="160" t="str">
        <f t="shared" si="46"/>
        <v/>
      </c>
      <c r="AU89" s="160" t="str">
        <f t="shared" si="47"/>
        <v/>
      </c>
      <c r="AV89" s="168" t="str">
        <f t="shared" si="48"/>
        <v/>
      </c>
      <c r="AW89" s="171" t="str">
        <f>IF(AV89="","",IFERROR(INDEX(HELPER!$D$8:$D$48,IF(AV89&gt;=HELPER!$B$8,1,MATCH(AV89,HELPER!$B$8:$B$48,-1)+1)),""))</f>
        <v/>
      </c>
      <c r="AX89" s="174" t="str">
        <f>IF(AW89="","",IFERROR(VLOOKUP(AW89,HELPER!$F$8:$G$48,2,FALSE),""))</f>
        <v/>
      </c>
      <c r="AY89" s="147"/>
      <c r="AZ89" s="91"/>
    </row>
    <row r="90" spans="1:52" ht="15" customHeight="1" x14ac:dyDescent="0.3">
      <c r="A90" s="147"/>
      <c r="B90" s="114">
        <v>21</v>
      </c>
      <c r="C90" s="227" t="str">
        <f>IF('INPUT DATA'!N31="","",'INPUT DATA'!N31)</f>
        <v/>
      </c>
      <c r="D90" s="228"/>
      <c r="E90" s="228"/>
      <c r="F90" s="131"/>
      <c r="G90" s="127"/>
      <c r="H90" s="127"/>
      <c r="I90" s="127"/>
      <c r="J90" s="132"/>
      <c r="K90" s="160" t="str">
        <f t="shared" si="50"/>
        <v/>
      </c>
      <c r="L90" s="185" t="str">
        <f t="shared" si="33"/>
        <v/>
      </c>
      <c r="M90" s="185" t="str">
        <f t="shared" si="51"/>
        <v/>
      </c>
      <c r="N90" s="131"/>
      <c r="O90" s="127"/>
      <c r="P90" s="127"/>
      <c r="Q90" s="127"/>
      <c r="R90" s="132"/>
      <c r="S90" s="160" t="str">
        <f t="shared" si="49"/>
        <v/>
      </c>
      <c r="T90" s="185" t="str">
        <f t="shared" si="34"/>
        <v/>
      </c>
      <c r="U90" s="185" t="str">
        <f t="shared" si="35"/>
        <v/>
      </c>
      <c r="V90" s="131"/>
      <c r="W90" s="127"/>
      <c r="X90" s="132"/>
      <c r="Y90" s="160" t="str">
        <f t="shared" si="36"/>
        <v/>
      </c>
      <c r="Z90" s="160" t="str">
        <f t="shared" si="37"/>
        <v/>
      </c>
      <c r="AA90" s="160" t="str">
        <f t="shared" si="52"/>
        <v/>
      </c>
      <c r="AB90" s="131"/>
      <c r="AC90" s="127"/>
      <c r="AD90" s="132"/>
      <c r="AE90" s="160" t="str">
        <f t="shared" si="38"/>
        <v/>
      </c>
      <c r="AF90" s="160" t="str">
        <f t="shared" si="39"/>
        <v/>
      </c>
      <c r="AG90" s="160" t="str">
        <f t="shared" si="53"/>
        <v/>
      </c>
      <c r="AH90" s="131"/>
      <c r="AI90" s="127"/>
      <c r="AJ90" s="132"/>
      <c r="AK90" s="177" t="str">
        <f t="shared" si="40"/>
        <v/>
      </c>
      <c r="AL90" s="160" t="str">
        <f t="shared" si="41"/>
        <v/>
      </c>
      <c r="AM90" s="160" t="str">
        <f t="shared" si="42"/>
        <v/>
      </c>
      <c r="AN90" s="131"/>
      <c r="AO90" s="127"/>
      <c r="AP90" s="132"/>
      <c r="AQ90" s="164" t="str">
        <f t="shared" si="43"/>
        <v/>
      </c>
      <c r="AR90" s="155" t="str">
        <f t="shared" si="44"/>
        <v/>
      </c>
      <c r="AS90" s="188" t="str">
        <f t="shared" si="45"/>
        <v/>
      </c>
      <c r="AT90" s="160" t="str">
        <f t="shared" si="46"/>
        <v/>
      </c>
      <c r="AU90" s="160" t="str">
        <f t="shared" si="47"/>
        <v/>
      </c>
      <c r="AV90" s="168" t="str">
        <f t="shared" si="48"/>
        <v/>
      </c>
      <c r="AW90" s="171" t="str">
        <f>IF(AV90="","",IFERROR(INDEX(HELPER!$D$8:$D$48,IF(AV90&gt;=HELPER!$B$8,1,MATCH(AV90,HELPER!$B$8:$B$48,-1)+1)),""))</f>
        <v/>
      </c>
      <c r="AX90" s="174" t="str">
        <f>IF(AW90="","",IFERROR(VLOOKUP(AW90,HELPER!$F$8:$G$48,2,FALSE),""))</f>
        <v/>
      </c>
      <c r="AY90" s="147"/>
      <c r="AZ90" s="91"/>
    </row>
    <row r="91" spans="1:52" ht="15" customHeight="1" x14ac:dyDescent="0.3">
      <c r="A91" s="147"/>
      <c r="B91" s="114">
        <v>22</v>
      </c>
      <c r="C91" s="227" t="str">
        <f>IF('INPUT DATA'!N32="","",'INPUT DATA'!N32)</f>
        <v/>
      </c>
      <c r="D91" s="228"/>
      <c r="E91" s="228"/>
      <c r="F91" s="131"/>
      <c r="G91" s="127"/>
      <c r="H91" s="127"/>
      <c r="I91" s="127"/>
      <c r="J91" s="132"/>
      <c r="K91" s="160" t="str">
        <f t="shared" si="50"/>
        <v/>
      </c>
      <c r="L91" s="185" t="str">
        <f t="shared" si="33"/>
        <v/>
      </c>
      <c r="M91" s="185" t="str">
        <f t="shared" si="51"/>
        <v/>
      </c>
      <c r="N91" s="131"/>
      <c r="O91" s="127"/>
      <c r="P91" s="127"/>
      <c r="Q91" s="127"/>
      <c r="R91" s="132"/>
      <c r="S91" s="160" t="str">
        <f t="shared" si="49"/>
        <v/>
      </c>
      <c r="T91" s="185" t="str">
        <f t="shared" si="34"/>
        <v/>
      </c>
      <c r="U91" s="185" t="str">
        <f t="shared" si="35"/>
        <v/>
      </c>
      <c r="V91" s="131"/>
      <c r="W91" s="127"/>
      <c r="X91" s="132"/>
      <c r="Y91" s="160" t="str">
        <f t="shared" si="36"/>
        <v/>
      </c>
      <c r="Z91" s="160" t="str">
        <f t="shared" si="37"/>
        <v/>
      </c>
      <c r="AA91" s="160" t="str">
        <f t="shared" si="52"/>
        <v/>
      </c>
      <c r="AB91" s="131"/>
      <c r="AC91" s="127"/>
      <c r="AD91" s="132"/>
      <c r="AE91" s="160" t="str">
        <f t="shared" si="38"/>
        <v/>
      </c>
      <c r="AF91" s="160" t="str">
        <f t="shared" si="39"/>
        <v/>
      </c>
      <c r="AG91" s="160" t="str">
        <f t="shared" si="53"/>
        <v/>
      </c>
      <c r="AH91" s="131"/>
      <c r="AI91" s="127"/>
      <c r="AJ91" s="132"/>
      <c r="AK91" s="177" t="str">
        <f t="shared" si="40"/>
        <v/>
      </c>
      <c r="AL91" s="160" t="str">
        <f t="shared" si="41"/>
        <v/>
      </c>
      <c r="AM91" s="160" t="str">
        <f t="shared" si="42"/>
        <v/>
      </c>
      <c r="AN91" s="131"/>
      <c r="AO91" s="127"/>
      <c r="AP91" s="132"/>
      <c r="AQ91" s="164" t="str">
        <f t="shared" si="43"/>
        <v/>
      </c>
      <c r="AR91" s="155" t="str">
        <f t="shared" si="44"/>
        <v/>
      </c>
      <c r="AS91" s="188" t="str">
        <f t="shared" si="45"/>
        <v/>
      </c>
      <c r="AT91" s="160" t="str">
        <f t="shared" si="46"/>
        <v/>
      </c>
      <c r="AU91" s="160" t="str">
        <f t="shared" si="47"/>
        <v/>
      </c>
      <c r="AV91" s="168" t="str">
        <f t="shared" si="48"/>
        <v/>
      </c>
      <c r="AW91" s="171" t="str">
        <f>IF(AV91="","",IFERROR(INDEX(HELPER!$D$8:$D$48,IF(AV91&gt;=HELPER!$B$8,1,MATCH(AV91,HELPER!$B$8:$B$48,-1)+1)),""))</f>
        <v/>
      </c>
      <c r="AX91" s="174" t="str">
        <f>IF(AW91="","",IFERROR(VLOOKUP(AW91,HELPER!$F$8:$G$48,2,FALSE),""))</f>
        <v/>
      </c>
      <c r="AY91" s="147"/>
      <c r="AZ91" s="91"/>
    </row>
    <row r="92" spans="1:52" ht="15" customHeight="1" x14ac:dyDescent="0.3">
      <c r="A92" s="147"/>
      <c r="B92" s="114">
        <v>23</v>
      </c>
      <c r="C92" s="227" t="str">
        <f>IF('INPUT DATA'!N33="","",'INPUT DATA'!N33)</f>
        <v/>
      </c>
      <c r="D92" s="228"/>
      <c r="E92" s="228"/>
      <c r="F92" s="131"/>
      <c r="G92" s="127"/>
      <c r="H92" s="127"/>
      <c r="I92" s="127"/>
      <c r="J92" s="132"/>
      <c r="K92" s="160" t="str">
        <f t="shared" si="50"/>
        <v/>
      </c>
      <c r="L92" s="185" t="str">
        <f t="shared" si="33"/>
        <v/>
      </c>
      <c r="M92" s="185" t="str">
        <f t="shared" si="51"/>
        <v/>
      </c>
      <c r="N92" s="131"/>
      <c r="O92" s="127"/>
      <c r="P92" s="127"/>
      <c r="Q92" s="127"/>
      <c r="R92" s="132"/>
      <c r="S92" s="160" t="str">
        <f t="shared" si="49"/>
        <v/>
      </c>
      <c r="T92" s="185" t="str">
        <f t="shared" si="34"/>
        <v/>
      </c>
      <c r="U92" s="185" t="str">
        <f t="shared" si="35"/>
        <v/>
      </c>
      <c r="V92" s="131"/>
      <c r="W92" s="127"/>
      <c r="X92" s="132"/>
      <c r="Y92" s="160" t="str">
        <f t="shared" si="36"/>
        <v/>
      </c>
      <c r="Z92" s="160" t="str">
        <f t="shared" si="37"/>
        <v/>
      </c>
      <c r="AA92" s="160" t="str">
        <f t="shared" si="52"/>
        <v/>
      </c>
      <c r="AB92" s="131"/>
      <c r="AC92" s="127"/>
      <c r="AD92" s="132"/>
      <c r="AE92" s="160" t="str">
        <f t="shared" si="38"/>
        <v/>
      </c>
      <c r="AF92" s="160" t="str">
        <f t="shared" si="39"/>
        <v/>
      </c>
      <c r="AG92" s="160" t="str">
        <f t="shared" si="53"/>
        <v/>
      </c>
      <c r="AH92" s="131"/>
      <c r="AI92" s="127"/>
      <c r="AJ92" s="132"/>
      <c r="AK92" s="177" t="str">
        <f t="shared" si="40"/>
        <v/>
      </c>
      <c r="AL92" s="160" t="str">
        <f t="shared" si="41"/>
        <v/>
      </c>
      <c r="AM92" s="160" t="str">
        <f t="shared" si="42"/>
        <v/>
      </c>
      <c r="AN92" s="131"/>
      <c r="AO92" s="127"/>
      <c r="AP92" s="132"/>
      <c r="AQ92" s="164" t="str">
        <f t="shared" si="43"/>
        <v/>
      </c>
      <c r="AR92" s="155" t="str">
        <f t="shared" si="44"/>
        <v/>
      </c>
      <c r="AS92" s="188" t="str">
        <f t="shared" si="45"/>
        <v/>
      </c>
      <c r="AT92" s="160" t="str">
        <f t="shared" si="46"/>
        <v/>
      </c>
      <c r="AU92" s="160" t="str">
        <f t="shared" si="47"/>
        <v/>
      </c>
      <c r="AV92" s="168" t="str">
        <f t="shared" si="48"/>
        <v/>
      </c>
      <c r="AW92" s="171" t="str">
        <f>IF(AV92="","",IFERROR(INDEX(HELPER!$D$8:$D$48,IF(AV92&gt;=HELPER!$B$8,1,MATCH(AV92,HELPER!$B$8:$B$48,-1)+1)),""))</f>
        <v/>
      </c>
      <c r="AX92" s="174" t="str">
        <f>IF(AW92="","",IFERROR(VLOOKUP(AW92,HELPER!$F$8:$G$48,2,FALSE),""))</f>
        <v/>
      </c>
      <c r="AY92" s="147"/>
      <c r="AZ92" s="91"/>
    </row>
    <row r="93" spans="1:52" ht="15" customHeight="1" x14ac:dyDescent="0.3">
      <c r="A93" s="147"/>
      <c r="B93" s="114">
        <v>24</v>
      </c>
      <c r="C93" s="227" t="str">
        <f>IF('INPUT DATA'!N34="","",'INPUT DATA'!N34)</f>
        <v/>
      </c>
      <c r="D93" s="228"/>
      <c r="E93" s="228"/>
      <c r="F93" s="131"/>
      <c r="G93" s="127"/>
      <c r="H93" s="127"/>
      <c r="I93" s="127"/>
      <c r="J93" s="132"/>
      <c r="K93" s="160" t="str">
        <f t="shared" si="50"/>
        <v/>
      </c>
      <c r="L93" s="185" t="str">
        <f t="shared" si="33"/>
        <v/>
      </c>
      <c r="M93" s="185" t="str">
        <f t="shared" si="51"/>
        <v/>
      </c>
      <c r="N93" s="131"/>
      <c r="O93" s="127"/>
      <c r="P93" s="127"/>
      <c r="Q93" s="127"/>
      <c r="R93" s="132"/>
      <c r="S93" s="160" t="str">
        <f t="shared" si="49"/>
        <v/>
      </c>
      <c r="T93" s="185" t="str">
        <f t="shared" si="34"/>
        <v/>
      </c>
      <c r="U93" s="185" t="str">
        <f t="shared" si="35"/>
        <v/>
      </c>
      <c r="V93" s="131"/>
      <c r="W93" s="127"/>
      <c r="X93" s="132"/>
      <c r="Y93" s="160" t="str">
        <f t="shared" si="36"/>
        <v/>
      </c>
      <c r="Z93" s="160" t="str">
        <f t="shared" si="37"/>
        <v/>
      </c>
      <c r="AA93" s="160" t="str">
        <f t="shared" si="52"/>
        <v/>
      </c>
      <c r="AB93" s="131"/>
      <c r="AC93" s="127"/>
      <c r="AD93" s="132"/>
      <c r="AE93" s="160" t="str">
        <f t="shared" si="38"/>
        <v/>
      </c>
      <c r="AF93" s="160" t="str">
        <f t="shared" si="39"/>
        <v/>
      </c>
      <c r="AG93" s="160" t="str">
        <f t="shared" si="53"/>
        <v/>
      </c>
      <c r="AH93" s="131"/>
      <c r="AI93" s="127"/>
      <c r="AJ93" s="132"/>
      <c r="AK93" s="177" t="str">
        <f t="shared" si="40"/>
        <v/>
      </c>
      <c r="AL93" s="160" t="str">
        <f t="shared" si="41"/>
        <v/>
      </c>
      <c r="AM93" s="160" t="str">
        <f t="shared" si="42"/>
        <v/>
      </c>
      <c r="AN93" s="131"/>
      <c r="AO93" s="127"/>
      <c r="AP93" s="132"/>
      <c r="AQ93" s="164" t="str">
        <f t="shared" si="43"/>
        <v/>
      </c>
      <c r="AR93" s="155" t="str">
        <f t="shared" si="44"/>
        <v/>
      </c>
      <c r="AS93" s="188" t="str">
        <f t="shared" si="45"/>
        <v/>
      </c>
      <c r="AT93" s="160" t="str">
        <f t="shared" si="46"/>
        <v/>
      </c>
      <c r="AU93" s="160" t="str">
        <f t="shared" si="47"/>
        <v/>
      </c>
      <c r="AV93" s="168" t="str">
        <f t="shared" si="48"/>
        <v/>
      </c>
      <c r="AW93" s="171" t="str">
        <f>IF(AV93="","",IFERROR(INDEX(HELPER!$D$8:$D$48,IF(AV93&gt;=HELPER!$B$8,1,MATCH(AV93,HELPER!$B$8:$B$48,-1)+1)),""))</f>
        <v/>
      </c>
      <c r="AX93" s="174" t="str">
        <f>IF(AW93="","",IFERROR(VLOOKUP(AW93,HELPER!$F$8:$G$48,2,FALSE),""))</f>
        <v/>
      </c>
      <c r="AY93" s="147"/>
      <c r="AZ93" s="91"/>
    </row>
    <row r="94" spans="1:52" ht="15" customHeight="1" x14ac:dyDescent="0.3">
      <c r="A94" s="147"/>
      <c r="B94" s="114">
        <v>25</v>
      </c>
      <c r="C94" s="227" t="str">
        <f>IF('INPUT DATA'!N35="","",'INPUT DATA'!N35)</f>
        <v/>
      </c>
      <c r="D94" s="228"/>
      <c r="E94" s="228"/>
      <c r="F94" s="131"/>
      <c r="G94" s="127"/>
      <c r="H94" s="127"/>
      <c r="I94" s="127"/>
      <c r="J94" s="132"/>
      <c r="K94" s="160" t="str">
        <f t="shared" si="50"/>
        <v/>
      </c>
      <c r="L94" s="185" t="str">
        <f t="shared" si="33"/>
        <v/>
      </c>
      <c r="M94" s="185" t="str">
        <f t="shared" si="51"/>
        <v/>
      </c>
      <c r="N94" s="131"/>
      <c r="O94" s="127"/>
      <c r="P94" s="127"/>
      <c r="Q94" s="127"/>
      <c r="R94" s="132"/>
      <c r="S94" s="160" t="str">
        <f t="shared" si="49"/>
        <v/>
      </c>
      <c r="T94" s="185" t="str">
        <f t="shared" si="34"/>
        <v/>
      </c>
      <c r="U94" s="185" t="str">
        <f t="shared" si="35"/>
        <v/>
      </c>
      <c r="V94" s="131"/>
      <c r="W94" s="127"/>
      <c r="X94" s="132"/>
      <c r="Y94" s="160" t="str">
        <f t="shared" si="36"/>
        <v/>
      </c>
      <c r="Z94" s="160" t="str">
        <f t="shared" si="37"/>
        <v/>
      </c>
      <c r="AA94" s="160" t="str">
        <f t="shared" si="52"/>
        <v/>
      </c>
      <c r="AB94" s="131"/>
      <c r="AC94" s="127"/>
      <c r="AD94" s="132"/>
      <c r="AE94" s="160" t="str">
        <f t="shared" si="38"/>
        <v/>
      </c>
      <c r="AF94" s="160" t="str">
        <f t="shared" si="39"/>
        <v/>
      </c>
      <c r="AG94" s="160" t="str">
        <f t="shared" si="53"/>
        <v/>
      </c>
      <c r="AH94" s="131"/>
      <c r="AI94" s="127"/>
      <c r="AJ94" s="132"/>
      <c r="AK94" s="177" t="str">
        <f t="shared" si="40"/>
        <v/>
      </c>
      <c r="AL94" s="160" t="str">
        <f t="shared" si="41"/>
        <v/>
      </c>
      <c r="AM94" s="160" t="str">
        <f t="shared" si="42"/>
        <v/>
      </c>
      <c r="AN94" s="131"/>
      <c r="AO94" s="127"/>
      <c r="AP94" s="132"/>
      <c r="AQ94" s="164" t="str">
        <f t="shared" si="43"/>
        <v/>
      </c>
      <c r="AR94" s="155" t="str">
        <f t="shared" si="44"/>
        <v/>
      </c>
      <c r="AS94" s="188" t="str">
        <f t="shared" si="45"/>
        <v/>
      </c>
      <c r="AT94" s="160" t="str">
        <f t="shared" si="46"/>
        <v/>
      </c>
      <c r="AU94" s="160" t="str">
        <f t="shared" si="47"/>
        <v/>
      </c>
      <c r="AV94" s="168" t="str">
        <f t="shared" si="48"/>
        <v/>
      </c>
      <c r="AW94" s="171" t="str">
        <f>IF(AV94="","",IFERROR(INDEX(HELPER!$D$8:$D$48,IF(AV94&gt;=HELPER!$B$8,1,MATCH(AV94,HELPER!$B$8:$B$48,-1)+1)),""))</f>
        <v/>
      </c>
      <c r="AX94" s="174" t="str">
        <f>IF(AW94="","",IFERROR(VLOOKUP(AW94,HELPER!$F$8:$G$48,2,FALSE),""))</f>
        <v/>
      </c>
      <c r="AY94" s="147"/>
      <c r="AZ94" s="91"/>
    </row>
    <row r="95" spans="1:52" ht="15" customHeight="1" x14ac:dyDescent="0.3">
      <c r="A95" s="147"/>
      <c r="B95" s="114">
        <v>26</v>
      </c>
      <c r="C95" s="227" t="str">
        <f>IF('INPUT DATA'!N36="","",'INPUT DATA'!N36)</f>
        <v/>
      </c>
      <c r="D95" s="228"/>
      <c r="E95" s="228"/>
      <c r="F95" s="131"/>
      <c r="G95" s="127"/>
      <c r="H95" s="127"/>
      <c r="I95" s="127"/>
      <c r="J95" s="132"/>
      <c r="K95" s="160" t="str">
        <f t="shared" si="50"/>
        <v/>
      </c>
      <c r="L95" s="185" t="str">
        <f t="shared" si="33"/>
        <v/>
      </c>
      <c r="M95" s="185" t="str">
        <f t="shared" si="51"/>
        <v/>
      </c>
      <c r="N95" s="131"/>
      <c r="O95" s="127"/>
      <c r="P95" s="127"/>
      <c r="Q95" s="127"/>
      <c r="R95" s="132"/>
      <c r="S95" s="160" t="str">
        <f t="shared" si="49"/>
        <v/>
      </c>
      <c r="T95" s="185" t="str">
        <f t="shared" si="34"/>
        <v/>
      </c>
      <c r="U95" s="185" t="str">
        <f t="shared" si="35"/>
        <v/>
      </c>
      <c r="V95" s="131"/>
      <c r="W95" s="127"/>
      <c r="X95" s="132"/>
      <c r="Y95" s="160" t="str">
        <f t="shared" si="36"/>
        <v/>
      </c>
      <c r="Z95" s="160" t="str">
        <f t="shared" si="37"/>
        <v/>
      </c>
      <c r="AA95" s="160" t="str">
        <f t="shared" si="52"/>
        <v/>
      </c>
      <c r="AB95" s="131"/>
      <c r="AC95" s="127"/>
      <c r="AD95" s="132"/>
      <c r="AE95" s="160" t="str">
        <f t="shared" si="38"/>
        <v/>
      </c>
      <c r="AF95" s="160" t="str">
        <f t="shared" si="39"/>
        <v/>
      </c>
      <c r="AG95" s="160" t="str">
        <f t="shared" si="53"/>
        <v/>
      </c>
      <c r="AH95" s="131"/>
      <c r="AI95" s="127"/>
      <c r="AJ95" s="132"/>
      <c r="AK95" s="177" t="str">
        <f t="shared" si="40"/>
        <v/>
      </c>
      <c r="AL95" s="160" t="str">
        <f t="shared" si="41"/>
        <v/>
      </c>
      <c r="AM95" s="160" t="str">
        <f t="shared" si="42"/>
        <v/>
      </c>
      <c r="AN95" s="131"/>
      <c r="AO95" s="127"/>
      <c r="AP95" s="132"/>
      <c r="AQ95" s="164" t="str">
        <f t="shared" si="43"/>
        <v/>
      </c>
      <c r="AR95" s="155" t="str">
        <f t="shared" si="44"/>
        <v/>
      </c>
      <c r="AS95" s="188" t="str">
        <f t="shared" si="45"/>
        <v/>
      </c>
      <c r="AT95" s="160" t="str">
        <f t="shared" si="46"/>
        <v/>
      </c>
      <c r="AU95" s="160" t="str">
        <f t="shared" si="47"/>
        <v/>
      </c>
      <c r="AV95" s="168" t="str">
        <f t="shared" si="48"/>
        <v/>
      </c>
      <c r="AW95" s="171" t="str">
        <f>IF(AV95="","",IFERROR(INDEX(HELPER!$D$8:$D$48,IF(AV95&gt;=HELPER!$B$8,1,MATCH(AV95,HELPER!$B$8:$B$48,-1)+1)),""))</f>
        <v/>
      </c>
      <c r="AX95" s="174" t="str">
        <f>IF(AW95="","",IFERROR(VLOOKUP(AW95,HELPER!$F$8:$G$48,2,FALSE),""))</f>
        <v/>
      </c>
      <c r="AY95" s="147"/>
      <c r="AZ95" s="91"/>
    </row>
    <row r="96" spans="1:52" ht="15" customHeight="1" x14ac:dyDescent="0.3">
      <c r="A96" s="147"/>
      <c r="B96" s="114">
        <v>27</v>
      </c>
      <c r="C96" s="227" t="str">
        <f>IF('INPUT DATA'!N37="","",'INPUT DATA'!N37)</f>
        <v/>
      </c>
      <c r="D96" s="228"/>
      <c r="E96" s="228"/>
      <c r="F96" s="131"/>
      <c r="G96" s="127"/>
      <c r="H96" s="127"/>
      <c r="I96" s="127"/>
      <c r="J96" s="132"/>
      <c r="K96" s="160" t="str">
        <f t="shared" si="50"/>
        <v/>
      </c>
      <c r="L96" s="185" t="str">
        <f t="shared" si="33"/>
        <v/>
      </c>
      <c r="M96" s="185" t="str">
        <f t="shared" si="51"/>
        <v/>
      </c>
      <c r="N96" s="131"/>
      <c r="O96" s="127"/>
      <c r="P96" s="127"/>
      <c r="Q96" s="127"/>
      <c r="R96" s="132"/>
      <c r="S96" s="160" t="str">
        <f t="shared" si="49"/>
        <v/>
      </c>
      <c r="T96" s="185" t="str">
        <f t="shared" si="34"/>
        <v/>
      </c>
      <c r="U96" s="185" t="str">
        <f t="shared" si="35"/>
        <v/>
      </c>
      <c r="V96" s="131"/>
      <c r="W96" s="127"/>
      <c r="X96" s="132"/>
      <c r="Y96" s="160" t="str">
        <f t="shared" si="36"/>
        <v/>
      </c>
      <c r="Z96" s="160" t="str">
        <f t="shared" si="37"/>
        <v/>
      </c>
      <c r="AA96" s="160" t="str">
        <f t="shared" si="52"/>
        <v/>
      </c>
      <c r="AB96" s="131"/>
      <c r="AC96" s="127"/>
      <c r="AD96" s="132"/>
      <c r="AE96" s="160" t="str">
        <f t="shared" si="38"/>
        <v/>
      </c>
      <c r="AF96" s="160" t="str">
        <f t="shared" si="39"/>
        <v/>
      </c>
      <c r="AG96" s="160" t="str">
        <f t="shared" si="53"/>
        <v/>
      </c>
      <c r="AH96" s="131"/>
      <c r="AI96" s="127"/>
      <c r="AJ96" s="132"/>
      <c r="AK96" s="177" t="str">
        <f t="shared" si="40"/>
        <v/>
      </c>
      <c r="AL96" s="160" t="str">
        <f t="shared" si="41"/>
        <v/>
      </c>
      <c r="AM96" s="160" t="str">
        <f t="shared" si="42"/>
        <v/>
      </c>
      <c r="AN96" s="131"/>
      <c r="AO96" s="127"/>
      <c r="AP96" s="132"/>
      <c r="AQ96" s="164" t="str">
        <f t="shared" si="43"/>
        <v/>
      </c>
      <c r="AR96" s="155" t="str">
        <f t="shared" si="44"/>
        <v/>
      </c>
      <c r="AS96" s="188" t="str">
        <f t="shared" si="45"/>
        <v/>
      </c>
      <c r="AT96" s="160" t="str">
        <f t="shared" si="46"/>
        <v/>
      </c>
      <c r="AU96" s="160" t="str">
        <f t="shared" si="47"/>
        <v/>
      </c>
      <c r="AV96" s="168" t="str">
        <f t="shared" si="48"/>
        <v/>
      </c>
      <c r="AW96" s="171" t="str">
        <f>IF(AV96="","",IFERROR(INDEX(HELPER!$D$8:$D$48,IF(AV96&gt;=HELPER!$B$8,1,MATCH(AV96,HELPER!$B$8:$B$48,-1)+1)),""))</f>
        <v/>
      </c>
      <c r="AX96" s="174" t="str">
        <f>IF(AW96="","",IFERROR(VLOOKUP(AW96,HELPER!$F$8:$G$48,2,FALSE),""))</f>
        <v/>
      </c>
      <c r="AY96" s="147"/>
      <c r="AZ96" s="91"/>
    </row>
    <row r="97" spans="1:52" ht="15" customHeight="1" x14ac:dyDescent="0.3">
      <c r="A97" s="147"/>
      <c r="B97" s="114">
        <v>28</v>
      </c>
      <c r="C97" s="227" t="str">
        <f>IF('INPUT DATA'!N38="","",'INPUT DATA'!N38)</f>
        <v/>
      </c>
      <c r="D97" s="228"/>
      <c r="E97" s="228"/>
      <c r="F97" s="131"/>
      <c r="G97" s="127"/>
      <c r="H97" s="127"/>
      <c r="I97" s="127"/>
      <c r="J97" s="132"/>
      <c r="K97" s="160" t="str">
        <f t="shared" si="50"/>
        <v/>
      </c>
      <c r="L97" s="185" t="str">
        <f t="shared" si="33"/>
        <v/>
      </c>
      <c r="M97" s="185" t="str">
        <f t="shared" si="51"/>
        <v/>
      </c>
      <c r="N97" s="131"/>
      <c r="O97" s="127"/>
      <c r="P97" s="127"/>
      <c r="Q97" s="127"/>
      <c r="R97" s="132"/>
      <c r="S97" s="160" t="str">
        <f t="shared" si="49"/>
        <v/>
      </c>
      <c r="T97" s="185" t="str">
        <f t="shared" si="34"/>
        <v/>
      </c>
      <c r="U97" s="185" t="str">
        <f t="shared" si="35"/>
        <v/>
      </c>
      <c r="V97" s="131"/>
      <c r="W97" s="127"/>
      <c r="X97" s="132"/>
      <c r="Y97" s="160" t="str">
        <f t="shared" si="36"/>
        <v/>
      </c>
      <c r="Z97" s="160" t="str">
        <f t="shared" si="37"/>
        <v/>
      </c>
      <c r="AA97" s="160" t="str">
        <f t="shared" si="52"/>
        <v/>
      </c>
      <c r="AB97" s="131"/>
      <c r="AC97" s="127"/>
      <c r="AD97" s="132"/>
      <c r="AE97" s="160" t="str">
        <f t="shared" si="38"/>
        <v/>
      </c>
      <c r="AF97" s="160" t="str">
        <f t="shared" si="39"/>
        <v/>
      </c>
      <c r="AG97" s="160" t="str">
        <f t="shared" si="53"/>
        <v/>
      </c>
      <c r="AH97" s="131"/>
      <c r="AI97" s="127"/>
      <c r="AJ97" s="132"/>
      <c r="AK97" s="177" t="str">
        <f t="shared" si="40"/>
        <v/>
      </c>
      <c r="AL97" s="160" t="str">
        <f t="shared" si="41"/>
        <v/>
      </c>
      <c r="AM97" s="160" t="str">
        <f t="shared" si="42"/>
        <v/>
      </c>
      <c r="AN97" s="131"/>
      <c r="AO97" s="127"/>
      <c r="AP97" s="132"/>
      <c r="AQ97" s="164" t="str">
        <f t="shared" si="43"/>
        <v/>
      </c>
      <c r="AR97" s="155" t="str">
        <f t="shared" si="44"/>
        <v/>
      </c>
      <c r="AS97" s="188" t="str">
        <f t="shared" si="45"/>
        <v/>
      </c>
      <c r="AT97" s="160" t="str">
        <f t="shared" si="46"/>
        <v/>
      </c>
      <c r="AU97" s="160" t="str">
        <f t="shared" si="47"/>
        <v/>
      </c>
      <c r="AV97" s="168" t="str">
        <f t="shared" si="48"/>
        <v/>
      </c>
      <c r="AW97" s="171" t="str">
        <f>IF(AV97="","",IFERROR(INDEX(HELPER!$D$8:$D$48,IF(AV97&gt;=HELPER!$B$8,1,MATCH(AV97,HELPER!$B$8:$B$48,-1)+1)),""))</f>
        <v/>
      </c>
      <c r="AX97" s="174" t="str">
        <f>IF(AW97="","",IFERROR(VLOOKUP(AW97,HELPER!$F$8:$G$48,2,FALSE),""))</f>
        <v/>
      </c>
      <c r="AY97" s="147"/>
      <c r="AZ97" s="91"/>
    </row>
    <row r="98" spans="1:52" ht="15" customHeight="1" x14ac:dyDescent="0.3">
      <c r="A98" s="147"/>
      <c r="B98" s="114">
        <v>29</v>
      </c>
      <c r="C98" s="227" t="str">
        <f>IF('INPUT DATA'!N39="","",'INPUT DATA'!N39)</f>
        <v/>
      </c>
      <c r="D98" s="228"/>
      <c r="E98" s="228"/>
      <c r="F98" s="131"/>
      <c r="G98" s="127"/>
      <c r="H98" s="127"/>
      <c r="I98" s="127"/>
      <c r="J98" s="132"/>
      <c r="K98" s="160" t="str">
        <f t="shared" si="50"/>
        <v/>
      </c>
      <c r="L98" s="185" t="str">
        <f t="shared" si="33"/>
        <v/>
      </c>
      <c r="M98" s="185" t="str">
        <f t="shared" si="51"/>
        <v/>
      </c>
      <c r="N98" s="131"/>
      <c r="O98" s="127"/>
      <c r="P98" s="127"/>
      <c r="Q98" s="127"/>
      <c r="R98" s="132"/>
      <c r="S98" s="160" t="str">
        <f t="shared" si="49"/>
        <v/>
      </c>
      <c r="T98" s="185" t="str">
        <f t="shared" si="34"/>
        <v/>
      </c>
      <c r="U98" s="185" t="str">
        <f t="shared" si="35"/>
        <v/>
      </c>
      <c r="V98" s="131"/>
      <c r="W98" s="127"/>
      <c r="X98" s="132"/>
      <c r="Y98" s="160" t="str">
        <f t="shared" si="36"/>
        <v/>
      </c>
      <c r="Z98" s="160" t="str">
        <f t="shared" si="37"/>
        <v/>
      </c>
      <c r="AA98" s="160" t="str">
        <f t="shared" si="52"/>
        <v/>
      </c>
      <c r="AB98" s="131"/>
      <c r="AC98" s="127"/>
      <c r="AD98" s="132"/>
      <c r="AE98" s="160" t="str">
        <f t="shared" si="38"/>
        <v/>
      </c>
      <c r="AF98" s="160" t="str">
        <f t="shared" si="39"/>
        <v/>
      </c>
      <c r="AG98" s="160" t="str">
        <f t="shared" si="53"/>
        <v/>
      </c>
      <c r="AH98" s="131"/>
      <c r="AI98" s="127"/>
      <c r="AJ98" s="132"/>
      <c r="AK98" s="177" t="str">
        <f t="shared" si="40"/>
        <v/>
      </c>
      <c r="AL98" s="160" t="str">
        <f t="shared" si="41"/>
        <v/>
      </c>
      <c r="AM98" s="160" t="str">
        <f t="shared" si="42"/>
        <v/>
      </c>
      <c r="AN98" s="131"/>
      <c r="AO98" s="127"/>
      <c r="AP98" s="132"/>
      <c r="AQ98" s="164" t="str">
        <f t="shared" si="43"/>
        <v/>
      </c>
      <c r="AR98" s="155" t="str">
        <f t="shared" si="44"/>
        <v/>
      </c>
      <c r="AS98" s="188" t="str">
        <f t="shared" si="45"/>
        <v/>
      </c>
      <c r="AT98" s="160" t="str">
        <f t="shared" si="46"/>
        <v/>
      </c>
      <c r="AU98" s="160" t="str">
        <f t="shared" si="47"/>
        <v/>
      </c>
      <c r="AV98" s="168" t="str">
        <f t="shared" si="48"/>
        <v/>
      </c>
      <c r="AW98" s="171" t="str">
        <f>IF(AV98="","",IFERROR(INDEX(HELPER!$D$8:$D$48,IF(AV98&gt;=HELPER!$B$8,1,MATCH(AV98,HELPER!$B$8:$B$48,-1)+1)),""))</f>
        <v/>
      </c>
      <c r="AX98" s="174" t="str">
        <f>IF(AW98="","",IFERROR(VLOOKUP(AW98,HELPER!$F$8:$G$48,2,FALSE),""))</f>
        <v/>
      </c>
      <c r="AY98" s="147"/>
      <c r="AZ98" s="91"/>
    </row>
    <row r="99" spans="1:52" ht="15" customHeight="1" x14ac:dyDescent="0.3">
      <c r="A99" s="147"/>
      <c r="B99" s="114">
        <v>30</v>
      </c>
      <c r="C99" s="227" t="str">
        <f>IF('INPUT DATA'!N40="","",'INPUT DATA'!N40)</f>
        <v/>
      </c>
      <c r="D99" s="228"/>
      <c r="E99" s="228"/>
      <c r="F99" s="131"/>
      <c r="G99" s="127"/>
      <c r="H99" s="127"/>
      <c r="I99" s="127"/>
      <c r="J99" s="132"/>
      <c r="K99" s="160" t="str">
        <f t="shared" si="50"/>
        <v/>
      </c>
      <c r="L99" s="185" t="str">
        <f t="shared" si="33"/>
        <v/>
      </c>
      <c r="M99" s="185" t="str">
        <f t="shared" si="51"/>
        <v/>
      </c>
      <c r="N99" s="131"/>
      <c r="O99" s="127"/>
      <c r="P99" s="127"/>
      <c r="Q99" s="127"/>
      <c r="R99" s="132"/>
      <c r="S99" s="160" t="str">
        <f t="shared" si="49"/>
        <v/>
      </c>
      <c r="T99" s="185" t="str">
        <f t="shared" si="34"/>
        <v/>
      </c>
      <c r="U99" s="185" t="str">
        <f t="shared" si="35"/>
        <v/>
      </c>
      <c r="V99" s="131"/>
      <c r="W99" s="127"/>
      <c r="X99" s="132"/>
      <c r="Y99" s="160" t="str">
        <f t="shared" si="36"/>
        <v/>
      </c>
      <c r="Z99" s="160" t="str">
        <f t="shared" si="37"/>
        <v/>
      </c>
      <c r="AA99" s="160" t="str">
        <f t="shared" si="52"/>
        <v/>
      </c>
      <c r="AB99" s="131"/>
      <c r="AC99" s="127"/>
      <c r="AD99" s="132"/>
      <c r="AE99" s="160" t="str">
        <f t="shared" si="38"/>
        <v/>
      </c>
      <c r="AF99" s="160" t="str">
        <f t="shared" si="39"/>
        <v/>
      </c>
      <c r="AG99" s="160" t="str">
        <f t="shared" si="53"/>
        <v/>
      </c>
      <c r="AH99" s="131"/>
      <c r="AI99" s="127"/>
      <c r="AJ99" s="132"/>
      <c r="AK99" s="177" t="str">
        <f t="shared" si="40"/>
        <v/>
      </c>
      <c r="AL99" s="160" t="str">
        <f t="shared" si="41"/>
        <v/>
      </c>
      <c r="AM99" s="160" t="str">
        <f t="shared" si="42"/>
        <v/>
      </c>
      <c r="AN99" s="131"/>
      <c r="AO99" s="127"/>
      <c r="AP99" s="132"/>
      <c r="AQ99" s="164" t="str">
        <f t="shared" si="43"/>
        <v/>
      </c>
      <c r="AR99" s="155" t="str">
        <f t="shared" si="44"/>
        <v/>
      </c>
      <c r="AS99" s="188" t="str">
        <f t="shared" si="45"/>
        <v/>
      </c>
      <c r="AT99" s="160" t="str">
        <f t="shared" si="46"/>
        <v/>
      </c>
      <c r="AU99" s="160" t="str">
        <f t="shared" si="47"/>
        <v/>
      </c>
      <c r="AV99" s="168" t="str">
        <f t="shared" si="48"/>
        <v/>
      </c>
      <c r="AW99" s="171" t="str">
        <f>IF(AV99="","",IFERROR(INDEX(HELPER!$D$8:$D$48,IF(AV99&gt;=HELPER!$B$8,1,MATCH(AV99,HELPER!$B$8:$B$48,-1)+1)),""))</f>
        <v/>
      </c>
      <c r="AX99" s="174" t="str">
        <f>IF(AW99="","",IFERROR(VLOOKUP(AW99,HELPER!$F$8:$G$48,2,FALSE),""))</f>
        <v/>
      </c>
      <c r="AY99" s="147"/>
      <c r="AZ99" s="91"/>
    </row>
    <row r="100" spans="1:52" ht="15" customHeight="1" x14ac:dyDescent="0.3">
      <c r="A100" s="147"/>
      <c r="B100" s="114">
        <v>31</v>
      </c>
      <c r="C100" s="227" t="str">
        <f>IF('INPUT DATA'!N41="","",'INPUT DATA'!N41)</f>
        <v/>
      </c>
      <c r="D100" s="228"/>
      <c r="E100" s="228"/>
      <c r="F100" s="131"/>
      <c r="G100" s="127"/>
      <c r="H100" s="127"/>
      <c r="I100" s="127"/>
      <c r="J100" s="132"/>
      <c r="K100" s="160" t="str">
        <f t="shared" si="50"/>
        <v/>
      </c>
      <c r="L100" s="185" t="str">
        <f t="shared" si="33"/>
        <v/>
      </c>
      <c r="M100" s="185" t="str">
        <f t="shared" si="51"/>
        <v/>
      </c>
      <c r="N100" s="131"/>
      <c r="O100" s="127"/>
      <c r="P100" s="127"/>
      <c r="Q100" s="127"/>
      <c r="R100" s="132"/>
      <c r="S100" s="160" t="str">
        <f t="shared" si="49"/>
        <v/>
      </c>
      <c r="T100" s="185" t="str">
        <f t="shared" si="34"/>
        <v/>
      </c>
      <c r="U100" s="185" t="str">
        <f t="shared" si="35"/>
        <v/>
      </c>
      <c r="V100" s="131"/>
      <c r="W100" s="127"/>
      <c r="X100" s="132"/>
      <c r="Y100" s="160" t="str">
        <f t="shared" si="36"/>
        <v/>
      </c>
      <c r="Z100" s="160" t="str">
        <f t="shared" si="37"/>
        <v/>
      </c>
      <c r="AA100" s="160" t="str">
        <f t="shared" si="52"/>
        <v/>
      </c>
      <c r="AB100" s="131"/>
      <c r="AC100" s="127"/>
      <c r="AD100" s="132"/>
      <c r="AE100" s="160" t="str">
        <f t="shared" si="38"/>
        <v/>
      </c>
      <c r="AF100" s="160" t="str">
        <f t="shared" si="39"/>
        <v/>
      </c>
      <c r="AG100" s="160" t="str">
        <f t="shared" si="53"/>
        <v/>
      </c>
      <c r="AH100" s="131"/>
      <c r="AI100" s="127"/>
      <c r="AJ100" s="132"/>
      <c r="AK100" s="177" t="str">
        <f t="shared" si="40"/>
        <v/>
      </c>
      <c r="AL100" s="160" t="str">
        <f t="shared" si="41"/>
        <v/>
      </c>
      <c r="AM100" s="160" t="str">
        <f t="shared" si="42"/>
        <v/>
      </c>
      <c r="AN100" s="131"/>
      <c r="AO100" s="127"/>
      <c r="AP100" s="132"/>
      <c r="AQ100" s="164" t="str">
        <f t="shared" si="43"/>
        <v/>
      </c>
      <c r="AR100" s="155" t="str">
        <f t="shared" si="44"/>
        <v/>
      </c>
      <c r="AS100" s="188" t="str">
        <f t="shared" si="45"/>
        <v/>
      </c>
      <c r="AT100" s="160" t="str">
        <f t="shared" si="46"/>
        <v/>
      </c>
      <c r="AU100" s="160" t="str">
        <f t="shared" si="47"/>
        <v/>
      </c>
      <c r="AV100" s="168" t="str">
        <f t="shared" si="48"/>
        <v/>
      </c>
      <c r="AW100" s="171" t="str">
        <f>IF(AV100="","",IFERROR(INDEX(HELPER!$D$8:$D$48,IF(AV100&gt;=HELPER!$B$8,1,MATCH(AV100,HELPER!$B$8:$B$48,-1)+1)),""))</f>
        <v/>
      </c>
      <c r="AX100" s="174" t="str">
        <f>IF(AW100="","",IFERROR(VLOOKUP(AW100,HELPER!$F$8:$G$48,2,FALSE),""))</f>
        <v/>
      </c>
      <c r="AY100" s="147"/>
      <c r="AZ100" s="91"/>
    </row>
    <row r="101" spans="1:52" ht="15" customHeight="1" x14ac:dyDescent="0.3">
      <c r="A101" s="147"/>
      <c r="B101" s="114">
        <v>32</v>
      </c>
      <c r="C101" s="227" t="str">
        <f>IF('INPUT DATA'!N42="","",'INPUT DATA'!N42)</f>
        <v/>
      </c>
      <c r="D101" s="228"/>
      <c r="E101" s="228"/>
      <c r="F101" s="131"/>
      <c r="G101" s="127"/>
      <c r="H101" s="127"/>
      <c r="I101" s="127"/>
      <c r="J101" s="132"/>
      <c r="K101" s="160" t="str">
        <f t="shared" si="50"/>
        <v/>
      </c>
      <c r="L101" s="185" t="str">
        <f t="shared" si="33"/>
        <v/>
      </c>
      <c r="M101" s="185" t="str">
        <f t="shared" si="51"/>
        <v/>
      </c>
      <c r="N101" s="131"/>
      <c r="O101" s="127"/>
      <c r="P101" s="127"/>
      <c r="Q101" s="127"/>
      <c r="R101" s="132"/>
      <c r="S101" s="160" t="str">
        <f t="shared" si="49"/>
        <v/>
      </c>
      <c r="T101" s="185" t="str">
        <f t="shared" si="34"/>
        <v/>
      </c>
      <c r="U101" s="185" t="str">
        <f t="shared" si="35"/>
        <v/>
      </c>
      <c r="V101" s="131"/>
      <c r="W101" s="127"/>
      <c r="X101" s="132"/>
      <c r="Y101" s="160" t="str">
        <f t="shared" si="36"/>
        <v/>
      </c>
      <c r="Z101" s="160" t="str">
        <f t="shared" si="37"/>
        <v/>
      </c>
      <c r="AA101" s="160" t="str">
        <f t="shared" si="52"/>
        <v/>
      </c>
      <c r="AB101" s="131"/>
      <c r="AC101" s="127"/>
      <c r="AD101" s="132"/>
      <c r="AE101" s="160" t="str">
        <f t="shared" si="38"/>
        <v/>
      </c>
      <c r="AF101" s="160" t="str">
        <f t="shared" si="39"/>
        <v/>
      </c>
      <c r="AG101" s="160" t="str">
        <f t="shared" si="53"/>
        <v/>
      </c>
      <c r="AH101" s="131"/>
      <c r="AI101" s="127"/>
      <c r="AJ101" s="132"/>
      <c r="AK101" s="177" t="str">
        <f t="shared" si="40"/>
        <v/>
      </c>
      <c r="AL101" s="160" t="str">
        <f t="shared" si="41"/>
        <v/>
      </c>
      <c r="AM101" s="160" t="str">
        <f t="shared" si="42"/>
        <v/>
      </c>
      <c r="AN101" s="131"/>
      <c r="AO101" s="127"/>
      <c r="AP101" s="132"/>
      <c r="AQ101" s="164" t="str">
        <f t="shared" si="43"/>
        <v/>
      </c>
      <c r="AR101" s="155" t="str">
        <f t="shared" si="44"/>
        <v/>
      </c>
      <c r="AS101" s="188" t="str">
        <f t="shared" si="45"/>
        <v/>
      </c>
      <c r="AT101" s="160" t="str">
        <f t="shared" si="46"/>
        <v/>
      </c>
      <c r="AU101" s="160" t="str">
        <f t="shared" si="47"/>
        <v/>
      </c>
      <c r="AV101" s="168" t="str">
        <f t="shared" si="48"/>
        <v/>
      </c>
      <c r="AW101" s="171" t="str">
        <f>IF(AV101="","",IFERROR(INDEX(HELPER!$D$8:$D$48,IF(AV101&gt;=HELPER!$B$8,1,MATCH(AV101,HELPER!$B$8:$B$48,-1)+1)),""))</f>
        <v/>
      </c>
      <c r="AX101" s="174" t="str">
        <f>IF(AW101="","",IFERROR(VLOOKUP(AW101,HELPER!$F$8:$G$48,2,FALSE),""))</f>
        <v/>
      </c>
      <c r="AY101" s="147"/>
      <c r="AZ101" s="91"/>
    </row>
    <row r="102" spans="1:52" ht="15" customHeight="1" x14ac:dyDescent="0.3">
      <c r="A102" s="147"/>
      <c r="B102" s="114">
        <v>33</v>
      </c>
      <c r="C102" s="227" t="str">
        <f>IF('INPUT DATA'!N43="","",'INPUT DATA'!N43)</f>
        <v/>
      </c>
      <c r="D102" s="228"/>
      <c r="E102" s="228"/>
      <c r="F102" s="131"/>
      <c r="G102" s="127"/>
      <c r="H102" s="127"/>
      <c r="I102" s="127"/>
      <c r="J102" s="132"/>
      <c r="K102" s="160" t="str">
        <f t="shared" si="50"/>
        <v/>
      </c>
      <c r="L102" s="185" t="str">
        <f t="shared" si="33"/>
        <v/>
      </c>
      <c r="M102" s="185" t="str">
        <f t="shared" si="51"/>
        <v/>
      </c>
      <c r="N102" s="131"/>
      <c r="O102" s="127"/>
      <c r="P102" s="127"/>
      <c r="Q102" s="127"/>
      <c r="R102" s="132"/>
      <c r="S102" s="160" t="str">
        <f t="shared" si="49"/>
        <v/>
      </c>
      <c r="T102" s="185" t="str">
        <f t="shared" si="34"/>
        <v/>
      </c>
      <c r="U102" s="185" t="str">
        <f t="shared" si="35"/>
        <v/>
      </c>
      <c r="V102" s="131"/>
      <c r="W102" s="127"/>
      <c r="X102" s="132"/>
      <c r="Y102" s="160" t="str">
        <f t="shared" si="36"/>
        <v/>
      </c>
      <c r="Z102" s="160" t="str">
        <f t="shared" si="37"/>
        <v/>
      </c>
      <c r="AA102" s="160" t="str">
        <f t="shared" si="52"/>
        <v/>
      </c>
      <c r="AB102" s="131"/>
      <c r="AC102" s="127"/>
      <c r="AD102" s="132"/>
      <c r="AE102" s="160" t="str">
        <f t="shared" si="38"/>
        <v/>
      </c>
      <c r="AF102" s="160" t="str">
        <f t="shared" si="39"/>
        <v/>
      </c>
      <c r="AG102" s="160" t="str">
        <f t="shared" si="53"/>
        <v/>
      </c>
      <c r="AH102" s="131"/>
      <c r="AI102" s="127"/>
      <c r="AJ102" s="132"/>
      <c r="AK102" s="177" t="str">
        <f t="shared" si="40"/>
        <v/>
      </c>
      <c r="AL102" s="160" t="str">
        <f t="shared" si="41"/>
        <v/>
      </c>
      <c r="AM102" s="160" t="str">
        <f t="shared" si="42"/>
        <v/>
      </c>
      <c r="AN102" s="131"/>
      <c r="AO102" s="127"/>
      <c r="AP102" s="132"/>
      <c r="AQ102" s="164" t="str">
        <f t="shared" si="43"/>
        <v/>
      </c>
      <c r="AR102" s="155" t="str">
        <f t="shared" si="44"/>
        <v/>
      </c>
      <c r="AS102" s="188" t="str">
        <f t="shared" si="45"/>
        <v/>
      </c>
      <c r="AT102" s="160" t="str">
        <f t="shared" si="46"/>
        <v/>
      </c>
      <c r="AU102" s="160" t="str">
        <f t="shared" si="47"/>
        <v/>
      </c>
      <c r="AV102" s="168" t="str">
        <f t="shared" si="48"/>
        <v/>
      </c>
      <c r="AW102" s="171" t="str">
        <f>IF(AV102="","",IFERROR(INDEX(HELPER!$D$8:$D$48,IF(AV102&gt;=HELPER!$B$8,1,MATCH(AV102,HELPER!$B$8:$B$48,-1)+1)),""))</f>
        <v/>
      </c>
      <c r="AX102" s="174" t="str">
        <f>IF(AW102="","",IFERROR(VLOOKUP(AW102,HELPER!$F$8:$G$48,2,FALSE),""))</f>
        <v/>
      </c>
      <c r="AY102" s="147"/>
      <c r="AZ102" s="91"/>
    </row>
    <row r="103" spans="1:52" ht="15" customHeight="1" x14ac:dyDescent="0.3">
      <c r="A103" s="147"/>
      <c r="B103" s="114">
        <v>34</v>
      </c>
      <c r="C103" s="227" t="str">
        <f>IF('INPUT DATA'!N44="","",'INPUT DATA'!N44)</f>
        <v/>
      </c>
      <c r="D103" s="228"/>
      <c r="E103" s="228"/>
      <c r="F103" s="131"/>
      <c r="G103" s="127"/>
      <c r="H103" s="127"/>
      <c r="I103" s="127"/>
      <c r="J103" s="132"/>
      <c r="K103" s="160" t="str">
        <f t="shared" si="50"/>
        <v/>
      </c>
      <c r="L103" s="185" t="str">
        <f t="shared" si="33"/>
        <v/>
      </c>
      <c r="M103" s="185" t="str">
        <f t="shared" si="51"/>
        <v/>
      </c>
      <c r="N103" s="131"/>
      <c r="O103" s="127"/>
      <c r="P103" s="127"/>
      <c r="Q103" s="127"/>
      <c r="R103" s="132"/>
      <c r="S103" s="160" t="str">
        <f t="shared" si="49"/>
        <v/>
      </c>
      <c r="T103" s="185" t="str">
        <f t="shared" si="34"/>
        <v/>
      </c>
      <c r="U103" s="185" t="str">
        <f t="shared" si="35"/>
        <v/>
      </c>
      <c r="V103" s="131"/>
      <c r="W103" s="127"/>
      <c r="X103" s="132"/>
      <c r="Y103" s="160" t="str">
        <f t="shared" si="36"/>
        <v/>
      </c>
      <c r="Z103" s="160" t="str">
        <f t="shared" si="37"/>
        <v/>
      </c>
      <c r="AA103" s="160" t="str">
        <f t="shared" si="52"/>
        <v/>
      </c>
      <c r="AB103" s="131"/>
      <c r="AC103" s="127"/>
      <c r="AD103" s="132"/>
      <c r="AE103" s="160" t="str">
        <f t="shared" si="38"/>
        <v/>
      </c>
      <c r="AF103" s="160" t="str">
        <f t="shared" si="39"/>
        <v/>
      </c>
      <c r="AG103" s="160" t="str">
        <f t="shared" si="53"/>
        <v/>
      </c>
      <c r="AH103" s="131"/>
      <c r="AI103" s="127"/>
      <c r="AJ103" s="132"/>
      <c r="AK103" s="177" t="str">
        <f t="shared" si="40"/>
        <v/>
      </c>
      <c r="AL103" s="160" t="str">
        <f t="shared" si="41"/>
        <v/>
      </c>
      <c r="AM103" s="160" t="str">
        <f t="shared" si="42"/>
        <v/>
      </c>
      <c r="AN103" s="131"/>
      <c r="AO103" s="127"/>
      <c r="AP103" s="132"/>
      <c r="AQ103" s="164" t="str">
        <f t="shared" si="43"/>
        <v/>
      </c>
      <c r="AR103" s="155" t="str">
        <f t="shared" si="44"/>
        <v/>
      </c>
      <c r="AS103" s="188" t="str">
        <f t="shared" si="45"/>
        <v/>
      </c>
      <c r="AT103" s="160" t="str">
        <f t="shared" si="46"/>
        <v/>
      </c>
      <c r="AU103" s="160" t="str">
        <f t="shared" si="47"/>
        <v/>
      </c>
      <c r="AV103" s="168" t="str">
        <f t="shared" si="48"/>
        <v/>
      </c>
      <c r="AW103" s="171" t="str">
        <f>IF(AV103="","",IFERROR(INDEX(HELPER!$D$8:$D$48,IF(AV103&gt;=HELPER!$B$8,1,MATCH(AV103,HELPER!$B$8:$B$48,-1)+1)),""))</f>
        <v/>
      </c>
      <c r="AX103" s="174" t="str">
        <f>IF(AW103="","",IFERROR(VLOOKUP(AW103,HELPER!$F$8:$G$48,2,FALSE),""))</f>
        <v/>
      </c>
      <c r="AY103" s="147"/>
      <c r="AZ103" s="91"/>
    </row>
    <row r="104" spans="1:52" ht="15" customHeight="1" x14ac:dyDescent="0.3">
      <c r="A104" s="147"/>
      <c r="B104" s="114">
        <v>35</v>
      </c>
      <c r="C104" s="227" t="str">
        <f>IF('INPUT DATA'!N45="","",'INPUT DATA'!N45)</f>
        <v/>
      </c>
      <c r="D104" s="228"/>
      <c r="E104" s="228"/>
      <c r="F104" s="131"/>
      <c r="G104" s="127"/>
      <c r="H104" s="127"/>
      <c r="I104" s="127"/>
      <c r="J104" s="132"/>
      <c r="K104" s="160" t="str">
        <f t="shared" si="50"/>
        <v/>
      </c>
      <c r="L104" s="185" t="str">
        <f t="shared" si="33"/>
        <v/>
      </c>
      <c r="M104" s="185" t="str">
        <f t="shared" si="51"/>
        <v/>
      </c>
      <c r="N104" s="131"/>
      <c r="O104" s="127"/>
      <c r="P104" s="127"/>
      <c r="Q104" s="127"/>
      <c r="R104" s="132"/>
      <c r="S104" s="160" t="str">
        <f t="shared" si="49"/>
        <v/>
      </c>
      <c r="T104" s="185" t="str">
        <f t="shared" si="34"/>
        <v/>
      </c>
      <c r="U104" s="185" t="str">
        <f t="shared" si="35"/>
        <v/>
      </c>
      <c r="V104" s="131"/>
      <c r="W104" s="127"/>
      <c r="X104" s="132"/>
      <c r="Y104" s="160" t="str">
        <f t="shared" si="36"/>
        <v/>
      </c>
      <c r="Z104" s="160" t="str">
        <f t="shared" si="37"/>
        <v/>
      </c>
      <c r="AA104" s="160" t="str">
        <f t="shared" si="52"/>
        <v/>
      </c>
      <c r="AB104" s="131"/>
      <c r="AC104" s="127"/>
      <c r="AD104" s="132"/>
      <c r="AE104" s="160" t="str">
        <f t="shared" si="38"/>
        <v/>
      </c>
      <c r="AF104" s="160" t="str">
        <f t="shared" si="39"/>
        <v/>
      </c>
      <c r="AG104" s="160" t="str">
        <f t="shared" si="53"/>
        <v/>
      </c>
      <c r="AH104" s="131"/>
      <c r="AI104" s="127"/>
      <c r="AJ104" s="132"/>
      <c r="AK104" s="177" t="str">
        <f t="shared" si="40"/>
        <v/>
      </c>
      <c r="AL104" s="160" t="str">
        <f t="shared" si="41"/>
        <v/>
      </c>
      <c r="AM104" s="160" t="str">
        <f t="shared" si="42"/>
        <v/>
      </c>
      <c r="AN104" s="131"/>
      <c r="AO104" s="127"/>
      <c r="AP104" s="132"/>
      <c r="AQ104" s="164" t="str">
        <f t="shared" si="43"/>
        <v/>
      </c>
      <c r="AR104" s="155" t="str">
        <f t="shared" si="44"/>
        <v/>
      </c>
      <c r="AS104" s="188" t="str">
        <f t="shared" si="45"/>
        <v/>
      </c>
      <c r="AT104" s="160" t="str">
        <f t="shared" si="46"/>
        <v/>
      </c>
      <c r="AU104" s="160" t="str">
        <f t="shared" si="47"/>
        <v/>
      </c>
      <c r="AV104" s="168" t="str">
        <f t="shared" si="48"/>
        <v/>
      </c>
      <c r="AW104" s="171" t="str">
        <f>IF(AV104="","",IFERROR(INDEX(HELPER!$D$8:$D$48,IF(AV104&gt;=HELPER!$B$8,1,MATCH(AV104,HELPER!$B$8:$B$48,-1)+1)),""))</f>
        <v/>
      </c>
      <c r="AX104" s="174" t="str">
        <f>IF(AW104="","",IFERROR(VLOOKUP(AW104,HELPER!$F$8:$G$48,2,FALSE),""))</f>
        <v/>
      </c>
      <c r="AY104" s="147"/>
      <c r="AZ104" s="91"/>
    </row>
    <row r="105" spans="1:52" ht="15" customHeight="1" x14ac:dyDescent="0.3">
      <c r="A105" s="147"/>
      <c r="B105" s="114">
        <v>36</v>
      </c>
      <c r="C105" s="227" t="str">
        <f>IF('INPUT DATA'!N46="","",'INPUT DATA'!N46)</f>
        <v/>
      </c>
      <c r="D105" s="228"/>
      <c r="E105" s="228"/>
      <c r="F105" s="131"/>
      <c r="G105" s="127"/>
      <c r="H105" s="127"/>
      <c r="I105" s="127"/>
      <c r="J105" s="132"/>
      <c r="K105" s="160" t="str">
        <f t="shared" si="50"/>
        <v/>
      </c>
      <c r="L105" s="185" t="str">
        <f t="shared" si="33"/>
        <v/>
      </c>
      <c r="M105" s="185" t="str">
        <f t="shared" si="51"/>
        <v/>
      </c>
      <c r="N105" s="131"/>
      <c r="O105" s="127"/>
      <c r="P105" s="127"/>
      <c r="Q105" s="127"/>
      <c r="R105" s="132"/>
      <c r="S105" s="160" t="str">
        <f t="shared" si="49"/>
        <v/>
      </c>
      <c r="T105" s="185" t="str">
        <f t="shared" si="34"/>
        <v/>
      </c>
      <c r="U105" s="185" t="str">
        <f t="shared" si="35"/>
        <v/>
      </c>
      <c r="V105" s="131"/>
      <c r="W105" s="127"/>
      <c r="X105" s="132"/>
      <c r="Y105" s="160" t="str">
        <f t="shared" si="36"/>
        <v/>
      </c>
      <c r="Z105" s="160" t="str">
        <f t="shared" si="37"/>
        <v/>
      </c>
      <c r="AA105" s="160" t="str">
        <f t="shared" si="52"/>
        <v/>
      </c>
      <c r="AB105" s="131"/>
      <c r="AC105" s="127"/>
      <c r="AD105" s="132"/>
      <c r="AE105" s="160" t="str">
        <f t="shared" si="38"/>
        <v/>
      </c>
      <c r="AF105" s="160" t="str">
        <f t="shared" si="39"/>
        <v/>
      </c>
      <c r="AG105" s="160" t="str">
        <f t="shared" si="53"/>
        <v/>
      </c>
      <c r="AH105" s="131"/>
      <c r="AI105" s="127"/>
      <c r="AJ105" s="132"/>
      <c r="AK105" s="177" t="str">
        <f t="shared" si="40"/>
        <v/>
      </c>
      <c r="AL105" s="160" t="str">
        <f t="shared" si="41"/>
        <v/>
      </c>
      <c r="AM105" s="160" t="str">
        <f t="shared" si="42"/>
        <v/>
      </c>
      <c r="AN105" s="131"/>
      <c r="AO105" s="127"/>
      <c r="AP105" s="132"/>
      <c r="AQ105" s="164" t="str">
        <f t="shared" si="43"/>
        <v/>
      </c>
      <c r="AR105" s="155" t="str">
        <f t="shared" si="44"/>
        <v/>
      </c>
      <c r="AS105" s="188" t="str">
        <f t="shared" si="45"/>
        <v/>
      </c>
      <c r="AT105" s="160" t="str">
        <f t="shared" si="46"/>
        <v/>
      </c>
      <c r="AU105" s="160" t="str">
        <f t="shared" si="47"/>
        <v/>
      </c>
      <c r="AV105" s="168" t="str">
        <f t="shared" si="48"/>
        <v/>
      </c>
      <c r="AW105" s="171" t="str">
        <f>IF(AV105="","",IFERROR(INDEX(HELPER!$D$8:$D$48,IF(AV105&gt;=HELPER!$B$8,1,MATCH(AV105,HELPER!$B$8:$B$48,-1)+1)),""))</f>
        <v/>
      </c>
      <c r="AX105" s="174" t="str">
        <f>IF(AW105="","",IFERROR(VLOOKUP(AW105,HELPER!$F$8:$G$48,2,FALSE),""))</f>
        <v/>
      </c>
      <c r="AY105" s="147"/>
      <c r="AZ105" s="91"/>
    </row>
    <row r="106" spans="1:52" ht="15" customHeight="1" x14ac:dyDescent="0.3">
      <c r="A106" s="147"/>
      <c r="B106" s="114">
        <v>37</v>
      </c>
      <c r="C106" s="227" t="str">
        <f>IF('INPUT DATA'!N47="","",'INPUT DATA'!N47)</f>
        <v/>
      </c>
      <c r="D106" s="228"/>
      <c r="E106" s="228"/>
      <c r="F106" s="131"/>
      <c r="G106" s="127"/>
      <c r="H106" s="127"/>
      <c r="I106" s="127"/>
      <c r="J106" s="132"/>
      <c r="K106" s="160" t="str">
        <f t="shared" si="50"/>
        <v/>
      </c>
      <c r="L106" s="185" t="str">
        <f t="shared" si="33"/>
        <v/>
      </c>
      <c r="M106" s="185" t="str">
        <f t="shared" si="51"/>
        <v/>
      </c>
      <c r="N106" s="131"/>
      <c r="O106" s="127"/>
      <c r="P106" s="127"/>
      <c r="Q106" s="127"/>
      <c r="R106" s="132"/>
      <c r="S106" s="160" t="str">
        <f t="shared" si="49"/>
        <v/>
      </c>
      <c r="T106" s="185" t="str">
        <f t="shared" si="34"/>
        <v/>
      </c>
      <c r="U106" s="185" t="str">
        <f t="shared" si="35"/>
        <v/>
      </c>
      <c r="V106" s="131"/>
      <c r="W106" s="127"/>
      <c r="X106" s="132"/>
      <c r="Y106" s="160" t="str">
        <f t="shared" si="36"/>
        <v/>
      </c>
      <c r="Z106" s="160" t="str">
        <f t="shared" si="37"/>
        <v/>
      </c>
      <c r="AA106" s="160" t="str">
        <f t="shared" si="52"/>
        <v/>
      </c>
      <c r="AB106" s="131"/>
      <c r="AC106" s="127"/>
      <c r="AD106" s="132"/>
      <c r="AE106" s="160" t="str">
        <f t="shared" si="38"/>
        <v/>
      </c>
      <c r="AF106" s="160" t="str">
        <f t="shared" si="39"/>
        <v/>
      </c>
      <c r="AG106" s="160" t="str">
        <f t="shared" si="53"/>
        <v/>
      </c>
      <c r="AH106" s="131"/>
      <c r="AI106" s="127"/>
      <c r="AJ106" s="132"/>
      <c r="AK106" s="177" t="str">
        <f t="shared" si="40"/>
        <v/>
      </c>
      <c r="AL106" s="160" t="str">
        <f t="shared" si="41"/>
        <v/>
      </c>
      <c r="AM106" s="160" t="str">
        <f t="shared" si="42"/>
        <v/>
      </c>
      <c r="AN106" s="131"/>
      <c r="AO106" s="127"/>
      <c r="AP106" s="132"/>
      <c r="AQ106" s="164" t="str">
        <f t="shared" si="43"/>
        <v/>
      </c>
      <c r="AR106" s="155" t="str">
        <f t="shared" si="44"/>
        <v/>
      </c>
      <c r="AS106" s="188" t="str">
        <f t="shared" si="45"/>
        <v/>
      </c>
      <c r="AT106" s="160" t="str">
        <f t="shared" si="46"/>
        <v/>
      </c>
      <c r="AU106" s="160" t="str">
        <f t="shared" si="47"/>
        <v/>
      </c>
      <c r="AV106" s="168" t="str">
        <f t="shared" si="48"/>
        <v/>
      </c>
      <c r="AW106" s="171" t="str">
        <f>IF(AV106="","",IFERROR(INDEX(HELPER!$D$8:$D$48,IF(AV106&gt;=HELPER!$B$8,1,MATCH(AV106,HELPER!$B$8:$B$48,-1)+1)),""))</f>
        <v/>
      </c>
      <c r="AX106" s="174" t="str">
        <f>IF(AW106="","",IFERROR(VLOOKUP(AW106,HELPER!$F$8:$G$48,2,FALSE),""))</f>
        <v/>
      </c>
      <c r="AY106" s="147"/>
      <c r="AZ106" s="91"/>
    </row>
    <row r="107" spans="1:52" ht="15" customHeight="1" x14ac:dyDescent="0.3">
      <c r="A107" s="147"/>
      <c r="B107" s="114">
        <v>38</v>
      </c>
      <c r="C107" s="227" t="str">
        <f>IF('INPUT DATA'!N48="","",'INPUT DATA'!N48)</f>
        <v/>
      </c>
      <c r="D107" s="228"/>
      <c r="E107" s="228"/>
      <c r="F107" s="131"/>
      <c r="G107" s="127"/>
      <c r="H107" s="127"/>
      <c r="I107" s="127"/>
      <c r="J107" s="132"/>
      <c r="K107" s="160" t="str">
        <f t="shared" si="50"/>
        <v/>
      </c>
      <c r="L107" s="185" t="str">
        <f t="shared" si="33"/>
        <v/>
      </c>
      <c r="M107" s="185" t="str">
        <f t="shared" si="51"/>
        <v/>
      </c>
      <c r="N107" s="131"/>
      <c r="O107" s="127"/>
      <c r="P107" s="127"/>
      <c r="Q107" s="127"/>
      <c r="R107" s="132"/>
      <c r="S107" s="160" t="str">
        <f t="shared" si="49"/>
        <v/>
      </c>
      <c r="T107" s="185" t="str">
        <f t="shared" si="34"/>
        <v/>
      </c>
      <c r="U107" s="185" t="str">
        <f t="shared" si="35"/>
        <v/>
      </c>
      <c r="V107" s="131"/>
      <c r="W107" s="127"/>
      <c r="X107" s="132"/>
      <c r="Y107" s="160" t="str">
        <f t="shared" si="36"/>
        <v/>
      </c>
      <c r="Z107" s="160" t="str">
        <f t="shared" si="37"/>
        <v/>
      </c>
      <c r="AA107" s="160" t="str">
        <f t="shared" si="52"/>
        <v/>
      </c>
      <c r="AB107" s="131"/>
      <c r="AC107" s="127"/>
      <c r="AD107" s="132"/>
      <c r="AE107" s="160" t="str">
        <f t="shared" si="38"/>
        <v/>
      </c>
      <c r="AF107" s="160" t="str">
        <f t="shared" si="39"/>
        <v/>
      </c>
      <c r="AG107" s="160" t="str">
        <f t="shared" si="53"/>
        <v/>
      </c>
      <c r="AH107" s="131"/>
      <c r="AI107" s="127"/>
      <c r="AJ107" s="132"/>
      <c r="AK107" s="177" t="str">
        <f t="shared" si="40"/>
        <v/>
      </c>
      <c r="AL107" s="160" t="str">
        <f t="shared" si="41"/>
        <v/>
      </c>
      <c r="AM107" s="160" t="str">
        <f t="shared" si="42"/>
        <v/>
      </c>
      <c r="AN107" s="131"/>
      <c r="AO107" s="127"/>
      <c r="AP107" s="132"/>
      <c r="AQ107" s="164" t="str">
        <f t="shared" si="43"/>
        <v/>
      </c>
      <c r="AR107" s="155" t="str">
        <f t="shared" si="44"/>
        <v/>
      </c>
      <c r="AS107" s="188" t="str">
        <f t="shared" si="45"/>
        <v/>
      </c>
      <c r="AT107" s="160" t="str">
        <f t="shared" si="46"/>
        <v/>
      </c>
      <c r="AU107" s="160" t="str">
        <f t="shared" si="47"/>
        <v/>
      </c>
      <c r="AV107" s="168" t="str">
        <f t="shared" si="48"/>
        <v/>
      </c>
      <c r="AW107" s="171" t="str">
        <f>IF(AV107="","",IFERROR(INDEX(HELPER!$D$8:$D$48,IF(AV107&gt;=HELPER!$B$8,1,MATCH(AV107,HELPER!$B$8:$B$48,-1)+1)),""))</f>
        <v/>
      </c>
      <c r="AX107" s="174" t="str">
        <f>IF(AW107="","",IFERROR(VLOOKUP(AW107,HELPER!$F$8:$G$48,2,FALSE),""))</f>
        <v/>
      </c>
      <c r="AY107" s="147"/>
      <c r="AZ107" s="91"/>
    </row>
    <row r="108" spans="1:52" ht="15" customHeight="1" x14ac:dyDescent="0.3">
      <c r="A108" s="147"/>
      <c r="B108" s="114">
        <v>39</v>
      </c>
      <c r="C108" s="227" t="str">
        <f>IF('INPUT DATA'!N49="","",'INPUT DATA'!N49)</f>
        <v/>
      </c>
      <c r="D108" s="228"/>
      <c r="E108" s="228"/>
      <c r="F108" s="131"/>
      <c r="G108" s="127"/>
      <c r="H108" s="127"/>
      <c r="I108" s="127"/>
      <c r="J108" s="132"/>
      <c r="K108" s="160" t="str">
        <f t="shared" si="50"/>
        <v/>
      </c>
      <c r="L108" s="185" t="str">
        <f t="shared" si="33"/>
        <v/>
      </c>
      <c r="M108" s="185" t="str">
        <f t="shared" si="51"/>
        <v/>
      </c>
      <c r="N108" s="131"/>
      <c r="O108" s="127"/>
      <c r="P108" s="127"/>
      <c r="Q108" s="127"/>
      <c r="R108" s="132"/>
      <c r="S108" s="160" t="str">
        <f t="shared" si="49"/>
        <v/>
      </c>
      <c r="T108" s="185" t="str">
        <f t="shared" si="34"/>
        <v/>
      </c>
      <c r="U108" s="185" t="str">
        <f t="shared" si="35"/>
        <v/>
      </c>
      <c r="V108" s="131"/>
      <c r="W108" s="127"/>
      <c r="X108" s="132"/>
      <c r="Y108" s="160" t="str">
        <f t="shared" si="36"/>
        <v/>
      </c>
      <c r="Z108" s="160" t="str">
        <f t="shared" si="37"/>
        <v/>
      </c>
      <c r="AA108" s="160" t="str">
        <f t="shared" si="52"/>
        <v/>
      </c>
      <c r="AB108" s="131"/>
      <c r="AC108" s="127"/>
      <c r="AD108" s="132"/>
      <c r="AE108" s="160" t="str">
        <f t="shared" si="38"/>
        <v/>
      </c>
      <c r="AF108" s="160" t="str">
        <f t="shared" si="39"/>
        <v/>
      </c>
      <c r="AG108" s="160" t="str">
        <f t="shared" si="53"/>
        <v/>
      </c>
      <c r="AH108" s="131"/>
      <c r="AI108" s="127"/>
      <c r="AJ108" s="132"/>
      <c r="AK108" s="177" t="str">
        <f t="shared" si="40"/>
        <v/>
      </c>
      <c r="AL108" s="160" t="str">
        <f t="shared" si="41"/>
        <v/>
      </c>
      <c r="AM108" s="160" t="str">
        <f t="shared" si="42"/>
        <v/>
      </c>
      <c r="AN108" s="131"/>
      <c r="AO108" s="127"/>
      <c r="AP108" s="132"/>
      <c r="AQ108" s="164" t="str">
        <f t="shared" si="43"/>
        <v/>
      </c>
      <c r="AR108" s="155" t="str">
        <f t="shared" si="44"/>
        <v/>
      </c>
      <c r="AS108" s="188" t="str">
        <f t="shared" si="45"/>
        <v/>
      </c>
      <c r="AT108" s="160" t="str">
        <f t="shared" si="46"/>
        <v/>
      </c>
      <c r="AU108" s="160" t="str">
        <f t="shared" si="47"/>
        <v/>
      </c>
      <c r="AV108" s="168" t="str">
        <f t="shared" si="48"/>
        <v/>
      </c>
      <c r="AW108" s="171" t="str">
        <f>IF(AV108="","",IFERROR(INDEX(HELPER!$D$8:$D$48,IF(AV108&gt;=HELPER!$B$8,1,MATCH(AV108,HELPER!$B$8:$B$48,-1)+1)),""))</f>
        <v/>
      </c>
      <c r="AX108" s="174" t="str">
        <f>IF(AW108="","",IFERROR(VLOOKUP(AW108,HELPER!$F$8:$G$48,2,FALSE),""))</f>
        <v/>
      </c>
      <c r="AY108" s="147"/>
      <c r="AZ108" s="91"/>
    </row>
    <row r="109" spans="1:52" ht="15" customHeight="1" x14ac:dyDescent="0.3">
      <c r="A109" s="147"/>
      <c r="B109" s="114">
        <v>40</v>
      </c>
      <c r="C109" s="227" t="str">
        <f>IF('INPUT DATA'!N50="","",'INPUT DATA'!N50)</f>
        <v/>
      </c>
      <c r="D109" s="228"/>
      <c r="E109" s="228"/>
      <c r="F109" s="131"/>
      <c r="G109" s="127"/>
      <c r="H109" s="127"/>
      <c r="I109" s="127"/>
      <c r="J109" s="132"/>
      <c r="K109" s="160" t="str">
        <f t="shared" si="50"/>
        <v/>
      </c>
      <c r="L109" s="185" t="str">
        <f t="shared" si="33"/>
        <v/>
      </c>
      <c r="M109" s="185" t="str">
        <f t="shared" si="51"/>
        <v/>
      </c>
      <c r="N109" s="131"/>
      <c r="O109" s="127"/>
      <c r="P109" s="127"/>
      <c r="Q109" s="127"/>
      <c r="R109" s="132"/>
      <c r="S109" s="160" t="str">
        <f t="shared" si="49"/>
        <v/>
      </c>
      <c r="T109" s="185" t="str">
        <f t="shared" si="34"/>
        <v/>
      </c>
      <c r="U109" s="185" t="str">
        <f t="shared" si="35"/>
        <v/>
      </c>
      <c r="V109" s="131"/>
      <c r="W109" s="127"/>
      <c r="X109" s="132"/>
      <c r="Y109" s="160" t="str">
        <f t="shared" si="36"/>
        <v/>
      </c>
      <c r="Z109" s="160" t="str">
        <f t="shared" si="37"/>
        <v/>
      </c>
      <c r="AA109" s="160" t="str">
        <f t="shared" si="52"/>
        <v/>
      </c>
      <c r="AB109" s="131"/>
      <c r="AC109" s="127"/>
      <c r="AD109" s="132"/>
      <c r="AE109" s="160" t="str">
        <f t="shared" si="38"/>
        <v/>
      </c>
      <c r="AF109" s="160" t="str">
        <f t="shared" si="39"/>
        <v/>
      </c>
      <c r="AG109" s="160" t="str">
        <f t="shared" si="53"/>
        <v/>
      </c>
      <c r="AH109" s="131"/>
      <c r="AI109" s="127"/>
      <c r="AJ109" s="132"/>
      <c r="AK109" s="177" t="str">
        <f t="shared" si="40"/>
        <v/>
      </c>
      <c r="AL109" s="160" t="str">
        <f t="shared" si="41"/>
        <v/>
      </c>
      <c r="AM109" s="160" t="str">
        <f t="shared" si="42"/>
        <v/>
      </c>
      <c r="AN109" s="131"/>
      <c r="AO109" s="127"/>
      <c r="AP109" s="132"/>
      <c r="AQ109" s="164" t="str">
        <f t="shared" si="43"/>
        <v/>
      </c>
      <c r="AR109" s="155" t="str">
        <f t="shared" si="44"/>
        <v/>
      </c>
      <c r="AS109" s="188" t="str">
        <f t="shared" si="45"/>
        <v/>
      </c>
      <c r="AT109" s="160" t="str">
        <f t="shared" si="46"/>
        <v/>
      </c>
      <c r="AU109" s="160" t="str">
        <f t="shared" si="47"/>
        <v/>
      </c>
      <c r="AV109" s="168" t="str">
        <f t="shared" si="48"/>
        <v/>
      </c>
      <c r="AW109" s="171" t="str">
        <f>IF(AV109="","",IFERROR(INDEX(HELPER!$D$8:$D$48,IF(AV109&gt;=HELPER!$B$8,1,MATCH(AV109,HELPER!$B$8:$B$48,-1)+1)),""))</f>
        <v/>
      </c>
      <c r="AX109" s="174" t="str">
        <f>IF(AW109="","",IFERROR(VLOOKUP(AW109,HELPER!$F$8:$G$48,2,FALSE),""))</f>
        <v/>
      </c>
      <c r="AY109" s="147"/>
      <c r="AZ109" s="91"/>
    </row>
    <row r="110" spans="1:52" ht="15" customHeight="1" x14ac:dyDescent="0.3">
      <c r="A110" s="147"/>
      <c r="B110" s="114">
        <v>41</v>
      </c>
      <c r="C110" s="227" t="str">
        <f>IF('INPUT DATA'!N51="","",'INPUT DATA'!N51)</f>
        <v/>
      </c>
      <c r="D110" s="228"/>
      <c r="E110" s="228"/>
      <c r="F110" s="131"/>
      <c r="G110" s="127"/>
      <c r="H110" s="127"/>
      <c r="I110" s="127"/>
      <c r="J110" s="132"/>
      <c r="K110" s="160" t="str">
        <f t="shared" si="50"/>
        <v/>
      </c>
      <c r="L110" s="185" t="str">
        <f t="shared" si="33"/>
        <v/>
      </c>
      <c r="M110" s="185" t="str">
        <f t="shared" si="51"/>
        <v/>
      </c>
      <c r="N110" s="131"/>
      <c r="O110" s="127"/>
      <c r="P110" s="127"/>
      <c r="Q110" s="127"/>
      <c r="R110" s="132"/>
      <c r="S110" s="160" t="str">
        <f t="shared" si="49"/>
        <v/>
      </c>
      <c r="T110" s="185" t="str">
        <f t="shared" si="34"/>
        <v/>
      </c>
      <c r="U110" s="185" t="str">
        <f t="shared" si="35"/>
        <v/>
      </c>
      <c r="V110" s="131"/>
      <c r="W110" s="127"/>
      <c r="X110" s="132"/>
      <c r="Y110" s="160" t="str">
        <f t="shared" si="36"/>
        <v/>
      </c>
      <c r="Z110" s="160" t="str">
        <f t="shared" si="37"/>
        <v/>
      </c>
      <c r="AA110" s="160" t="str">
        <f t="shared" si="52"/>
        <v/>
      </c>
      <c r="AB110" s="131"/>
      <c r="AC110" s="127"/>
      <c r="AD110" s="132"/>
      <c r="AE110" s="160" t="str">
        <f t="shared" si="38"/>
        <v/>
      </c>
      <c r="AF110" s="160" t="str">
        <f t="shared" si="39"/>
        <v/>
      </c>
      <c r="AG110" s="160" t="str">
        <f t="shared" si="53"/>
        <v/>
      </c>
      <c r="AH110" s="131"/>
      <c r="AI110" s="127"/>
      <c r="AJ110" s="132"/>
      <c r="AK110" s="177" t="str">
        <f t="shared" si="40"/>
        <v/>
      </c>
      <c r="AL110" s="160" t="str">
        <f t="shared" si="41"/>
        <v/>
      </c>
      <c r="AM110" s="160" t="str">
        <f t="shared" si="42"/>
        <v/>
      </c>
      <c r="AN110" s="131"/>
      <c r="AO110" s="127"/>
      <c r="AP110" s="132"/>
      <c r="AQ110" s="164" t="str">
        <f t="shared" si="43"/>
        <v/>
      </c>
      <c r="AR110" s="155" t="str">
        <f t="shared" si="44"/>
        <v/>
      </c>
      <c r="AS110" s="188" t="str">
        <f t="shared" si="45"/>
        <v/>
      </c>
      <c r="AT110" s="160" t="str">
        <f t="shared" si="46"/>
        <v/>
      </c>
      <c r="AU110" s="160" t="str">
        <f t="shared" si="47"/>
        <v/>
      </c>
      <c r="AV110" s="168" t="str">
        <f t="shared" si="48"/>
        <v/>
      </c>
      <c r="AW110" s="171" t="str">
        <f>IF(AV110="","",IFERROR(INDEX(HELPER!$D$8:$D$48,IF(AV110&gt;=HELPER!$B$8,1,MATCH(AV110,HELPER!$B$8:$B$48,-1)+1)),""))</f>
        <v/>
      </c>
      <c r="AX110" s="174" t="str">
        <f>IF(AW110="","",IFERROR(VLOOKUP(AW110,HELPER!$F$8:$G$48,2,FALSE),""))</f>
        <v/>
      </c>
      <c r="AY110" s="147"/>
      <c r="AZ110" s="91"/>
    </row>
    <row r="111" spans="1:52" ht="15" customHeight="1" x14ac:dyDescent="0.3">
      <c r="A111" s="147"/>
      <c r="B111" s="114">
        <v>42</v>
      </c>
      <c r="C111" s="227" t="str">
        <f>IF('INPUT DATA'!N52="","",'INPUT DATA'!N52)</f>
        <v/>
      </c>
      <c r="D111" s="228"/>
      <c r="E111" s="228"/>
      <c r="F111" s="131"/>
      <c r="G111" s="127"/>
      <c r="H111" s="127"/>
      <c r="I111" s="127"/>
      <c r="J111" s="132"/>
      <c r="K111" s="160" t="str">
        <f t="shared" si="50"/>
        <v/>
      </c>
      <c r="L111" s="185" t="str">
        <f t="shared" si="33"/>
        <v/>
      </c>
      <c r="M111" s="185" t="str">
        <f t="shared" si="51"/>
        <v/>
      </c>
      <c r="N111" s="131"/>
      <c r="O111" s="127"/>
      <c r="P111" s="127"/>
      <c r="Q111" s="127"/>
      <c r="R111" s="132"/>
      <c r="S111" s="160" t="str">
        <f t="shared" si="49"/>
        <v/>
      </c>
      <c r="T111" s="185" t="str">
        <f t="shared" si="34"/>
        <v/>
      </c>
      <c r="U111" s="185" t="str">
        <f t="shared" si="35"/>
        <v/>
      </c>
      <c r="V111" s="131"/>
      <c r="W111" s="127"/>
      <c r="X111" s="132"/>
      <c r="Y111" s="160" t="str">
        <f t="shared" si="36"/>
        <v/>
      </c>
      <c r="Z111" s="160" t="str">
        <f t="shared" si="37"/>
        <v/>
      </c>
      <c r="AA111" s="160" t="str">
        <f t="shared" si="52"/>
        <v/>
      </c>
      <c r="AB111" s="131"/>
      <c r="AC111" s="127"/>
      <c r="AD111" s="132"/>
      <c r="AE111" s="160" t="str">
        <f t="shared" si="38"/>
        <v/>
      </c>
      <c r="AF111" s="160" t="str">
        <f t="shared" si="39"/>
        <v/>
      </c>
      <c r="AG111" s="160" t="str">
        <f t="shared" si="53"/>
        <v/>
      </c>
      <c r="AH111" s="131"/>
      <c r="AI111" s="127"/>
      <c r="AJ111" s="132"/>
      <c r="AK111" s="177" t="str">
        <f t="shared" si="40"/>
        <v/>
      </c>
      <c r="AL111" s="160" t="str">
        <f t="shared" si="41"/>
        <v/>
      </c>
      <c r="AM111" s="160" t="str">
        <f t="shared" si="42"/>
        <v/>
      </c>
      <c r="AN111" s="131"/>
      <c r="AO111" s="127"/>
      <c r="AP111" s="132"/>
      <c r="AQ111" s="164" t="str">
        <f t="shared" si="43"/>
        <v/>
      </c>
      <c r="AR111" s="155" t="str">
        <f t="shared" si="44"/>
        <v/>
      </c>
      <c r="AS111" s="188" t="str">
        <f t="shared" si="45"/>
        <v/>
      </c>
      <c r="AT111" s="160" t="str">
        <f t="shared" si="46"/>
        <v/>
      </c>
      <c r="AU111" s="160" t="str">
        <f t="shared" si="47"/>
        <v/>
      </c>
      <c r="AV111" s="168" t="str">
        <f t="shared" si="48"/>
        <v/>
      </c>
      <c r="AW111" s="171" t="str">
        <f>IF(AV111="","",IFERROR(INDEX(HELPER!$D$8:$D$48,IF(AV111&gt;=HELPER!$B$8,1,MATCH(AV111,HELPER!$B$8:$B$48,-1)+1)),""))</f>
        <v/>
      </c>
      <c r="AX111" s="174" t="str">
        <f>IF(AW111="","",IFERROR(VLOOKUP(AW111,HELPER!$F$8:$G$48,2,FALSE),""))</f>
        <v/>
      </c>
      <c r="AY111" s="147"/>
      <c r="AZ111" s="91"/>
    </row>
    <row r="112" spans="1:52" ht="15" customHeight="1" x14ac:dyDescent="0.3">
      <c r="A112" s="147"/>
      <c r="B112" s="114">
        <v>43</v>
      </c>
      <c r="C112" s="227" t="str">
        <f>IF('INPUT DATA'!N53="","",'INPUT DATA'!N53)</f>
        <v/>
      </c>
      <c r="D112" s="228"/>
      <c r="E112" s="228"/>
      <c r="F112" s="131"/>
      <c r="G112" s="127"/>
      <c r="H112" s="127"/>
      <c r="I112" s="127"/>
      <c r="J112" s="132"/>
      <c r="K112" s="160" t="str">
        <f t="shared" si="50"/>
        <v/>
      </c>
      <c r="L112" s="185" t="str">
        <f t="shared" si="33"/>
        <v/>
      </c>
      <c r="M112" s="185" t="str">
        <f t="shared" si="51"/>
        <v/>
      </c>
      <c r="N112" s="131"/>
      <c r="O112" s="127"/>
      <c r="P112" s="127"/>
      <c r="Q112" s="127"/>
      <c r="R112" s="132"/>
      <c r="S112" s="160" t="str">
        <f t="shared" si="49"/>
        <v/>
      </c>
      <c r="T112" s="185" t="str">
        <f t="shared" si="34"/>
        <v/>
      </c>
      <c r="U112" s="185" t="str">
        <f t="shared" si="35"/>
        <v/>
      </c>
      <c r="V112" s="131"/>
      <c r="W112" s="127"/>
      <c r="X112" s="132"/>
      <c r="Y112" s="160" t="str">
        <f t="shared" si="36"/>
        <v/>
      </c>
      <c r="Z112" s="160" t="str">
        <f t="shared" si="37"/>
        <v/>
      </c>
      <c r="AA112" s="160" t="str">
        <f t="shared" si="52"/>
        <v/>
      </c>
      <c r="AB112" s="131"/>
      <c r="AC112" s="127"/>
      <c r="AD112" s="132"/>
      <c r="AE112" s="160" t="str">
        <f t="shared" si="38"/>
        <v/>
      </c>
      <c r="AF112" s="160" t="str">
        <f t="shared" si="39"/>
        <v/>
      </c>
      <c r="AG112" s="160" t="str">
        <f t="shared" si="53"/>
        <v/>
      </c>
      <c r="AH112" s="131"/>
      <c r="AI112" s="127"/>
      <c r="AJ112" s="132"/>
      <c r="AK112" s="177" t="str">
        <f t="shared" si="40"/>
        <v/>
      </c>
      <c r="AL112" s="160" t="str">
        <f t="shared" si="41"/>
        <v/>
      </c>
      <c r="AM112" s="160" t="str">
        <f t="shared" si="42"/>
        <v/>
      </c>
      <c r="AN112" s="131"/>
      <c r="AO112" s="127"/>
      <c r="AP112" s="132"/>
      <c r="AQ112" s="164" t="str">
        <f t="shared" si="43"/>
        <v/>
      </c>
      <c r="AR112" s="155" t="str">
        <f t="shared" si="44"/>
        <v/>
      </c>
      <c r="AS112" s="188" t="str">
        <f t="shared" si="45"/>
        <v/>
      </c>
      <c r="AT112" s="160" t="str">
        <f t="shared" si="46"/>
        <v/>
      </c>
      <c r="AU112" s="160" t="str">
        <f t="shared" si="47"/>
        <v/>
      </c>
      <c r="AV112" s="168" t="str">
        <f t="shared" si="48"/>
        <v/>
      </c>
      <c r="AW112" s="171" t="str">
        <f>IF(AV112="","",IFERROR(INDEX(HELPER!$D$8:$D$48,IF(AV112&gt;=HELPER!$B$8,1,MATCH(AV112,HELPER!$B$8:$B$48,-1)+1)),""))</f>
        <v/>
      </c>
      <c r="AX112" s="174" t="str">
        <f>IF(AW112="","",IFERROR(VLOOKUP(AW112,HELPER!$F$8:$G$48,2,FALSE),""))</f>
        <v/>
      </c>
      <c r="AY112" s="147"/>
      <c r="AZ112" s="91"/>
    </row>
    <row r="113" spans="1:52" ht="15" customHeight="1" x14ac:dyDescent="0.3">
      <c r="A113" s="147"/>
      <c r="B113" s="114">
        <v>44</v>
      </c>
      <c r="C113" s="227" t="str">
        <f>IF('INPUT DATA'!N54="","",'INPUT DATA'!N54)</f>
        <v/>
      </c>
      <c r="D113" s="228"/>
      <c r="E113" s="228"/>
      <c r="F113" s="131"/>
      <c r="G113" s="127"/>
      <c r="H113" s="127"/>
      <c r="I113" s="127"/>
      <c r="J113" s="132"/>
      <c r="K113" s="160" t="str">
        <f t="shared" si="50"/>
        <v/>
      </c>
      <c r="L113" s="185" t="str">
        <f t="shared" si="33"/>
        <v/>
      </c>
      <c r="M113" s="185" t="str">
        <f t="shared" si="51"/>
        <v/>
      </c>
      <c r="N113" s="131"/>
      <c r="O113" s="127"/>
      <c r="P113" s="127"/>
      <c r="Q113" s="127"/>
      <c r="R113" s="132"/>
      <c r="S113" s="160" t="str">
        <f t="shared" si="49"/>
        <v/>
      </c>
      <c r="T113" s="185" t="str">
        <f t="shared" si="34"/>
        <v/>
      </c>
      <c r="U113" s="185" t="str">
        <f t="shared" si="35"/>
        <v/>
      </c>
      <c r="V113" s="131"/>
      <c r="W113" s="127"/>
      <c r="X113" s="132"/>
      <c r="Y113" s="160" t="str">
        <f t="shared" si="36"/>
        <v/>
      </c>
      <c r="Z113" s="160" t="str">
        <f t="shared" si="37"/>
        <v/>
      </c>
      <c r="AA113" s="160" t="str">
        <f t="shared" si="52"/>
        <v/>
      </c>
      <c r="AB113" s="131"/>
      <c r="AC113" s="127"/>
      <c r="AD113" s="132"/>
      <c r="AE113" s="160" t="str">
        <f t="shared" si="38"/>
        <v/>
      </c>
      <c r="AF113" s="160" t="str">
        <f t="shared" si="39"/>
        <v/>
      </c>
      <c r="AG113" s="160" t="str">
        <f t="shared" si="53"/>
        <v/>
      </c>
      <c r="AH113" s="131"/>
      <c r="AI113" s="127"/>
      <c r="AJ113" s="132"/>
      <c r="AK113" s="177" t="str">
        <f t="shared" si="40"/>
        <v/>
      </c>
      <c r="AL113" s="160" t="str">
        <f t="shared" si="41"/>
        <v/>
      </c>
      <c r="AM113" s="160" t="str">
        <f t="shared" si="42"/>
        <v/>
      </c>
      <c r="AN113" s="131"/>
      <c r="AO113" s="127"/>
      <c r="AP113" s="132"/>
      <c r="AQ113" s="164" t="str">
        <f t="shared" si="43"/>
        <v/>
      </c>
      <c r="AR113" s="155" t="str">
        <f t="shared" si="44"/>
        <v/>
      </c>
      <c r="AS113" s="188" t="str">
        <f t="shared" si="45"/>
        <v/>
      </c>
      <c r="AT113" s="160" t="str">
        <f t="shared" si="46"/>
        <v/>
      </c>
      <c r="AU113" s="160" t="str">
        <f t="shared" si="47"/>
        <v/>
      </c>
      <c r="AV113" s="168" t="str">
        <f t="shared" si="48"/>
        <v/>
      </c>
      <c r="AW113" s="171" t="str">
        <f>IF(AV113="","",IFERROR(INDEX(HELPER!$D$8:$D$48,IF(AV113&gt;=HELPER!$B$8,1,MATCH(AV113,HELPER!$B$8:$B$48,-1)+1)),""))</f>
        <v/>
      </c>
      <c r="AX113" s="174" t="str">
        <f>IF(AW113="","",IFERROR(VLOOKUP(AW113,HELPER!$F$8:$G$48,2,FALSE),""))</f>
        <v/>
      </c>
      <c r="AY113" s="147"/>
      <c r="AZ113" s="91"/>
    </row>
    <row r="114" spans="1:52" ht="15" customHeight="1" x14ac:dyDescent="0.3">
      <c r="A114" s="147"/>
      <c r="B114" s="114">
        <v>45</v>
      </c>
      <c r="C114" s="227" t="str">
        <f>IF('INPUT DATA'!N55="","",'INPUT DATA'!N55)</f>
        <v/>
      </c>
      <c r="D114" s="228"/>
      <c r="E114" s="228"/>
      <c r="F114" s="131"/>
      <c r="G114" s="127"/>
      <c r="H114" s="127"/>
      <c r="I114" s="127"/>
      <c r="J114" s="132"/>
      <c r="K114" s="160" t="str">
        <f t="shared" si="50"/>
        <v/>
      </c>
      <c r="L114" s="185" t="str">
        <f t="shared" si="33"/>
        <v/>
      </c>
      <c r="M114" s="185" t="str">
        <f t="shared" si="51"/>
        <v/>
      </c>
      <c r="N114" s="131"/>
      <c r="O114" s="127"/>
      <c r="P114" s="127"/>
      <c r="Q114" s="127"/>
      <c r="R114" s="132"/>
      <c r="S114" s="160" t="str">
        <f t="shared" si="49"/>
        <v/>
      </c>
      <c r="T114" s="185" t="str">
        <f t="shared" si="34"/>
        <v/>
      </c>
      <c r="U114" s="185" t="str">
        <f t="shared" si="35"/>
        <v/>
      </c>
      <c r="V114" s="131"/>
      <c r="W114" s="127"/>
      <c r="X114" s="132"/>
      <c r="Y114" s="160" t="str">
        <f t="shared" si="36"/>
        <v/>
      </c>
      <c r="Z114" s="160" t="str">
        <f t="shared" si="37"/>
        <v/>
      </c>
      <c r="AA114" s="160" t="str">
        <f t="shared" si="52"/>
        <v/>
      </c>
      <c r="AB114" s="131"/>
      <c r="AC114" s="127"/>
      <c r="AD114" s="132"/>
      <c r="AE114" s="160" t="str">
        <f t="shared" si="38"/>
        <v/>
      </c>
      <c r="AF114" s="160" t="str">
        <f t="shared" si="39"/>
        <v/>
      </c>
      <c r="AG114" s="160" t="str">
        <f t="shared" si="53"/>
        <v/>
      </c>
      <c r="AH114" s="131"/>
      <c r="AI114" s="127"/>
      <c r="AJ114" s="132"/>
      <c r="AK114" s="177" t="str">
        <f t="shared" si="40"/>
        <v/>
      </c>
      <c r="AL114" s="160" t="str">
        <f t="shared" si="41"/>
        <v/>
      </c>
      <c r="AM114" s="160" t="str">
        <f t="shared" si="42"/>
        <v/>
      </c>
      <c r="AN114" s="131"/>
      <c r="AO114" s="127"/>
      <c r="AP114" s="132"/>
      <c r="AQ114" s="164" t="str">
        <f t="shared" si="43"/>
        <v/>
      </c>
      <c r="AR114" s="155" t="str">
        <f t="shared" si="44"/>
        <v/>
      </c>
      <c r="AS114" s="188" t="str">
        <f t="shared" si="45"/>
        <v/>
      </c>
      <c r="AT114" s="160" t="str">
        <f t="shared" si="46"/>
        <v/>
      </c>
      <c r="AU114" s="160" t="str">
        <f t="shared" si="47"/>
        <v/>
      </c>
      <c r="AV114" s="168" t="str">
        <f t="shared" si="48"/>
        <v/>
      </c>
      <c r="AW114" s="171" t="str">
        <f>IF(AV114="","",IFERROR(INDEX(HELPER!$D$8:$D$48,IF(AV114&gt;=HELPER!$B$8,1,MATCH(AV114,HELPER!$B$8:$B$48,-1)+1)),""))</f>
        <v/>
      </c>
      <c r="AX114" s="174" t="str">
        <f>IF(AW114="","",IFERROR(VLOOKUP(AW114,HELPER!$F$8:$G$48,2,FALSE),""))</f>
        <v/>
      </c>
      <c r="AY114" s="147"/>
      <c r="AZ114" s="91"/>
    </row>
    <row r="115" spans="1:52" ht="15" customHeight="1" x14ac:dyDescent="0.3">
      <c r="A115" s="147"/>
      <c r="B115" s="114">
        <v>46</v>
      </c>
      <c r="C115" s="227" t="str">
        <f>IF('INPUT DATA'!N56="","",'INPUT DATA'!N56)</f>
        <v/>
      </c>
      <c r="D115" s="228"/>
      <c r="E115" s="228"/>
      <c r="F115" s="131"/>
      <c r="G115" s="127"/>
      <c r="H115" s="127"/>
      <c r="I115" s="127"/>
      <c r="J115" s="132"/>
      <c r="K115" s="160" t="str">
        <f t="shared" si="50"/>
        <v/>
      </c>
      <c r="L115" s="185" t="str">
        <f t="shared" si="33"/>
        <v/>
      </c>
      <c r="M115" s="185" t="str">
        <f t="shared" si="51"/>
        <v/>
      </c>
      <c r="N115" s="131"/>
      <c r="O115" s="127"/>
      <c r="P115" s="127"/>
      <c r="Q115" s="127"/>
      <c r="R115" s="132"/>
      <c r="S115" s="160" t="str">
        <f t="shared" si="49"/>
        <v/>
      </c>
      <c r="T115" s="185" t="str">
        <f t="shared" si="34"/>
        <v/>
      </c>
      <c r="U115" s="185" t="str">
        <f t="shared" si="35"/>
        <v/>
      </c>
      <c r="V115" s="131"/>
      <c r="W115" s="127"/>
      <c r="X115" s="132"/>
      <c r="Y115" s="160" t="str">
        <f t="shared" si="36"/>
        <v/>
      </c>
      <c r="Z115" s="160" t="str">
        <f t="shared" si="37"/>
        <v/>
      </c>
      <c r="AA115" s="160" t="str">
        <f t="shared" si="52"/>
        <v/>
      </c>
      <c r="AB115" s="131"/>
      <c r="AC115" s="127"/>
      <c r="AD115" s="132"/>
      <c r="AE115" s="160" t="str">
        <f t="shared" si="38"/>
        <v/>
      </c>
      <c r="AF115" s="160" t="str">
        <f t="shared" si="39"/>
        <v/>
      </c>
      <c r="AG115" s="160" t="str">
        <f t="shared" si="53"/>
        <v/>
      </c>
      <c r="AH115" s="131"/>
      <c r="AI115" s="127"/>
      <c r="AJ115" s="132"/>
      <c r="AK115" s="177" t="str">
        <f t="shared" si="40"/>
        <v/>
      </c>
      <c r="AL115" s="160" t="str">
        <f t="shared" si="41"/>
        <v/>
      </c>
      <c r="AM115" s="160" t="str">
        <f t="shared" si="42"/>
        <v/>
      </c>
      <c r="AN115" s="131"/>
      <c r="AO115" s="127"/>
      <c r="AP115" s="132"/>
      <c r="AQ115" s="164" t="str">
        <f t="shared" si="43"/>
        <v/>
      </c>
      <c r="AR115" s="155" t="str">
        <f t="shared" si="44"/>
        <v/>
      </c>
      <c r="AS115" s="188" t="str">
        <f t="shared" si="45"/>
        <v/>
      </c>
      <c r="AT115" s="160" t="str">
        <f t="shared" si="46"/>
        <v/>
      </c>
      <c r="AU115" s="160" t="str">
        <f t="shared" si="47"/>
        <v/>
      </c>
      <c r="AV115" s="168" t="str">
        <f t="shared" si="48"/>
        <v/>
      </c>
      <c r="AW115" s="171" t="str">
        <f>IF(AV115="","",IFERROR(INDEX(HELPER!$D$8:$D$48,IF(AV115&gt;=HELPER!$B$8,1,MATCH(AV115,HELPER!$B$8:$B$48,-1)+1)),""))</f>
        <v/>
      </c>
      <c r="AX115" s="174" t="str">
        <f>IF(AW115="","",IFERROR(VLOOKUP(AW115,HELPER!$F$8:$G$48,2,FALSE),""))</f>
        <v/>
      </c>
      <c r="AY115" s="147"/>
      <c r="AZ115" s="91"/>
    </row>
    <row r="116" spans="1:52" ht="15" customHeight="1" x14ac:dyDescent="0.3">
      <c r="A116" s="147"/>
      <c r="B116" s="114">
        <v>47</v>
      </c>
      <c r="C116" s="227" t="str">
        <f>IF('INPUT DATA'!N57="","",'INPUT DATA'!N57)</f>
        <v/>
      </c>
      <c r="D116" s="228"/>
      <c r="E116" s="228"/>
      <c r="F116" s="131"/>
      <c r="G116" s="127"/>
      <c r="H116" s="127"/>
      <c r="I116" s="127"/>
      <c r="J116" s="132"/>
      <c r="K116" s="160" t="str">
        <f t="shared" si="50"/>
        <v/>
      </c>
      <c r="L116" s="185" t="str">
        <f t="shared" si="33"/>
        <v/>
      </c>
      <c r="M116" s="185" t="str">
        <f t="shared" si="51"/>
        <v/>
      </c>
      <c r="N116" s="131"/>
      <c r="O116" s="127"/>
      <c r="P116" s="127"/>
      <c r="Q116" s="127"/>
      <c r="R116" s="132"/>
      <c r="S116" s="160" t="str">
        <f t="shared" si="49"/>
        <v/>
      </c>
      <c r="T116" s="185" t="str">
        <f t="shared" si="34"/>
        <v/>
      </c>
      <c r="U116" s="185" t="str">
        <f t="shared" si="35"/>
        <v/>
      </c>
      <c r="V116" s="131"/>
      <c r="W116" s="127"/>
      <c r="X116" s="132"/>
      <c r="Y116" s="160" t="str">
        <f t="shared" si="36"/>
        <v/>
      </c>
      <c r="Z116" s="160" t="str">
        <f t="shared" si="37"/>
        <v/>
      </c>
      <c r="AA116" s="160" t="str">
        <f t="shared" si="52"/>
        <v/>
      </c>
      <c r="AB116" s="131"/>
      <c r="AC116" s="127"/>
      <c r="AD116" s="132"/>
      <c r="AE116" s="160" t="str">
        <f t="shared" si="38"/>
        <v/>
      </c>
      <c r="AF116" s="160" t="str">
        <f t="shared" si="39"/>
        <v/>
      </c>
      <c r="AG116" s="160" t="str">
        <f t="shared" si="53"/>
        <v/>
      </c>
      <c r="AH116" s="131"/>
      <c r="AI116" s="127"/>
      <c r="AJ116" s="132"/>
      <c r="AK116" s="177" t="str">
        <f t="shared" si="40"/>
        <v/>
      </c>
      <c r="AL116" s="160" t="str">
        <f t="shared" si="41"/>
        <v/>
      </c>
      <c r="AM116" s="160" t="str">
        <f t="shared" si="42"/>
        <v/>
      </c>
      <c r="AN116" s="131"/>
      <c r="AO116" s="127"/>
      <c r="AP116" s="132"/>
      <c r="AQ116" s="164" t="str">
        <f t="shared" si="43"/>
        <v/>
      </c>
      <c r="AR116" s="155" t="str">
        <f t="shared" si="44"/>
        <v/>
      </c>
      <c r="AS116" s="188" t="str">
        <f t="shared" si="45"/>
        <v/>
      </c>
      <c r="AT116" s="160" t="str">
        <f t="shared" si="46"/>
        <v/>
      </c>
      <c r="AU116" s="160" t="str">
        <f t="shared" si="47"/>
        <v/>
      </c>
      <c r="AV116" s="168" t="str">
        <f t="shared" si="48"/>
        <v/>
      </c>
      <c r="AW116" s="171" t="str">
        <f>IF(AV116="","",IFERROR(INDEX(HELPER!$D$8:$D$48,IF(AV116&gt;=HELPER!$B$8,1,MATCH(AV116,HELPER!$B$8:$B$48,-1)+1)),""))</f>
        <v/>
      </c>
      <c r="AX116" s="174" t="str">
        <f>IF(AW116="","",IFERROR(VLOOKUP(AW116,HELPER!$F$8:$G$48,2,FALSE),""))</f>
        <v/>
      </c>
      <c r="AY116" s="147"/>
      <c r="AZ116" s="91"/>
    </row>
    <row r="117" spans="1:52" ht="15" customHeight="1" x14ac:dyDescent="0.3">
      <c r="A117" s="147"/>
      <c r="B117" s="114">
        <v>48</v>
      </c>
      <c r="C117" s="227" t="str">
        <f>IF('INPUT DATA'!N58="","",'INPUT DATA'!N58)</f>
        <v/>
      </c>
      <c r="D117" s="228"/>
      <c r="E117" s="228"/>
      <c r="F117" s="131"/>
      <c r="G117" s="127"/>
      <c r="H117" s="127"/>
      <c r="I117" s="127"/>
      <c r="J117" s="132"/>
      <c r="K117" s="160" t="str">
        <f t="shared" si="50"/>
        <v/>
      </c>
      <c r="L117" s="185" t="str">
        <f t="shared" si="33"/>
        <v/>
      </c>
      <c r="M117" s="185" t="str">
        <f t="shared" si="51"/>
        <v/>
      </c>
      <c r="N117" s="131"/>
      <c r="O117" s="127"/>
      <c r="P117" s="127"/>
      <c r="Q117" s="127"/>
      <c r="R117" s="132"/>
      <c r="S117" s="160" t="str">
        <f t="shared" si="49"/>
        <v/>
      </c>
      <c r="T117" s="185" t="str">
        <f t="shared" si="34"/>
        <v/>
      </c>
      <c r="U117" s="185" t="str">
        <f t="shared" si="35"/>
        <v/>
      </c>
      <c r="V117" s="131"/>
      <c r="W117" s="127"/>
      <c r="X117" s="132"/>
      <c r="Y117" s="160" t="str">
        <f t="shared" si="36"/>
        <v/>
      </c>
      <c r="Z117" s="160" t="str">
        <f t="shared" si="37"/>
        <v/>
      </c>
      <c r="AA117" s="160" t="str">
        <f t="shared" si="52"/>
        <v/>
      </c>
      <c r="AB117" s="131"/>
      <c r="AC117" s="127"/>
      <c r="AD117" s="132"/>
      <c r="AE117" s="160" t="str">
        <f t="shared" si="38"/>
        <v/>
      </c>
      <c r="AF117" s="160" t="str">
        <f t="shared" si="39"/>
        <v/>
      </c>
      <c r="AG117" s="160" t="str">
        <f t="shared" si="53"/>
        <v/>
      </c>
      <c r="AH117" s="131"/>
      <c r="AI117" s="127"/>
      <c r="AJ117" s="132"/>
      <c r="AK117" s="177" t="str">
        <f t="shared" si="40"/>
        <v/>
      </c>
      <c r="AL117" s="160" t="str">
        <f t="shared" si="41"/>
        <v/>
      </c>
      <c r="AM117" s="160" t="str">
        <f t="shared" si="42"/>
        <v/>
      </c>
      <c r="AN117" s="131"/>
      <c r="AO117" s="127"/>
      <c r="AP117" s="132"/>
      <c r="AQ117" s="164" t="str">
        <f t="shared" si="43"/>
        <v/>
      </c>
      <c r="AR117" s="155" t="str">
        <f t="shared" si="44"/>
        <v/>
      </c>
      <c r="AS117" s="188" t="str">
        <f t="shared" si="45"/>
        <v/>
      </c>
      <c r="AT117" s="160" t="str">
        <f t="shared" si="46"/>
        <v/>
      </c>
      <c r="AU117" s="160" t="str">
        <f t="shared" si="47"/>
        <v/>
      </c>
      <c r="AV117" s="168" t="str">
        <f t="shared" si="48"/>
        <v/>
      </c>
      <c r="AW117" s="171" t="str">
        <f>IF(AV117="","",IFERROR(INDEX(HELPER!$D$8:$D$48,IF(AV117&gt;=HELPER!$B$8,1,MATCH(AV117,HELPER!$B$8:$B$48,-1)+1)),""))</f>
        <v/>
      </c>
      <c r="AX117" s="174" t="str">
        <f>IF(AW117="","",IFERROR(VLOOKUP(AW117,HELPER!$F$8:$G$48,2,FALSE),""))</f>
        <v/>
      </c>
      <c r="AY117" s="147"/>
      <c r="AZ117" s="91"/>
    </row>
    <row r="118" spans="1:52" ht="15" customHeight="1" x14ac:dyDescent="0.3">
      <c r="A118" s="147"/>
      <c r="B118" s="114">
        <v>49</v>
      </c>
      <c r="C118" s="227" t="str">
        <f>IF('INPUT DATA'!N59="","",'INPUT DATA'!N59)</f>
        <v/>
      </c>
      <c r="D118" s="228"/>
      <c r="E118" s="228"/>
      <c r="F118" s="131"/>
      <c r="G118" s="127"/>
      <c r="H118" s="127"/>
      <c r="I118" s="127"/>
      <c r="J118" s="132"/>
      <c r="K118" s="160" t="str">
        <f t="shared" si="50"/>
        <v/>
      </c>
      <c r="L118" s="185" t="str">
        <f t="shared" si="33"/>
        <v/>
      </c>
      <c r="M118" s="185" t="str">
        <f t="shared" si="51"/>
        <v/>
      </c>
      <c r="N118" s="131"/>
      <c r="O118" s="127"/>
      <c r="P118" s="127"/>
      <c r="Q118" s="127"/>
      <c r="R118" s="132"/>
      <c r="S118" s="160" t="str">
        <f t="shared" si="49"/>
        <v/>
      </c>
      <c r="T118" s="185" t="str">
        <f t="shared" si="34"/>
        <v/>
      </c>
      <c r="U118" s="185" t="str">
        <f t="shared" si="35"/>
        <v/>
      </c>
      <c r="V118" s="131"/>
      <c r="W118" s="127"/>
      <c r="X118" s="132"/>
      <c r="Y118" s="160" t="str">
        <f t="shared" si="36"/>
        <v/>
      </c>
      <c r="Z118" s="160" t="str">
        <f t="shared" si="37"/>
        <v/>
      </c>
      <c r="AA118" s="160" t="str">
        <f t="shared" si="52"/>
        <v/>
      </c>
      <c r="AB118" s="131"/>
      <c r="AC118" s="127"/>
      <c r="AD118" s="132"/>
      <c r="AE118" s="160" t="str">
        <f t="shared" si="38"/>
        <v/>
      </c>
      <c r="AF118" s="160" t="str">
        <f t="shared" si="39"/>
        <v/>
      </c>
      <c r="AG118" s="160" t="str">
        <f t="shared" si="53"/>
        <v/>
      </c>
      <c r="AH118" s="131"/>
      <c r="AI118" s="127"/>
      <c r="AJ118" s="132"/>
      <c r="AK118" s="177" t="str">
        <f t="shared" si="40"/>
        <v/>
      </c>
      <c r="AL118" s="160" t="str">
        <f t="shared" si="41"/>
        <v/>
      </c>
      <c r="AM118" s="160" t="str">
        <f t="shared" si="42"/>
        <v/>
      </c>
      <c r="AN118" s="131"/>
      <c r="AO118" s="127"/>
      <c r="AP118" s="132"/>
      <c r="AQ118" s="164" t="str">
        <f t="shared" si="43"/>
        <v/>
      </c>
      <c r="AR118" s="155" t="str">
        <f t="shared" si="44"/>
        <v/>
      </c>
      <c r="AS118" s="188" t="str">
        <f t="shared" si="45"/>
        <v/>
      </c>
      <c r="AT118" s="160" t="str">
        <f t="shared" si="46"/>
        <v/>
      </c>
      <c r="AU118" s="160" t="str">
        <f t="shared" si="47"/>
        <v/>
      </c>
      <c r="AV118" s="168" t="str">
        <f t="shared" si="48"/>
        <v/>
      </c>
      <c r="AW118" s="171" t="str">
        <f>IF(AV118="","",IFERROR(INDEX(HELPER!$D$8:$D$48,IF(AV118&gt;=HELPER!$B$8,1,MATCH(AV118,HELPER!$B$8:$B$48,-1)+1)),""))</f>
        <v/>
      </c>
      <c r="AX118" s="174" t="str">
        <f>IF(AW118="","",IFERROR(VLOOKUP(AW118,HELPER!$F$8:$G$48,2,FALSE),""))</f>
        <v/>
      </c>
      <c r="AY118" s="147"/>
      <c r="AZ118" s="91"/>
    </row>
    <row r="119" spans="1:52" ht="15" customHeight="1" thickBot="1" x14ac:dyDescent="0.35">
      <c r="A119" s="147"/>
      <c r="B119" s="115">
        <v>50</v>
      </c>
      <c r="C119" s="284" t="str">
        <f>IF('INPUT DATA'!N60="","",'INPUT DATA'!N60)</f>
        <v/>
      </c>
      <c r="D119" s="285"/>
      <c r="E119" s="285"/>
      <c r="F119" s="156"/>
      <c r="G119" s="157"/>
      <c r="H119" s="157"/>
      <c r="I119" s="157"/>
      <c r="J119" s="158"/>
      <c r="K119" s="161" t="str">
        <f t="shared" si="50"/>
        <v/>
      </c>
      <c r="L119" s="186" t="str">
        <f t="shared" si="33"/>
        <v/>
      </c>
      <c r="M119" s="186" t="str">
        <f t="shared" si="51"/>
        <v/>
      </c>
      <c r="N119" s="156"/>
      <c r="O119" s="157"/>
      <c r="P119" s="157"/>
      <c r="Q119" s="157"/>
      <c r="R119" s="158"/>
      <c r="S119" s="161" t="str">
        <f t="shared" si="49"/>
        <v/>
      </c>
      <c r="T119" s="186" t="str">
        <f t="shared" si="34"/>
        <v/>
      </c>
      <c r="U119" s="186" t="str">
        <f t="shared" si="35"/>
        <v/>
      </c>
      <c r="V119" s="156"/>
      <c r="W119" s="157"/>
      <c r="X119" s="158"/>
      <c r="Y119" s="161" t="str">
        <f t="shared" si="36"/>
        <v/>
      </c>
      <c r="Z119" s="161" t="str">
        <f t="shared" si="37"/>
        <v/>
      </c>
      <c r="AA119" s="161" t="str">
        <f t="shared" si="52"/>
        <v/>
      </c>
      <c r="AB119" s="156"/>
      <c r="AC119" s="157"/>
      <c r="AD119" s="158"/>
      <c r="AE119" s="161" t="str">
        <f t="shared" si="38"/>
        <v/>
      </c>
      <c r="AF119" s="161" t="str">
        <f t="shared" si="39"/>
        <v/>
      </c>
      <c r="AG119" s="161" t="str">
        <f t="shared" si="53"/>
        <v/>
      </c>
      <c r="AH119" s="156"/>
      <c r="AI119" s="157"/>
      <c r="AJ119" s="158"/>
      <c r="AK119" s="178" t="str">
        <f t="shared" si="40"/>
        <v/>
      </c>
      <c r="AL119" s="161" t="str">
        <f t="shared" si="41"/>
        <v/>
      </c>
      <c r="AM119" s="161" t="str">
        <f t="shared" si="42"/>
        <v/>
      </c>
      <c r="AN119" s="156"/>
      <c r="AO119" s="157"/>
      <c r="AP119" s="158"/>
      <c r="AQ119" s="165" t="str">
        <f t="shared" si="43"/>
        <v/>
      </c>
      <c r="AR119" s="166" t="str">
        <f t="shared" si="44"/>
        <v/>
      </c>
      <c r="AS119" s="189" t="str">
        <f t="shared" si="45"/>
        <v/>
      </c>
      <c r="AT119" s="161" t="str">
        <f t="shared" si="46"/>
        <v/>
      </c>
      <c r="AU119" s="161" t="str">
        <f t="shared" si="47"/>
        <v/>
      </c>
      <c r="AV119" s="169" t="str">
        <f t="shared" si="48"/>
        <v/>
      </c>
      <c r="AW119" s="172" t="str">
        <f>IF(AV119="","",IFERROR(INDEX(HELPER!$D$8:$D$48,IF(AV119&gt;=HELPER!$B$8,1,MATCH(AV119,HELPER!$B$8:$B$48,-1)+1)),""))</f>
        <v/>
      </c>
      <c r="AX119" s="175" t="str">
        <f>IF(AW119="","",IFERROR(VLOOKUP(AW119,HELPER!$F$8:$G$48,2,FALSE),""))</f>
        <v/>
      </c>
      <c r="AY119" s="147"/>
      <c r="AZ119" s="91"/>
    </row>
    <row r="120" spans="1:52" ht="13.25" customHeight="1" x14ac:dyDescent="0.25">
      <c r="A120" s="147"/>
      <c r="B120" s="147"/>
      <c r="C120" s="278"/>
      <c r="D120" s="279"/>
      <c r="E120" s="279"/>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5" customHeight="1" x14ac:dyDescent="0.25">
      <c r="A121" s="147"/>
      <c r="B121" s="147"/>
      <c r="C121" s="278"/>
      <c r="D121" s="279"/>
      <c r="E121" s="279"/>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V82STRJ/9vH0xTLSU8sfsXE/kaINxlLc2nrJbdsOmkvfXKS+KjJ60Cu3b/dMk8QuE0c7nRVcmhWQ7zL5RkIGIQ==" saltValue="5bjkGWU5yX4QMtw8cJxtOg==" spinCount="100000" sheet="1" objects="1" scenarios="1" formatCells="0" formatColumns="0" formatRows="0"/>
  <mergeCells count="133">
    <mergeCell ref="B2:AX3"/>
    <mergeCell ref="C67:E67"/>
    <mergeCell ref="C72:E72"/>
    <mergeCell ref="C109:E109"/>
    <mergeCell ref="C28:E28"/>
    <mergeCell ref="C37:E37"/>
    <mergeCell ref="C96:E96"/>
    <mergeCell ref="C78:E78"/>
    <mergeCell ref="C92:E92"/>
    <mergeCell ref="C30:E30"/>
    <mergeCell ref="C62:E62"/>
    <mergeCell ref="B18:AX18"/>
    <mergeCell ref="C98:E98"/>
    <mergeCell ref="C107:E107"/>
    <mergeCell ref="C64:E64"/>
    <mergeCell ref="C54:E54"/>
    <mergeCell ref="C41:E41"/>
    <mergeCell ref="C93:E93"/>
    <mergeCell ref="C56:E56"/>
    <mergeCell ref="C90:E90"/>
    <mergeCell ref="C105:E105"/>
    <mergeCell ref="C43:E43"/>
    <mergeCell ref="C22:E22"/>
    <mergeCell ref="AN12:AU13"/>
    <mergeCell ref="C121:E121"/>
    <mergeCell ref="C63:E63"/>
    <mergeCell ref="C50:E50"/>
    <mergeCell ref="C117:E117"/>
    <mergeCell ref="C55:E55"/>
    <mergeCell ref="B69:AX69"/>
    <mergeCell ref="C115:E115"/>
    <mergeCell ref="C36:E36"/>
    <mergeCell ref="C27:E27"/>
    <mergeCell ref="C120:E120"/>
    <mergeCell ref="C76:E76"/>
    <mergeCell ref="C110:E110"/>
    <mergeCell ref="C119:E119"/>
    <mergeCell ref="C82:E82"/>
    <mergeCell ref="C66:E66"/>
    <mergeCell ref="C53:E53"/>
    <mergeCell ref="C102:E102"/>
    <mergeCell ref="C111:E111"/>
    <mergeCell ref="C118:E118"/>
    <mergeCell ref="C84:E84"/>
    <mergeCell ref="C75:E75"/>
    <mergeCell ref="C114:E114"/>
    <mergeCell ref="C59:E59"/>
    <mergeCell ref="C116:E116"/>
    <mergeCell ref="C39:E39"/>
    <mergeCell ref="B16:E16"/>
    <mergeCell ref="C70:E70"/>
    <mergeCell ref="C48:E48"/>
    <mergeCell ref="C106:E106"/>
    <mergeCell ref="N14:U14"/>
    <mergeCell ref="C32:E32"/>
    <mergeCell ref="C38:E38"/>
    <mergeCell ref="C81:E81"/>
    <mergeCell ref="C87:E87"/>
    <mergeCell ref="B10:E15"/>
    <mergeCell ref="C79:E79"/>
    <mergeCell ref="C40:E40"/>
    <mergeCell ref="C113:E113"/>
    <mergeCell ref="AI7:AO7"/>
    <mergeCell ref="C20:E20"/>
    <mergeCell ref="C25:E25"/>
    <mergeCell ref="C103:E103"/>
    <mergeCell ref="C85:E85"/>
    <mergeCell ref="C112:E112"/>
    <mergeCell ref="C99:E99"/>
    <mergeCell ref="C94:E94"/>
    <mergeCell ref="C24:E24"/>
    <mergeCell ref="C33:E33"/>
    <mergeCell ref="C89:E89"/>
    <mergeCell ref="C104:E104"/>
    <mergeCell ref="C19:E19"/>
    <mergeCell ref="C86:E86"/>
    <mergeCell ref="C68:E68"/>
    <mergeCell ref="C83:E83"/>
    <mergeCell ref="C108:E108"/>
    <mergeCell ref="C58:E58"/>
    <mergeCell ref="V14:AA14"/>
    <mergeCell ref="C45:E45"/>
    <mergeCell ref="C97:E97"/>
    <mergeCell ref="AH14:AM14"/>
    <mergeCell ref="C73:E73"/>
    <mergeCell ref="AI5:AO5"/>
    <mergeCell ref="C23:E23"/>
    <mergeCell ref="C91:E91"/>
    <mergeCell ref="C57:E57"/>
    <mergeCell ref="C49:E49"/>
    <mergeCell ref="C101:E101"/>
    <mergeCell ref="C77:E77"/>
    <mergeCell ref="C34:E34"/>
    <mergeCell ref="C42:E42"/>
    <mergeCell ref="C74:E74"/>
    <mergeCell ref="AB14:AG14"/>
    <mergeCell ref="S5:AC5"/>
    <mergeCell ref="F5:N5"/>
    <mergeCell ref="F14:M14"/>
    <mergeCell ref="C29:E29"/>
    <mergeCell ref="C100:E100"/>
    <mergeCell ref="C65:E65"/>
    <mergeCell ref="C47:E47"/>
    <mergeCell ref="B17:AX17"/>
    <mergeCell ref="C44:E44"/>
    <mergeCell ref="F7:AC7"/>
    <mergeCell ref="C80:E80"/>
    <mergeCell ref="C31:E31"/>
    <mergeCell ref="C88:E88"/>
    <mergeCell ref="V12:AM13"/>
    <mergeCell ref="C21:E21"/>
    <mergeCell ref="C95:E95"/>
    <mergeCell ref="C51:E51"/>
    <mergeCell ref="C60:E60"/>
    <mergeCell ref="B9:AX9"/>
    <mergeCell ref="C71:E71"/>
    <mergeCell ref="AV12:AV16"/>
    <mergeCell ref="AW12:AW16"/>
    <mergeCell ref="AP10:AQ11"/>
    <mergeCell ref="AX12:AX16"/>
    <mergeCell ref="F10:K10"/>
    <mergeCell ref="F11:K11"/>
    <mergeCell ref="L10:U10"/>
    <mergeCell ref="L11:U11"/>
    <mergeCell ref="V10:AA11"/>
    <mergeCell ref="AB10:AO11"/>
    <mergeCell ref="AR10:AX11"/>
    <mergeCell ref="C26:E26"/>
    <mergeCell ref="C35:E35"/>
    <mergeCell ref="F12:U13"/>
    <mergeCell ref="C46:E46"/>
    <mergeCell ref="C52:E52"/>
    <mergeCell ref="C61:E61"/>
  </mergeCells>
  <dataValidations xWindow="877" yWindow="659" count="26">
    <dataValidation allowBlank="1" showInputMessage="1" showErrorMessage="1" prompt="Do not type name of learners here. Go to INPUT DATA sheet." sqref="C19:E68 C70:E119" xr:uid="{00000000-0002-0000-0100-000000000000}"/>
    <dataValidation allowBlank="1" showInputMessage="1" showErrorMessage="1" prompt="Written/Oral Works' Highest Possible Score." sqref="K16 S19:S68 S70:S119 S16 K19:K68 K70:K119" xr:uid="{00000000-0002-0000-0100-000001000000}"/>
    <dataValidation allowBlank="1" showInputMessage="1" showErrorMessage="1" prompt="Products/Performance Tasks' Highest Possible Score." sqref="Y16 AK19:AK68 AK16 AE16 Y19:Y68 AK70:AK119 Y70:Y119 AE19:AE68 AE70:AE119" xr:uid="{00000000-0002-0000-0100-000002000000}"/>
    <dataValidation allowBlank="1" showInputMessage="1" showErrorMessage="1" prompt="Written/Oral Works' Percentage Score." sqref="L16 T19:T68 T70:T119 T16 L19:L68 L70:L119" xr:uid="{00000000-0002-0000-0100-000003000000}"/>
    <dataValidation allowBlank="1" showInputMessage="1" showErrorMessage="1" prompt="Written/Oral Works' Weighted Score." sqref="M16 U19:U68 U70:U119 U16 M19:M68 M70:M119" xr:uid="{00000000-0002-0000-0100-000004000000}"/>
    <dataValidation allowBlank="1" showInputMessage="1" showErrorMessage="1" prompt="Products/Performance Tasks' Percentage Score." sqref="Z16 AL19:AL68 AL16 AF16 Z19:Z68 AL70:AL119 Z70:Z119 AF19:AF68 AF70:AF119" xr:uid="{00000000-0002-0000-0100-000005000000}"/>
    <dataValidation allowBlank="1" showInputMessage="1" showErrorMessage="1" prompt="Products/Performance Tasks' Weighted Score." sqref="AA16 AM19:AM68 AM16 AG16 AG19:AG68 AM70:AM119 AG70:AG119 AA19:AA68 AA70:AA119" xr:uid="{00000000-0002-0000-0100-000006000000}"/>
    <dataValidation allowBlank="1" showInputMessage="1" showErrorMessage="1" prompt="Weighted Score for Summative Test 1" sqref="AQ16 AQ19:AQ68 AQ70:AQ119" xr:uid="{00000000-0002-0000-0100-000007000000}"/>
    <dataValidation allowBlank="1" showInputMessage="1" showErrorMessage="1" prompt="Weighted Score for Summative Test 2" sqref="AR16 AR19:AR68 AR70:AR119" xr:uid="{00000000-0002-0000-0100-000008000000}"/>
    <dataValidation allowBlank="1" showInputMessage="1" showErrorMessage="1" prompt="Weighted Score for Term Exam" sqref="AS16 AS19:AS68 AS70:AS119" xr:uid="{00000000-0002-0000-0100-000009000000}"/>
    <dataValidation allowBlank="1" showInputMessage="1" showErrorMessage="1" prompt="Examinations' Percetage Score" sqref="AT16 AT19:AT68 AT70:AT119" xr:uid="{00000000-0002-0000-0100-00000A000000}"/>
    <dataValidation allowBlank="1" showInputMessage="1" showErrorMessage="1" prompt="Examinations' Weighted Score" sqref="AU16 AU19:AU68 AU70:AU119" xr:uid="{00000000-0002-0000-0100-00000B000000}"/>
    <dataValidation allowBlank="1" showInputMessage="1" showErrorMessage="1" prompt="INITIAL GRADE" sqref="AV19:AV68 AV70:AV119" xr:uid="{00000000-0002-0000-0100-00000C000000}"/>
    <dataValidation allowBlank="1" showInputMessage="1" showErrorMessage="1" prompt="Transmuted Term Grade" sqref="AW19:AW68 AW70:AW119" xr:uid="{00000000-0002-0000-0100-00000D000000}"/>
    <dataValidation type="whole" allowBlank="1" showInputMessage="1" showErrorMessage="1" promptTitle="Highest Possible Score" prompt="Enter HPS." sqref="AN16:AP16 F16:J16 N16:R16 AB16:AD16 V16:X16 AH16:AJ16" xr:uid="{00000000-0002-0000-0100-00000E000000}">
      <formula1>0</formula1>
      <formula2>1000</formula2>
    </dataValidation>
    <dataValidation type="custom" allowBlank="1" showInputMessage="1" showErrorMessage="1" errorTitle="Invalid Input" error="The score cannot be greater than the Highest Possible Score." prompt="Encode learners' raw scores." sqref="AN19:AN68 AN70:AN119" xr:uid="{00000000-0002-0000-0100-00000F000000}">
      <formula1>AN19&lt;=$AN$16</formula1>
    </dataValidation>
    <dataValidation type="custom" allowBlank="1" showInputMessage="1" showErrorMessage="1" errorTitle="Invalid Input" error="The score cannot be greater than the Highest Possible Score." prompt="Encode learners' raw scores." sqref="AO19:AO68 AO70:AO119" xr:uid="{00000000-0002-0000-0100-000010000000}">
      <formula1>AO19&lt;=$AO$16</formula1>
    </dataValidation>
    <dataValidation type="custom" allowBlank="1" showInputMessage="1" showErrorMessage="1" errorTitle="Invalid Input" error="The score cannot be greater than the Highest Possible Score." prompt="Encode learners' raw scores." sqref="AP19:AP68 AP70:AP119" xr:uid="{00000000-0002-0000-0100-000011000000}">
      <formula1>AP19&lt;=$AP$16</formula1>
    </dataValidation>
    <dataValidation type="custom" allowBlank="1" showInputMessage="1" showErrorMessage="1" promptTitle="Score Entry" prompt="Enter learners' raw scores." sqref="F19:F68 F70:F119 N19:N68 N70:N119" xr:uid="{00000000-0002-0000-0100-000012000000}">
      <formula1>F19&lt;=$N$16</formula1>
    </dataValidation>
    <dataValidation type="custom" allowBlank="1" showInputMessage="1" showErrorMessage="1" promptTitle="Score Entry" prompt="Enter learners' raw scores." sqref="P70:P119 H70:H119 P19:P68 H19:H66 H68 H67" xr:uid="{00000000-0002-0000-0100-000013000000}">
      <formula1>H19&lt;=$P$16</formula1>
    </dataValidation>
    <dataValidation type="custom" allowBlank="1" showInputMessage="1" showErrorMessage="1" promptTitle="Score Entry" prompt="Enter learners' raw scores." sqref="I19:I68 Q70:Q119 Q19:Q68 I70:I73 I75:I119 I74" xr:uid="{00000000-0002-0000-0100-000014000000}">
      <formula1>I19&lt;=$Q$16</formula1>
    </dataValidation>
    <dataValidation type="custom" allowBlank="1" showInputMessage="1" showErrorMessage="1" promptTitle="Score Entry" prompt="Enter learners' raw scores." sqref="J19:J68 J70:J119 R19:R68 R70:R119" xr:uid="{00000000-0002-0000-0100-000015000000}">
      <formula1>J19&lt;=$R$16</formula1>
    </dataValidation>
    <dataValidation type="custom" allowBlank="1" showInputMessage="1" showErrorMessage="1" promptTitle="Score Entry" prompt="Enter learners' raw scores." sqref="W19:W68 AI19:AI68 W70:W119 AI70:AI119 AC19:AC68 AC70:AC119" xr:uid="{00000000-0002-0000-0100-000016000000}">
      <formula1>W19&lt;=$AI$16</formula1>
    </dataValidation>
    <dataValidation type="custom" allowBlank="1" showInputMessage="1" showErrorMessage="1" promptTitle="Score Entry" prompt="Enter learners' raw scores." sqref="G19:G68 G70:G119 O19:O68 O70:O119" xr:uid="{00000000-0002-0000-0100-000017000000}">
      <formula1>G19&lt;=$O$16</formula1>
    </dataValidation>
    <dataValidation type="custom" allowBlank="1" showInputMessage="1" showErrorMessage="1" promptTitle="Score Entry" prompt="Enter learners' raw scores." sqref="V19:V68 AH19:AH68 V70:V119 AH70:AH119 AB19:AB68 AB70:AB119" xr:uid="{00000000-0002-0000-0100-000018000000}">
      <formula1>V19&lt;=$AH$16</formula1>
    </dataValidation>
    <dataValidation type="custom" allowBlank="1" showInputMessage="1" showErrorMessage="1" promptTitle="Score Entry" prompt="Enter learners' raw scores." sqref="X19:X68 AJ19:AJ68 X70:X119 AD70:AD119 AD19:AD68 AJ70:AJ73 AJ75:AJ119 AJ74" xr:uid="{00000000-0002-0000-0100-000019000000}">
      <formula1>X19&lt;=$AJ$16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8509-2C3A-498A-9262-9BA10E61FD56}">
  <sheetPr>
    <tabColor rgb="FFFFC000"/>
    <outlinePr summaryBelow="0" summaryRight="0"/>
    <pageSetUpPr fitToPage="1"/>
  </sheetPr>
  <dimension ref="A1:AZ121"/>
  <sheetViews>
    <sheetView showGridLines="0" zoomScale="85" zoomScaleNormal="85" workbookViewId="0">
      <pane ySplit="16" topLeftCell="A17" activePane="bottomLeft" state="frozen"/>
      <selection pane="bottomLeft" activeCell="AB76" sqref="AB76"/>
    </sheetView>
  </sheetViews>
  <sheetFormatPr defaultColWidth="12.6328125" defaultRowHeight="15.75" customHeight="1" x14ac:dyDescent="0.25"/>
  <cols>
    <col min="1" max="2" width="3.90625" style="179" customWidth="1"/>
    <col min="3" max="5" width="12.6328125" style="179" customWidth="1"/>
    <col min="6" max="10" width="3.90625" style="179" customWidth="1"/>
    <col min="11" max="13" width="5.08984375" style="179" customWidth="1"/>
    <col min="14" max="18" width="3.90625" style="179" customWidth="1"/>
    <col min="19" max="19" width="5.08984375" style="179" customWidth="1"/>
    <col min="20" max="20" width="5.6328125" style="179" customWidth="1"/>
    <col min="21" max="21" width="6.36328125" style="179" customWidth="1"/>
    <col min="22" max="24" width="3.90625" style="179" customWidth="1"/>
    <col min="25" max="27" width="5.08984375" style="179" customWidth="1"/>
    <col min="28" max="30" width="3.90625" style="179" customWidth="1"/>
    <col min="31" max="33" width="5.08984375" style="179" customWidth="1"/>
    <col min="34" max="36" width="3.90625" style="179" customWidth="1"/>
    <col min="37" max="37" width="5.08984375" style="179" customWidth="1"/>
    <col min="38" max="38" width="5.6328125" style="179" customWidth="1"/>
    <col min="39" max="39" width="6.36328125" style="179" customWidth="1"/>
    <col min="40" max="42" width="5.6328125" style="179" customWidth="1"/>
    <col min="43" max="45" width="8" style="179" customWidth="1"/>
    <col min="46" max="47" width="5.6328125" style="179" customWidth="1"/>
    <col min="48" max="48" width="7.36328125" style="179" customWidth="1"/>
    <col min="49" max="49" width="10.08984375" style="179" customWidth="1"/>
    <col min="50" max="50" width="14.54296875" style="179" customWidth="1"/>
    <col min="51" max="51" width="12.6328125" style="179" customWidth="1"/>
    <col min="52" max="52" width="3.90625" style="179" customWidth="1"/>
    <col min="53" max="53" width="12.6328125" style="179" customWidth="1"/>
    <col min="54" max="16384" width="12.6328125" style="179"/>
  </cols>
  <sheetData>
    <row r="1" spans="1:52" ht="15.75" customHeight="1" x14ac:dyDescent="0.6">
      <c r="A1" s="89"/>
      <c r="AZ1" s="90"/>
    </row>
    <row r="2" spans="1:52" ht="15.75" customHeight="1" x14ac:dyDescent="0.25">
      <c r="B2" s="286" t="s">
        <v>19</v>
      </c>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Z2" s="90"/>
    </row>
    <row r="3" spans="1:52" ht="15.75" customHeight="1" x14ac:dyDescent="0.25">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Z3" s="90"/>
    </row>
    <row r="4" spans="1:52" ht="15.75" customHeight="1" thickBot="1" x14ac:dyDescent="0.3">
      <c r="AQ4" s="138"/>
      <c r="AR4" s="138"/>
      <c r="AS4" s="138"/>
      <c r="AT4" s="138"/>
      <c r="AU4" s="138"/>
      <c r="AV4" s="138"/>
      <c r="AZ4" s="90"/>
    </row>
    <row r="5" spans="1:52" ht="15.75" customHeight="1" thickBot="1" x14ac:dyDescent="0.4">
      <c r="A5" s="147"/>
      <c r="B5" s="147"/>
      <c r="C5" s="147"/>
      <c r="D5" s="147"/>
      <c r="E5" s="93" t="s">
        <v>3</v>
      </c>
      <c r="F5" s="260" t="str">
        <f>IF('INPUT DATA'!E10="","",'INPUT DATA'!E10)</f>
        <v>Region V</v>
      </c>
      <c r="G5" s="261"/>
      <c r="H5" s="261"/>
      <c r="I5" s="261"/>
      <c r="J5" s="261"/>
      <c r="K5" s="261"/>
      <c r="L5" s="261"/>
      <c r="M5" s="261"/>
      <c r="N5" s="262"/>
      <c r="O5" s="137"/>
      <c r="P5" s="137"/>
      <c r="Q5" s="94"/>
      <c r="R5" s="93" t="s">
        <v>7</v>
      </c>
      <c r="S5" s="260" t="str">
        <f>IF('INPUT DATA'!E11="","",'INPUT DATA'!E11)</f>
        <v>Masbate</v>
      </c>
      <c r="T5" s="261"/>
      <c r="U5" s="261"/>
      <c r="V5" s="261"/>
      <c r="W5" s="261"/>
      <c r="X5" s="261"/>
      <c r="Y5" s="261"/>
      <c r="Z5" s="261"/>
      <c r="AA5" s="261"/>
      <c r="AB5" s="261"/>
      <c r="AC5" s="262"/>
      <c r="AD5" s="94"/>
      <c r="AE5" s="94"/>
      <c r="AF5" s="94"/>
      <c r="AG5" s="94"/>
      <c r="AH5" s="93" t="s">
        <v>8</v>
      </c>
      <c r="AI5" s="260">
        <f>IF('INPUT DATA'!E13="","",'INPUT DATA'!E13)</f>
        <v>113481</v>
      </c>
      <c r="AJ5" s="261"/>
      <c r="AK5" s="261"/>
      <c r="AL5" s="261"/>
      <c r="AM5" s="261"/>
      <c r="AN5" s="261"/>
      <c r="AO5" s="262"/>
      <c r="AP5" s="139"/>
      <c r="AQ5" s="140"/>
      <c r="AR5" s="140"/>
      <c r="AS5" s="141"/>
      <c r="AT5" s="142"/>
      <c r="AU5" s="139"/>
      <c r="AV5" s="139"/>
      <c r="AW5" s="147"/>
      <c r="AX5" s="147"/>
      <c r="AY5" s="147"/>
      <c r="AZ5" s="91"/>
    </row>
    <row r="6" spans="1:52" ht="6" customHeight="1" thickBot="1" x14ac:dyDescent="0.4">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4">
      <c r="A7" s="147"/>
      <c r="B7" s="147"/>
      <c r="C7" s="147"/>
      <c r="D7" s="147"/>
      <c r="E7" s="93" t="s">
        <v>9</v>
      </c>
      <c r="F7" s="260" t="str">
        <f>IF('INPUT DATA'!E14="","",'INPUT DATA'!E14)</f>
        <v>Danao Elementary School</v>
      </c>
      <c r="G7" s="261"/>
      <c r="H7" s="261"/>
      <c r="I7" s="261"/>
      <c r="J7" s="261"/>
      <c r="K7" s="261"/>
      <c r="L7" s="261"/>
      <c r="M7" s="261"/>
      <c r="N7" s="261"/>
      <c r="O7" s="261"/>
      <c r="P7" s="261"/>
      <c r="Q7" s="261"/>
      <c r="R7" s="261"/>
      <c r="S7" s="261"/>
      <c r="T7" s="261"/>
      <c r="U7" s="261"/>
      <c r="V7" s="261"/>
      <c r="W7" s="261"/>
      <c r="X7" s="261"/>
      <c r="Y7" s="261"/>
      <c r="Z7" s="261"/>
      <c r="AA7" s="261"/>
      <c r="AB7" s="261"/>
      <c r="AC7" s="262"/>
      <c r="AD7" s="137"/>
      <c r="AE7" s="137"/>
      <c r="AF7" s="137"/>
      <c r="AG7" s="137"/>
      <c r="AH7" s="93" t="s">
        <v>10</v>
      </c>
      <c r="AI7" s="260" t="str">
        <f>IF('INPUT DATA'!E15="","",'INPUT DATA'!E15)</f>
        <v>2026-2027</v>
      </c>
      <c r="AJ7" s="261"/>
      <c r="AK7" s="261"/>
      <c r="AL7" s="261"/>
      <c r="AM7" s="261"/>
      <c r="AN7" s="261"/>
      <c r="AO7" s="262"/>
      <c r="AP7" s="137"/>
      <c r="AQ7" s="140"/>
      <c r="AR7" s="140"/>
      <c r="AS7" s="141"/>
      <c r="AT7" s="142"/>
      <c r="AU7" s="139"/>
      <c r="AV7" s="139"/>
      <c r="AW7" s="147"/>
      <c r="AX7" s="147"/>
      <c r="AY7" s="147"/>
      <c r="AZ7" s="91"/>
    </row>
    <row r="8" spans="1:52" ht="13.75"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80"/>
      <c r="AR8" s="180"/>
      <c r="AS8" s="180"/>
      <c r="AT8" s="180"/>
      <c r="AU8" s="180"/>
      <c r="AV8" s="180"/>
      <c r="AW8" s="147"/>
      <c r="AX8" s="147"/>
      <c r="AY8" s="147"/>
      <c r="AZ8" s="91"/>
    </row>
    <row r="9" spans="1:52" ht="15.75" customHeight="1" thickBot="1" x14ac:dyDescent="0.4">
      <c r="A9" s="147"/>
      <c r="B9" s="230"/>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2"/>
      <c r="AY9" s="147"/>
      <c r="AZ9" s="92"/>
    </row>
    <row r="10" spans="1:52" ht="14.4" customHeight="1" thickBot="1" x14ac:dyDescent="0.3">
      <c r="A10" s="147"/>
      <c r="B10" s="273" t="s">
        <v>67</v>
      </c>
      <c r="C10" s="274"/>
      <c r="D10" s="274"/>
      <c r="E10" s="275"/>
      <c r="F10" s="240" t="s">
        <v>15</v>
      </c>
      <c r="G10" s="241"/>
      <c r="H10" s="241"/>
      <c r="I10" s="241"/>
      <c r="J10" s="241"/>
      <c r="K10" s="242"/>
      <c r="L10" s="243">
        <f>IF('INPUT DATA'!E25="","",'INPUT DATA'!E25)</f>
        <v>2</v>
      </c>
      <c r="M10" s="244"/>
      <c r="N10" s="244"/>
      <c r="O10" s="244"/>
      <c r="P10" s="244"/>
      <c r="Q10" s="244"/>
      <c r="R10" s="244"/>
      <c r="S10" s="244"/>
      <c r="T10" s="244"/>
      <c r="U10" s="244"/>
      <c r="V10" s="247" t="s">
        <v>21</v>
      </c>
      <c r="W10" s="248"/>
      <c r="X10" s="248"/>
      <c r="Y10" s="248"/>
      <c r="Z10" s="248"/>
      <c r="AA10" s="249"/>
      <c r="AB10" s="243" t="str">
        <f>IF('INPUT DATA'!E23="","",'INPUT DATA'!E23)</f>
        <v>Ronel C. Ramos</v>
      </c>
      <c r="AC10" s="244"/>
      <c r="AD10" s="244"/>
      <c r="AE10" s="244"/>
      <c r="AF10" s="244"/>
      <c r="AG10" s="244"/>
      <c r="AH10" s="244"/>
      <c r="AI10" s="244"/>
      <c r="AJ10" s="244"/>
      <c r="AK10" s="244"/>
      <c r="AL10" s="244"/>
      <c r="AM10" s="244"/>
      <c r="AN10" s="244"/>
      <c r="AO10" s="244"/>
      <c r="AP10" s="236" t="s">
        <v>14</v>
      </c>
      <c r="AQ10" s="237"/>
      <c r="AR10" s="243" t="str">
        <f>IF('INPUT DATA'!E24="","",'INPUT DATA'!E24)</f>
        <v>GMRC</v>
      </c>
      <c r="AS10" s="244"/>
      <c r="AT10" s="244"/>
      <c r="AU10" s="244"/>
      <c r="AV10" s="244"/>
      <c r="AW10" s="244"/>
      <c r="AX10" s="255"/>
      <c r="AY10" s="147"/>
      <c r="AZ10" s="91"/>
    </row>
    <row r="11" spans="1:52" ht="14.4" customHeight="1" thickBot="1" x14ac:dyDescent="0.3">
      <c r="A11" s="147"/>
      <c r="B11" s="276"/>
      <c r="C11" s="274"/>
      <c r="D11" s="274"/>
      <c r="E11" s="275"/>
      <c r="F11" s="240" t="s">
        <v>16</v>
      </c>
      <c r="G11" s="241"/>
      <c r="H11" s="241"/>
      <c r="I11" s="241"/>
      <c r="J11" s="241"/>
      <c r="K11" s="242"/>
      <c r="L11" s="245" t="str">
        <f>IF('INPUT DATA'!E26="","",'INPUT DATA'!E26)</f>
        <v>Gumamela</v>
      </c>
      <c r="M11" s="246"/>
      <c r="N11" s="246"/>
      <c r="O11" s="246"/>
      <c r="P11" s="246"/>
      <c r="Q11" s="246"/>
      <c r="R11" s="246"/>
      <c r="S11" s="246"/>
      <c r="T11" s="246"/>
      <c r="U11" s="246"/>
      <c r="V11" s="250"/>
      <c r="W11" s="251"/>
      <c r="X11" s="251"/>
      <c r="Y11" s="251"/>
      <c r="Z11" s="251"/>
      <c r="AA11" s="252"/>
      <c r="AB11" s="253"/>
      <c r="AC11" s="254"/>
      <c r="AD11" s="254"/>
      <c r="AE11" s="254"/>
      <c r="AF11" s="254"/>
      <c r="AG11" s="254"/>
      <c r="AH11" s="254"/>
      <c r="AI11" s="254"/>
      <c r="AJ11" s="254"/>
      <c r="AK11" s="254"/>
      <c r="AL11" s="254"/>
      <c r="AM11" s="254"/>
      <c r="AN11" s="254"/>
      <c r="AO11" s="254"/>
      <c r="AP11" s="238"/>
      <c r="AQ11" s="239"/>
      <c r="AR11" s="256"/>
      <c r="AS11" s="257"/>
      <c r="AT11" s="257"/>
      <c r="AU11" s="257"/>
      <c r="AV11" s="257"/>
      <c r="AW11" s="257"/>
      <c r="AX11" s="258"/>
      <c r="AY11" s="147"/>
      <c r="AZ11" s="91"/>
    </row>
    <row r="12" spans="1:52" ht="13.25" customHeight="1" thickBot="1" x14ac:dyDescent="0.3">
      <c r="A12" s="147"/>
      <c r="B12" s="276"/>
      <c r="C12" s="274"/>
      <c r="D12" s="274"/>
      <c r="E12" s="277"/>
      <c r="F12" s="259" t="s">
        <v>22</v>
      </c>
      <c r="G12" s="220"/>
      <c r="H12" s="220"/>
      <c r="I12" s="220"/>
      <c r="J12" s="220"/>
      <c r="K12" s="220"/>
      <c r="L12" s="220"/>
      <c r="M12" s="220"/>
      <c r="N12" s="220"/>
      <c r="O12" s="220"/>
      <c r="P12" s="220"/>
      <c r="Q12" s="220"/>
      <c r="R12" s="220"/>
      <c r="S12" s="220"/>
      <c r="T12" s="220"/>
      <c r="U12" s="221"/>
      <c r="V12" s="219" t="s">
        <v>23</v>
      </c>
      <c r="W12" s="220"/>
      <c r="X12" s="220"/>
      <c r="Y12" s="220"/>
      <c r="Z12" s="220"/>
      <c r="AA12" s="220"/>
      <c r="AB12" s="220"/>
      <c r="AC12" s="220"/>
      <c r="AD12" s="220"/>
      <c r="AE12" s="220"/>
      <c r="AF12" s="220"/>
      <c r="AG12" s="220"/>
      <c r="AH12" s="220"/>
      <c r="AI12" s="220"/>
      <c r="AJ12" s="220"/>
      <c r="AK12" s="220"/>
      <c r="AL12" s="220"/>
      <c r="AM12" s="221"/>
      <c r="AN12" s="289" t="s">
        <v>24</v>
      </c>
      <c r="AO12" s="290"/>
      <c r="AP12" s="275"/>
      <c r="AQ12" s="275"/>
      <c r="AR12" s="290"/>
      <c r="AS12" s="290"/>
      <c r="AT12" s="290"/>
      <c r="AU12" s="291"/>
      <c r="AV12" s="233" t="s">
        <v>25</v>
      </c>
      <c r="AW12" s="233" t="s">
        <v>26</v>
      </c>
      <c r="AX12" s="233" t="s">
        <v>27</v>
      </c>
      <c r="AY12" s="147"/>
      <c r="AZ12" s="91"/>
    </row>
    <row r="13" spans="1:52" ht="13.75" customHeight="1" thickBot="1" x14ac:dyDescent="0.3">
      <c r="A13" s="147"/>
      <c r="B13" s="276"/>
      <c r="C13" s="274"/>
      <c r="D13" s="274"/>
      <c r="E13" s="277"/>
      <c r="F13" s="222"/>
      <c r="G13" s="223"/>
      <c r="H13" s="223"/>
      <c r="I13" s="223"/>
      <c r="J13" s="223"/>
      <c r="K13" s="223"/>
      <c r="L13" s="223"/>
      <c r="M13" s="223"/>
      <c r="N13" s="223"/>
      <c r="O13" s="223"/>
      <c r="P13" s="223"/>
      <c r="Q13" s="223"/>
      <c r="R13" s="223"/>
      <c r="S13" s="223"/>
      <c r="T13" s="223"/>
      <c r="U13" s="224"/>
      <c r="V13" s="222"/>
      <c r="W13" s="223"/>
      <c r="X13" s="223"/>
      <c r="Y13" s="223"/>
      <c r="Z13" s="223"/>
      <c r="AA13" s="223"/>
      <c r="AB13" s="223"/>
      <c r="AC13" s="223"/>
      <c r="AD13" s="223"/>
      <c r="AE13" s="223"/>
      <c r="AF13" s="223"/>
      <c r="AG13" s="223"/>
      <c r="AH13" s="223"/>
      <c r="AI13" s="223"/>
      <c r="AJ13" s="223"/>
      <c r="AK13" s="223"/>
      <c r="AL13" s="223"/>
      <c r="AM13" s="224"/>
      <c r="AN13" s="292"/>
      <c r="AO13" s="292"/>
      <c r="AP13" s="292"/>
      <c r="AQ13" s="292"/>
      <c r="AR13" s="292"/>
      <c r="AS13" s="292"/>
      <c r="AT13" s="292"/>
      <c r="AU13" s="293"/>
      <c r="AV13" s="234"/>
      <c r="AW13" s="234"/>
      <c r="AX13" s="234"/>
      <c r="AY13" s="147"/>
      <c r="AZ13" s="91"/>
    </row>
    <row r="14" spans="1:52" ht="14.4" customHeight="1" thickBot="1" x14ac:dyDescent="0.3">
      <c r="A14" s="147"/>
      <c r="B14" s="276"/>
      <c r="C14" s="274"/>
      <c r="D14" s="274"/>
      <c r="E14" s="277"/>
      <c r="F14" s="264" t="s">
        <v>28</v>
      </c>
      <c r="G14" s="223"/>
      <c r="H14" s="223"/>
      <c r="I14" s="223"/>
      <c r="J14" s="223"/>
      <c r="K14" s="223"/>
      <c r="L14" s="223"/>
      <c r="M14" s="224"/>
      <c r="N14" s="264" t="s">
        <v>29</v>
      </c>
      <c r="O14" s="223"/>
      <c r="P14" s="223"/>
      <c r="Q14" s="223"/>
      <c r="R14" s="223"/>
      <c r="S14" s="223"/>
      <c r="T14" s="223"/>
      <c r="U14" s="224"/>
      <c r="V14" s="263" t="s">
        <v>28</v>
      </c>
      <c r="W14" s="223"/>
      <c r="X14" s="223"/>
      <c r="Y14" s="223"/>
      <c r="Z14" s="223"/>
      <c r="AA14" s="224"/>
      <c r="AB14" s="263" t="s">
        <v>29</v>
      </c>
      <c r="AC14" s="223"/>
      <c r="AD14" s="223"/>
      <c r="AE14" s="223"/>
      <c r="AF14" s="223"/>
      <c r="AG14" s="224"/>
      <c r="AH14" s="263" t="s">
        <v>30</v>
      </c>
      <c r="AI14" s="223"/>
      <c r="AJ14" s="223"/>
      <c r="AK14" s="223"/>
      <c r="AL14" s="223"/>
      <c r="AM14" s="224"/>
      <c r="AN14" s="149"/>
      <c r="AO14" s="149"/>
      <c r="AP14" s="149"/>
      <c r="AQ14" s="149"/>
      <c r="AR14" s="149"/>
      <c r="AS14" s="149"/>
      <c r="AT14" s="149"/>
      <c r="AU14" s="150"/>
      <c r="AV14" s="234"/>
      <c r="AW14" s="234"/>
      <c r="AX14" s="234"/>
      <c r="AY14" s="147"/>
      <c r="AZ14" s="91"/>
    </row>
    <row r="15" spans="1:52" ht="13.75" customHeight="1" thickBot="1" x14ac:dyDescent="0.3">
      <c r="A15" s="147"/>
      <c r="B15" s="276"/>
      <c r="C15" s="274"/>
      <c r="D15" s="274"/>
      <c r="E15" s="27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34"/>
      <c r="AW15" s="234"/>
      <c r="AX15" s="234"/>
      <c r="AY15" s="147"/>
      <c r="AZ15" s="91"/>
    </row>
    <row r="16" spans="1:52" ht="14.4" customHeight="1" thickBot="1" x14ac:dyDescent="0.35">
      <c r="A16" s="147"/>
      <c r="B16" s="268" t="s">
        <v>40</v>
      </c>
      <c r="C16" s="269"/>
      <c r="D16" s="269"/>
      <c r="E16" s="270"/>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35"/>
      <c r="AW16" s="235"/>
      <c r="AX16" s="235"/>
      <c r="AY16" s="147"/>
      <c r="AZ16" s="91"/>
    </row>
    <row r="17" spans="1:52" ht="14.4" customHeight="1" thickBot="1" x14ac:dyDescent="0.35">
      <c r="A17" s="147"/>
      <c r="B17" s="265" t="s">
        <v>2</v>
      </c>
      <c r="C17" s="266"/>
      <c r="D17" s="266"/>
      <c r="E17" s="266"/>
      <c r="F17" s="266"/>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7"/>
      <c r="AY17" s="147"/>
      <c r="AZ17" s="91"/>
    </row>
    <row r="18" spans="1:52" ht="14.4" customHeight="1" thickBot="1" x14ac:dyDescent="0.35">
      <c r="A18" s="147"/>
      <c r="B18" s="287" t="s">
        <v>5</v>
      </c>
      <c r="C18" s="266"/>
      <c r="D18" s="266"/>
      <c r="E18" s="266"/>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8"/>
      <c r="AY18" s="147"/>
      <c r="AZ18" s="91"/>
    </row>
    <row r="19" spans="1:52" ht="15" customHeight="1" x14ac:dyDescent="0.3">
      <c r="A19" s="147"/>
      <c r="B19" s="64">
        <v>1</v>
      </c>
      <c r="C19" s="225" t="str">
        <f>IF('INPUT DATA'!K11="","",'INPUT DATA'!K11)</f>
        <v/>
      </c>
      <c r="D19" s="226"/>
      <c r="E19" s="22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T68" si="1">IF(COUNT(N19:R19)=0,"",IFERROR(S19/$S$16*$T$16,""))</f>
        <v/>
      </c>
      <c r="U19" s="184" t="str">
        <f t="shared" ref="U19:U68" si="2">IF(T19="","",T19*$U$16)</f>
        <v/>
      </c>
      <c r="V19" s="128"/>
      <c r="W19" s="129"/>
      <c r="X19" s="130"/>
      <c r="Y19" s="159" t="str">
        <f t="shared" ref="Y19:Y68" si="3">IF(COUNT(V19:X19)=0,"",SUM(V19:X19))</f>
        <v/>
      </c>
      <c r="Z19" s="159" t="str">
        <f>IF(COUNT(V19:X19)=0,"",IFERROR(Y19/$Y$16*$Z$16,""))</f>
        <v/>
      </c>
      <c r="AA19" s="159" t="str">
        <f>IF(Z19="","",Z19*$AA$16)</f>
        <v/>
      </c>
      <c r="AB19" s="128"/>
      <c r="AC19" s="129"/>
      <c r="AD19" s="130"/>
      <c r="AE19" s="159" t="str">
        <f t="shared" ref="AE19:AE68" si="4">IF(COUNT(AB19:AD19)=0,"",SUM(AB19:AD19))</f>
        <v/>
      </c>
      <c r="AF19" s="159" t="str">
        <f>IF(COUNT(AB19:AD19)=0,"",IFERROR(AE19/$AE$16*$AF$16,""))</f>
        <v/>
      </c>
      <c r="AG19" s="159" t="str">
        <f>IF(AF19="","",AF19*$AG$16)</f>
        <v/>
      </c>
      <c r="AH19" s="128"/>
      <c r="AI19" s="129"/>
      <c r="AJ19" s="130"/>
      <c r="AK19" s="176" t="str">
        <f t="shared" ref="AK19:AK68" si="5">IF(COUNT(AH19:AJ19)=0,"",SUM(AH19:AJ19))</f>
        <v/>
      </c>
      <c r="AL19" s="159" t="str">
        <f t="shared" ref="AL19:AL68" si="6">IF(COUNT(AH19:AJ19)=0,"",IFERROR(AK19/$AK$16*$AL$16,""))</f>
        <v/>
      </c>
      <c r="AM19" s="159" t="str">
        <f t="shared" ref="AM19:AM68" si="7">IF(AL19="","",AL19*$AM$16)</f>
        <v/>
      </c>
      <c r="AN19" s="128"/>
      <c r="AO19" s="129"/>
      <c r="AP19" s="130"/>
      <c r="AQ19" s="162" t="str">
        <f t="shared" ref="AQ19:AQ68" si="8">IF(AN19="","",IFERROR(AN19/$AN$16*$AQ$16,""))</f>
        <v/>
      </c>
      <c r="AR19" s="163" t="str">
        <f t="shared" ref="AR19:AR68" si="9">IF(AO19="","",IFERROR(AO19/$AO$16*$AR$16,""))</f>
        <v/>
      </c>
      <c r="AS19" s="187" t="str">
        <f t="shared" ref="AS19:AS68" si="10">IF(AP19="","",IFERROR(AP19/$AP$16*$AS$16,""))</f>
        <v/>
      </c>
      <c r="AT19" s="159" t="str">
        <f t="shared" ref="AT19:AT68" si="11">IF(COUNT(AN19:AP19)=0,"",SUM(AQ19:AS19))</f>
        <v/>
      </c>
      <c r="AU19" s="159" t="str">
        <f t="shared" ref="AU19:AU68"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3">
      <c r="A20" s="147"/>
      <c r="B20" s="65">
        <v>2</v>
      </c>
      <c r="C20" s="225" t="str">
        <f>IF('INPUT DATA'!K12="","",'INPUT DATA'!K12)</f>
        <v/>
      </c>
      <c r="D20" s="226"/>
      <c r="E20" s="22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si="1"/>
        <v/>
      </c>
      <c r="U20" s="185" t="str">
        <f t="shared" si="2"/>
        <v/>
      </c>
      <c r="V20" s="131"/>
      <c r="W20" s="127"/>
      <c r="X20" s="132"/>
      <c r="Y20" s="160" t="str">
        <f t="shared" si="3"/>
        <v/>
      </c>
      <c r="Z20" s="160" t="str">
        <f t="shared" ref="Z20:Z68" si="16">IF(COUNT(V20:X20)=0,"",IFERROR(Y20/$Y$16*$Z$16,""))</f>
        <v/>
      </c>
      <c r="AA20" s="160" t="str">
        <f t="shared" ref="AA20:AA83" si="17">IF(Z20="","",Z20*$AA$16)</f>
        <v/>
      </c>
      <c r="AB20" s="131"/>
      <c r="AC20" s="127"/>
      <c r="AD20" s="132"/>
      <c r="AE20" s="160" t="str">
        <f t="shared" si="4"/>
        <v/>
      </c>
      <c r="AF20" s="160" t="str">
        <f t="shared" ref="AF20:AF68" si="18">IF(COUNT(AB20:AD20)=0,"",IFERROR(AE20/$AE$16*$AF$16,""))</f>
        <v/>
      </c>
      <c r="AG20" s="160" t="str">
        <f t="shared" ref="AG20:AG83" si="19">IF(AF20="","",AF20*$AG$16)</f>
        <v/>
      </c>
      <c r="AH20" s="131"/>
      <c r="AI20" s="127"/>
      <c r="AJ20" s="132"/>
      <c r="AK20" s="177" t="str">
        <f t="shared" si="5"/>
        <v/>
      </c>
      <c r="AL20" s="160" t="str">
        <f t="shared" si="6"/>
        <v/>
      </c>
      <c r="AM20" s="160" t="str">
        <f t="shared" si="7"/>
        <v/>
      </c>
      <c r="AN20" s="131"/>
      <c r="AO20" s="127"/>
      <c r="AP20" s="132"/>
      <c r="AQ20" s="164" t="str">
        <f t="shared" si="8"/>
        <v/>
      </c>
      <c r="AR20" s="155" t="str">
        <f t="shared" si="9"/>
        <v/>
      </c>
      <c r="AS20" s="188" t="str">
        <f t="shared" si="10"/>
        <v/>
      </c>
      <c r="AT20" s="160" t="str">
        <f t="shared" si="11"/>
        <v/>
      </c>
      <c r="AU20" s="160" t="str">
        <f t="shared" si="12"/>
        <v/>
      </c>
      <c r="AV20" s="168" t="str">
        <f t="shared" ref="AV20:AV68" si="20">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3">
      <c r="A21" s="147"/>
      <c r="B21" s="65">
        <v>3</v>
      </c>
      <c r="C21" s="225" t="str">
        <f>IF('INPUT DATA'!K13="","",'INPUT DATA'!K13)</f>
        <v/>
      </c>
      <c r="D21" s="226"/>
      <c r="E21" s="22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
        <v/>
      </c>
      <c r="U21" s="185" t="str">
        <f t="shared" si="2"/>
        <v/>
      </c>
      <c r="V21" s="131"/>
      <c r="W21" s="127"/>
      <c r="X21" s="132"/>
      <c r="Y21" s="160" t="str">
        <f t="shared" si="3"/>
        <v/>
      </c>
      <c r="Z21" s="160" t="str">
        <f t="shared" si="16"/>
        <v/>
      </c>
      <c r="AA21" s="160" t="str">
        <f t="shared" si="17"/>
        <v/>
      </c>
      <c r="AB21" s="131"/>
      <c r="AC21" s="127"/>
      <c r="AD21" s="132"/>
      <c r="AE21" s="160" t="str">
        <f t="shared" si="4"/>
        <v/>
      </c>
      <c r="AF21" s="160" t="str">
        <f t="shared" si="18"/>
        <v/>
      </c>
      <c r="AG21" s="160" t="str">
        <f t="shared" si="19"/>
        <v/>
      </c>
      <c r="AH21" s="131"/>
      <c r="AI21" s="127"/>
      <c r="AJ21" s="132"/>
      <c r="AK21" s="177" t="str">
        <f t="shared" si="5"/>
        <v/>
      </c>
      <c r="AL21" s="160" t="str">
        <f t="shared" si="6"/>
        <v/>
      </c>
      <c r="AM21" s="160" t="str">
        <f t="shared" si="7"/>
        <v/>
      </c>
      <c r="AN21" s="131"/>
      <c r="AO21" s="127"/>
      <c r="AP21" s="132"/>
      <c r="AQ21" s="164" t="str">
        <f t="shared" si="8"/>
        <v/>
      </c>
      <c r="AR21" s="155" t="str">
        <f t="shared" si="9"/>
        <v/>
      </c>
      <c r="AS21" s="188" t="str">
        <f t="shared" si="10"/>
        <v/>
      </c>
      <c r="AT21" s="160" t="str">
        <f t="shared" si="11"/>
        <v/>
      </c>
      <c r="AU21" s="160" t="str">
        <f t="shared" si="12"/>
        <v/>
      </c>
      <c r="AV21" s="168" t="str">
        <f t="shared" si="20"/>
        <v/>
      </c>
      <c r="AW21" s="171" t="str">
        <f>IF(AV21="","",IFERROR(INDEX(HELPER!$D$8:$D$48,IF(AV21&gt;=HELPER!$B$8,1,MATCH(AV21,HELPER!$B$8:$B$48,-1)+1)),""))</f>
        <v/>
      </c>
      <c r="AX21" s="174" t="str">
        <f>IF(AW21="","",IFERROR(VLOOKUP(AW21,HELPER!$F$8:$G$48,2,FALSE),""))</f>
        <v/>
      </c>
      <c r="AY21" s="147"/>
      <c r="AZ21" s="91"/>
    </row>
    <row r="22" spans="1:52" ht="15" customHeight="1" x14ac:dyDescent="0.3">
      <c r="A22" s="147"/>
      <c r="B22" s="65">
        <v>4</v>
      </c>
      <c r="C22" s="225" t="str">
        <f>IF('INPUT DATA'!K14="","",'INPUT DATA'!K14)</f>
        <v/>
      </c>
      <c r="D22" s="226"/>
      <c r="E22" s="22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
        <v/>
      </c>
      <c r="U22" s="185" t="str">
        <f t="shared" si="2"/>
        <v/>
      </c>
      <c r="V22" s="131"/>
      <c r="W22" s="127"/>
      <c r="X22" s="132"/>
      <c r="Y22" s="160" t="str">
        <f t="shared" si="3"/>
        <v/>
      </c>
      <c r="Z22" s="160" t="str">
        <f t="shared" si="16"/>
        <v/>
      </c>
      <c r="AA22" s="160" t="str">
        <f t="shared" si="17"/>
        <v/>
      </c>
      <c r="AB22" s="131"/>
      <c r="AC22" s="127"/>
      <c r="AD22" s="132"/>
      <c r="AE22" s="160" t="str">
        <f t="shared" si="4"/>
        <v/>
      </c>
      <c r="AF22" s="160" t="str">
        <f t="shared" si="18"/>
        <v/>
      </c>
      <c r="AG22" s="160" t="str">
        <f t="shared" si="19"/>
        <v/>
      </c>
      <c r="AH22" s="131"/>
      <c r="AI22" s="127"/>
      <c r="AJ22" s="132"/>
      <c r="AK22" s="177" t="str">
        <f t="shared" si="5"/>
        <v/>
      </c>
      <c r="AL22" s="160" t="str">
        <f t="shared" si="6"/>
        <v/>
      </c>
      <c r="AM22" s="160" t="str">
        <f t="shared" si="7"/>
        <v/>
      </c>
      <c r="AN22" s="131"/>
      <c r="AO22" s="127"/>
      <c r="AP22" s="132"/>
      <c r="AQ22" s="164" t="str">
        <f t="shared" si="8"/>
        <v/>
      </c>
      <c r="AR22" s="155" t="str">
        <f t="shared" si="9"/>
        <v/>
      </c>
      <c r="AS22" s="188" t="str">
        <f t="shared" si="10"/>
        <v/>
      </c>
      <c r="AT22" s="160" t="str">
        <f t="shared" si="11"/>
        <v/>
      </c>
      <c r="AU22" s="160" t="str">
        <f t="shared" si="12"/>
        <v/>
      </c>
      <c r="AV22" s="168" t="str">
        <f t="shared" si="20"/>
        <v/>
      </c>
      <c r="AW22" s="171" t="str">
        <f>IF(AV22="","",IFERROR(INDEX(HELPER!$D$8:$D$48,IF(AV22&gt;=HELPER!$B$8,1,MATCH(AV22,HELPER!$B$8:$B$48,-1)+1)),""))</f>
        <v/>
      </c>
      <c r="AX22" s="174" t="str">
        <f>IF(AW22="","",IFERROR(VLOOKUP(AW22,HELPER!$F$8:$G$48,2,FALSE),""))</f>
        <v/>
      </c>
      <c r="AY22" s="147"/>
      <c r="AZ22" s="91"/>
    </row>
    <row r="23" spans="1:52" ht="15" customHeight="1" x14ac:dyDescent="0.3">
      <c r="A23" s="147"/>
      <c r="B23" s="65">
        <v>5</v>
      </c>
      <c r="C23" s="229" t="str">
        <f>IF('INPUT DATA'!K15="","",'INPUT DATA'!K15)</f>
        <v/>
      </c>
      <c r="D23" s="226"/>
      <c r="E23" s="22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
        <v/>
      </c>
      <c r="U23" s="185" t="str">
        <f t="shared" si="2"/>
        <v/>
      </c>
      <c r="V23" s="131"/>
      <c r="W23" s="127"/>
      <c r="X23" s="132"/>
      <c r="Y23" s="160" t="str">
        <f t="shared" si="3"/>
        <v/>
      </c>
      <c r="Z23" s="160" t="str">
        <f t="shared" si="16"/>
        <v/>
      </c>
      <c r="AA23" s="160" t="str">
        <f t="shared" si="17"/>
        <v/>
      </c>
      <c r="AB23" s="131"/>
      <c r="AC23" s="127"/>
      <c r="AD23" s="132"/>
      <c r="AE23" s="160" t="str">
        <f t="shared" si="4"/>
        <v/>
      </c>
      <c r="AF23" s="160" t="str">
        <f t="shared" si="18"/>
        <v/>
      </c>
      <c r="AG23" s="160" t="str">
        <f t="shared" si="19"/>
        <v/>
      </c>
      <c r="AH23" s="131"/>
      <c r="AI23" s="127"/>
      <c r="AJ23" s="132"/>
      <c r="AK23" s="177" t="str">
        <f t="shared" si="5"/>
        <v/>
      </c>
      <c r="AL23" s="160" t="str">
        <f t="shared" si="6"/>
        <v/>
      </c>
      <c r="AM23" s="160" t="str">
        <f t="shared" si="7"/>
        <v/>
      </c>
      <c r="AN23" s="131"/>
      <c r="AO23" s="127"/>
      <c r="AP23" s="132"/>
      <c r="AQ23" s="164" t="str">
        <f t="shared" si="8"/>
        <v/>
      </c>
      <c r="AR23" s="155" t="str">
        <f t="shared" si="9"/>
        <v/>
      </c>
      <c r="AS23" s="188" t="str">
        <f t="shared" si="10"/>
        <v/>
      </c>
      <c r="AT23" s="160" t="str">
        <f t="shared" si="11"/>
        <v/>
      </c>
      <c r="AU23" s="160" t="str">
        <f t="shared" si="12"/>
        <v/>
      </c>
      <c r="AV23" s="168" t="str">
        <f t="shared" si="20"/>
        <v/>
      </c>
      <c r="AW23" s="171" t="str">
        <f>IF(AV23="","",IFERROR(INDEX(HELPER!$D$8:$D$48,IF(AV23&gt;=HELPER!$B$8,1,MATCH(AV23,HELPER!$B$8:$B$48,-1)+1)),""))</f>
        <v/>
      </c>
      <c r="AX23" s="174" t="str">
        <f>IF(AW23="","",IFERROR(VLOOKUP(AW23,HELPER!$F$8:$G$48,2,FALSE),""))</f>
        <v/>
      </c>
      <c r="AY23" s="147"/>
      <c r="AZ23" s="91"/>
    </row>
    <row r="24" spans="1:52" ht="15" customHeight="1" x14ac:dyDescent="0.3">
      <c r="A24" s="147"/>
      <c r="B24" s="65">
        <v>6</v>
      </c>
      <c r="C24" s="229" t="str">
        <f>IF('INPUT DATA'!K16="","",'INPUT DATA'!K16)</f>
        <v/>
      </c>
      <c r="D24" s="226"/>
      <c r="E24" s="22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
        <v/>
      </c>
      <c r="U24" s="185" t="str">
        <f t="shared" si="2"/>
        <v/>
      </c>
      <c r="V24" s="131"/>
      <c r="W24" s="127"/>
      <c r="X24" s="132"/>
      <c r="Y24" s="160" t="str">
        <f t="shared" si="3"/>
        <v/>
      </c>
      <c r="Z24" s="160" t="str">
        <f t="shared" si="16"/>
        <v/>
      </c>
      <c r="AA24" s="160" t="str">
        <f t="shared" si="17"/>
        <v/>
      </c>
      <c r="AB24" s="131"/>
      <c r="AC24" s="127"/>
      <c r="AD24" s="132"/>
      <c r="AE24" s="160" t="str">
        <f t="shared" si="4"/>
        <v/>
      </c>
      <c r="AF24" s="160" t="str">
        <f t="shared" si="18"/>
        <v/>
      </c>
      <c r="AG24" s="160" t="str">
        <f t="shared" si="19"/>
        <v/>
      </c>
      <c r="AH24" s="131"/>
      <c r="AI24" s="127"/>
      <c r="AJ24" s="132"/>
      <c r="AK24" s="177" t="str">
        <f t="shared" si="5"/>
        <v/>
      </c>
      <c r="AL24" s="160" t="str">
        <f t="shared" si="6"/>
        <v/>
      </c>
      <c r="AM24" s="160" t="str">
        <f t="shared" si="7"/>
        <v/>
      </c>
      <c r="AN24" s="131"/>
      <c r="AO24" s="127"/>
      <c r="AP24" s="132"/>
      <c r="AQ24" s="164" t="str">
        <f t="shared" si="8"/>
        <v/>
      </c>
      <c r="AR24" s="155" t="str">
        <f t="shared" si="9"/>
        <v/>
      </c>
      <c r="AS24" s="188" t="str">
        <f t="shared" si="10"/>
        <v/>
      </c>
      <c r="AT24" s="160" t="str">
        <f t="shared" si="11"/>
        <v/>
      </c>
      <c r="AU24" s="160" t="str">
        <f t="shared" si="12"/>
        <v/>
      </c>
      <c r="AV24" s="168" t="str">
        <f t="shared" si="20"/>
        <v/>
      </c>
      <c r="AW24" s="171" t="str">
        <f>IF(AV24="","",IFERROR(INDEX(HELPER!$D$8:$D$48,IF(AV24&gt;=HELPER!$B$8,1,MATCH(AV24,HELPER!$B$8:$B$48,-1)+1)),""))</f>
        <v/>
      </c>
      <c r="AX24" s="174" t="str">
        <f>IF(AW24="","",IFERROR(VLOOKUP(AW24,HELPER!$F$8:$G$48,2,FALSE),""))</f>
        <v/>
      </c>
      <c r="AY24" s="147"/>
      <c r="AZ24" s="91"/>
    </row>
    <row r="25" spans="1:52" ht="15" customHeight="1" x14ac:dyDescent="0.3">
      <c r="A25" s="147"/>
      <c r="B25" s="65">
        <v>7</v>
      </c>
      <c r="C25" s="229" t="str">
        <f>IF('INPUT DATA'!K17="","",'INPUT DATA'!K17)</f>
        <v/>
      </c>
      <c r="D25" s="226"/>
      <c r="E25" s="22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
        <v/>
      </c>
      <c r="U25" s="185" t="str">
        <f t="shared" si="2"/>
        <v/>
      </c>
      <c r="V25" s="131"/>
      <c r="W25" s="127"/>
      <c r="X25" s="132"/>
      <c r="Y25" s="160" t="str">
        <f t="shared" si="3"/>
        <v/>
      </c>
      <c r="Z25" s="160" t="str">
        <f t="shared" si="16"/>
        <v/>
      </c>
      <c r="AA25" s="160" t="str">
        <f t="shared" si="17"/>
        <v/>
      </c>
      <c r="AB25" s="131"/>
      <c r="AC25" s="127"/>
      <c r="AD25" s="132"/>
      <c r="AE25" s="160" t="str">
        <f t="shared" si="4"/>
        <v/>
      </c>
      <c r="AF25" s="160" t="str">
        <f t="shared" si="18"/>
        <v/>
      </c>
      <c r="AG25" s="160" t="str">
        <f t="shared" si="19"/>
        <v/>
      </c>
      <c r="AH25" s="131"/>
      <c r="AI25" s="127"/>
      <c r="AJ25" s="132"/>
      <c r="AK25" s="177" t="str">
        <f t="shared" si="5"/>
        <v/>
      </c>
      <c r="AL25" s="160" t="str">
        <f t="shared" si="6"/>
        <v/>
      </c>
      <c r="AM25" s="160" t="str">
        <f t="shared" si="7"/>
        <v/>
      </c>
      <c r="AN25" s="131"/>
      <c r="AO25" s="127"/>
      <c r="AP25" s="132"/>
      <c r="AQ25" s="164" t="str">
        <f t="shared" si="8"/>
        <v/>
      </c>
      <c r="AR25" s="155" t="str">
        <f t="shared" si="9"/>
        <v/>
      </c>
      <c r="AS25" s="188" t="str">
        <f t="shared" si="10"/>
        <v/>
      </c>
      <c r="AT25" s="160" t="str">
        <f t="shared" si="11"/>
        <v/>
      </c>
      <c r="AU25" s="160" t="str">
        <f t="shared" si="12"/>
        <v/>
      </c>
      <c r="AV25" s="168" t="str">
        <f t="shared" si="20"/>
        <v/>
      </c>
      <c r="AW25" s="171" t="str">
        <f>IF(AV25="","",IFERROR(INDEX(HELPER!$D$8:$D$48,IF(AV25&gt;=HELPER!$B$8,1,MATCH(AV25,HELPER!$B$8:$B$48,-1)+1)),""))</f>
        <v/>
      </c>
      <c r="AX25" s="174" t="str">
        <f>IF(AW25="","",IFERROR(VLOOKUP(AW25,HELPER!$F$8:$G$48,2,FALSE),""))</f>
        <v/>
      </c>
      <c r="AY25" s="147"/>
      <c r="AZ25" s="91"/>
    </row>
    <row r="26" spans="1:52" ht="15" customHeight="1" x14ac:dyDescent="0.3">
      <c r="A26" s="147"/>
      <c r="B26" s="65">
        <v>8</v>
      </c>
      <c r="C26" s="229" t="str">
        <f>IF('INPUT DATA'!K18="","",'INPUT DATA'!K18)</f>
        <v/>
      </c>
      <c r="D26" s="226"/>
      <c r="E26" s="22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
        <v/>
      </c>
      <c r="U26" s="185" t="str">
        <f t="shared" si="2"/>
        <v/>
      </c>
      <c r="V26" s="131"/>
      <c r="W26" s="127"/>
      <c r="X26" s="132"/>
      <c r="Y26" s="160" t="str">
        <f t="shared" si="3"/>
        <v/>
      </c>
      <c r="Z26" s="160" t="str">
        <f t="shared" si="16"/>
        <v/>
      </c>
      <c r="AA26" s="160" t="str">
        <f t="shared" si="17"/>
        <v/>
      </c>
      <c r="AB26" s="131"/>
      <c r="AC26" s="127"/>
      <c r="AD26" s="132"/>
      <c r="AE26" s="160" t="str">
        <f t="shared" si="4"/>
        <v/>
      </c>
      <c r="AF26" s="160" t="str">
        <f t="shared" si="18"/>
        <v/>
      </c>
      <c r="AG26" s="160" t="str">
        <f t="shared" si="19"/>
        <v/>
      </c>
      <c r="AH26" s="131"/>
      <c r="AI26" s="127"/>
      <c r="AJ26" s="132"/>
      <c r="AK26" s="177" t="str">
        <f t="shared" si="5"/>
        <v/>
      </c>
      <c r="AL26" s="160" t="str">
        <f t="shared" si="6"/>
        <v/>
      </c>
      <c r="AM26" s="160" t="str">
        <f t="shared" si="7"/>
        <v/>
      </c>
      <c r="AN26" s="131"/>
      <c r="AO26" s="127"/>
      <c r="AP26" s="132"/>
      <c r="AQ26" s="164" t="str">
        <f t="shared" si="8"/>
        <v/>
      </c>
      <c r="AR26" s="155" t="str">
        <f t="shared" si="9"/>
        <v/>
      </c>
      <c r="AS26" s="188" t="str">
        <f t="shared" si="10"/>
        <v/>
      </c>
      <c r="AT26" s="160" t="str">
        <f t="shared" si="11"/>
        <v/>
      </c>
      <c r="AU26" s="160" t="str">
        <f t="shared" si="12"/>
        <v/>
      </c>
      <c r="AV26" s="168" t="str">
        <f t="shared" si="20"/>
        <v/>
      </c>
      <c r="AW26" s="171" t="str">
        <f>IF(AV26="","",IFERROR(INDEX(HELPER!$D$8:$D$48,IF(AV26&gt;=HELPER!$B$8,1,MATCH(AV26,HELPER!$B$8:$B$48,-1)+1)),""))</f>
        <v/>
      </c>
      <c r="AX26" s="174" t="str">
        <f>IF(AW26="","",IFERROR(VLOOKUP(AW26,HELPER!$F$8:$G$48,2,FALSE),""))</f>
        <v/>
      </c>
      <c r="AY26" s="147"/>
      <c r="AZ26" s="91"/>
    </row>
    <row r="27" spans="1:52" ht="15" customHeight="1" x14ac:dyDescent="0.3">
      <c r="A27" s="147"/>
      <c r="B27" s="65">
        <v>9</v>
      </c>
      <c r="C27" s="229" t="str">
        <f>IF('INPUT DATA'!K19="","",'INPUT DATA'!K19)</f>
        <v/>
      </c>
      <c r="D27" s="226"/>
      <c r="E27" s="22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
        <v/>
      </c>
      <c r="U27" s="185" t="str">
        <f t="shared" si="2"/>
        <v/>
      </c>
      <c r="V27" s="131"/>
      <c r="W27" s="127"/>
      <c r="X27" s="132"/>
      <c r="Y27" s="160" t="str">
        <f t="shared" si="3"/>
        <v/>
      </c>
      <c r="Z27" s="160" t="str">
        <f t="shared" si="16"/>
        <v/>
      </c>
      <c r="AA27" s="160" t="str">
        <f t="shared" si="17"/>
        <v/>
      </c>
      <c r="AB27" s="131"/>
      <c r="AC27" s="127"/>
      <c r="AD27" s="132"/>
      <c r="AE27" s="160" t="str">
        <f t="shared" si="4"/>
        <v/>
      </c>
      <c r="AF27" s="160" t="str">
        <f t="shared" si="18"/>
        <v/>
      </c>
      <c r="AG27" s="160" t="str">
        <f t="shared" si="19"/>
        <v/>
      </c>
      <c r="AH27" s="131"/>
      <c r="AI27" s="127"/>
      <c r="AJ27" s="132"/>
      <c r="AK27" s="177" t="str">
        <f t="shared" si="5"/>
        <v/>
      </c>
      <c r="AL27" s="160" t="str">
        <f t="shared" si="6"/>
        <v/>
      </c>
      <c r="AM27" s="160" t="str">
        <f t="shared" si="7"/>
        <v/>
      </c>
      <c r="AN27" s="131"/>
      <c r="AO27" s="127"/>
      <c r="AP27" s="132"/>
      <c r="AQ27" s="164" t="str">
        <f t="shared" si="8"/>
        <v/>
      </c>
      <c r="AR27" s="155" t="str">
        <f t="shared" si="9"/>
        <v/>
      </c>
      <c r="AS27" s="188" t="str">
        <f t="shared" si="10"/>
        <v/>
      </c>
      <c r="AT27" s="160" t="str">
        <f t="shared" si="11"/>
        <v/>
      </c>
      <c r="AU27" s="160" t="str">
        <f t="shared" si="12"/>
        <v/>
      </c>
      <c r="AV27" s="168" t="str">
        <f t="shared" si="20"/>
        <v/>
      </c>
      <c r="AW27" s="171" t="str">
        <f>IF(AV27="","",IFERROR(INDEX(HELPER!$D$8:$D$48,IF(AV27&gt;=HELPER!$B$8,1,MATCH(AV27,HELPER!$B$8:$B$48,-1)+1)),""))</f>
        <v/>
      </c>
      <c r="AX27" s="174" t="str">
        <f>IF(AW27="","",IFERROR(VLOOKUP(AW27,HELPER!$F$8:$G$48,2,FALSE),""))</f>
        <v/>
      </c>
      <c r="AY27" s="147"/>
      <c r="AZ27" s="91"/>
    </row>
    <row r="28" spans="1:52" ht="15" customHeight="1" x14ac:dyDescent="0.3">
      <c r="A28" s="147"/>
      <c r="B28" s="65">
        <v>10</v>
      </c>
      <c r="C28" s="229" t="str">
        <f>IF('INPUT DATA'!K20="","",'INPUT DATA'!K20)</f>
        <v/>
      </c>
      <c r="D28" s="226"/>
      <c r="E28" s="22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
        <v/>
      </c>
      <c r="U28" s="185" t="str">
        <f t="shared" si="2"/>
        <v/>
      </c>
      <c r="V28" s="131"/>
      <c r="W28" s="127"/>
      <c r="X28" s="132"/>
      <c r="Y28" s="160" t="str">
        <f t="shared" si="3"/>
        <v/>
      </c>
      <c r="Z28" s="160" t="str">
        <f t="shared" si="16"/>
        <v/>
      </c>
      <c r="AA28" s="160" t="str">
        <f t="shared" si="17"/>
        <v/>
      </c>
      <c r="AB28" s="131"/>
      <c r="AC28" s="127"/>
      <c r="AD28" s="132"/>
      <c r="AE28" s="160" t="str">
        <f t="shared" si="4"/>
        <v/>
      </c>
      <c r="AF28" s="160" t="str">
        <f t="shared" si="18"/>
        <v/>
      </c>
      <c r="AG28" s="160" t="str">
        <f t="shared" si="19"/>
        <v/>
      </c>
      <c r="AH28" s="131"/>
      <c r="AI28" s="127"/>
      <c r="AJ28" s="132"/>
      <c r="AK28" s="177" t="str">
        <f t="shared" si="5"/>
        <v/>
      </c>
      <c r="AL28" s="160" t="str">
        <f t="shared" si="6"/>
        <v/>
      </c>
      <c r="AM28" s="160" t="str">
        <f t="shared" si="7"/>
        <v/>
      </c>
      <c r="AN28" s="131"/>
      <c r="AO28" s="127"/>
      <c r="AP28" s="132"/>
      <c r="AQ28" s="164" t="str">
        <f t="shared" si="8"/>
        <v/>
      </c>
      <c r="AR28" s="155" t="str">
        <f t="shared" si="9"/>
        <v/>
      </c>
      <c r="AS28" s="188" t="str">
        <f t="shared" si="10"/>
        <v/>
      </c>
      <c r="AT28" s="160" t="str">
        <f t="shared" si="11"/>
        <v/>
      </c>
      <c r="AU28" s="160" t="str">
        <f t="shared" si="12"/>
        <v/>
      </c>
      <c r="AV28" s="168" t="str">
        <f t="shared" si="20"/>
        <v/>
      </c>
      <c r="AW28" s="171" t="str">
        <f>IF(AV28="","",IFERROR(INDEX(HELPER!$D$8:$D$48,IF(AV28&gt;=HELPER!$B$8,1,MATCH(AV28,HELPER!$B$8:$B$48,-1)+1)),""))</f>
        <v/>
      </c>
      <c r="AX28" s="174" t="str">
        <f>IF(AW28="","",IFERROR(VLOOKUP(AW28,HELPER!$F$8:$G$48,2,FALSE),""))</f>
        <v/>
      </c>
      <c r="AY28" s="147"/>
      <c r="AZ28" s="91"/>
    </row>
    <row r="29" spans="1:52" ht="15" customHeight="1" x14ac:dyDescent="0.3">
      <c r="A29" s="147"/>
      <c r="B29" s="65">
        <v>11</v>
      </c>
      <c r="C29" s="229" t="str">
        <f>IF('INPUT DATA'!K21="","",'INPUT DATA'!K21)</f>
        <v/>
      </c>
      <c r="D29" s="226"/>
      <c r="E29" s="22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
        <v/>
      </c>
      <c r="U29" s="185" t="str">
        <f t="shared" si="2"/>
        <v/>
      </c>
      <c r="V29" s="131"/>
      <c r="W29" s="127"/>
      <c r="X29" s="132"/>
      <c r="Y29" s="160" t="str">
        <f t="shared" si="3"/>
        <v/>
      </c>
      <c r="Z29" s="160" t="str">
        <f t="shared" si="16"/>
        <v/>
      </c>
      <c r="AA29" s="160" t="str">
        <f t="shared" si="17"/>
        <v/>
      </c>
      <c r="AB29" s="131"/>
      <c r="AC29" s="127"/>
      <c r="AD29" s="132"/>
      <c r="AE29" s="160" t="str">
        <f t="shared" si="4"/>
        <v/>
      </c>
      <c r="AF29" s="160" t="str">
        <f t="shared" si="18"/>
        <v/>
      </c>
      <c r="AG29" s="160" t="str">
        <f t="shared" si="19"/>
        <v/>
      </c>
      <c r="AH29" s="131"/>
      <c r="AI29" s="127"/>
      <c r="AJ29" s="132"/>
      <c r="AK29" s="177" t="str">
        <f t="shared" si="5"/>
        <v/>
      </c>
      <c r="AL29" s="160" t="str">
        <f t="shared" si="6"/>
        <v/>
      </c>
      <c r="AM29" s="160" t="str">
        <f t="shared" si="7"/>
        <v/>
      </c>
      <c r="AN29" s="131"/>
      <c r="AO29" s="127"/>
      <c r="AP29" s="132"/>
      <c r="AQ29" s="164" t="str">
        <f t="shared" si="8"/>
        <v/>
      </c>
      <c r="AR29" s="155" t="str">
        <f t="shared" si="9"/>
        <v/>
      </c>
      <c r="AS29" s="188" t="str">
        <f t="shared" si="10"/>
        <v/>
      </c>
      <c r="AT29" s="160" t="str">
        <f t="shared" si="11"/>
        <v/>
      </c>
      <c r="AU29" s="160" t="str">
        <f t="shared" si="12"/>
        <v/>
      </c>
      <c r="AV29" s="168" t="str">
        <f t="shared" si="20"/>
        <v/>
      </c>
      <c r="AW29" s="171" t="str">
        <f>IF(AV29="","",IFERROR(INDEX(HELPER!$D$8:$D$48,IF(AV29&gt;=HELPER!$B$8,1,MATCH(AV29,HELPER!$B$8:$B$48,-1)+1)),""))</f>
        <v/>
      </c>
      <c r="AX29" s="174" t="str">
        <f>IF(AW29="","",IFERROR(VLOOKUP(AW29,HELPER!$F$8:$G$48,2,FALSE),""))</f>
        <v/>
      </c>
      <c r="AY29" s="147"/>
      <c r="AZ29" s="91"/>
    </row>
    <row r="30" spans="1:52" ht="15" customHeight="1" x14ac:dyDescent="0.3">
      <c r="A30" s="147"/>
      <c r="B30" s="65">
        <v>12</v>
      </c>
      <c r="C30" s="229" t="str">
        <f>IF('INPUT DATA'!K22="","",'INPUT DATA'!K22)</f>
        <v/>
      </c>
      <c r="D30" s="226"/>
      <c r="E30" s="22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
        <v/>
      </c>
      <c r="U30" s="185" t="str">
        <f t="shared" si="2"/>
        <v/>
      </c>
      <c r="V30" s="131"/>
      <c r="W30" s="127"/>
      <c r="X30" s="132"/>
      <c r="Y30" s="160" t="str">
        <f t="shared" si="3"/>
        <v/>
      </c>
      <c r="Z30" s="160" t="str">
        <f t="shared" si="16"/>
        <v/>
      </c>
      <c r="AA30" s="160" t="str">
        <f t="shared" si="17"/>
        <v/>
      </c>
      <c r="AB30" s="131"/>
      <c r="AC30" s="127"/>
      <c r="AD30" s="132"/>
      <c r="AE30" s="160" t="str">
        <f t="shared" si="4"/>
        <v/>
      </c>
      <c r="AF30" s="160" t="str">
        <f t="shared" si="18"/>
        <v/>
      </c>
      <c r="AG30" s="160" t="str">
        <f t="shared" si="19"/>
        <v/>
      </c>
      <c r="AH30" s="131"/>
      <c r="AI30" s="127"/>
      <c r="AJ30" s="132"/>
      <c r="AK30" s="177" t="str">
        <f t="shared" si="5"/>
        <v/>
      </c>
      <c r="AL30" s="160" t="str">
        <f t="shared" si="6"/>
        <v/>
      </c>
      <c r="AM30" s="160" t="str">
        <f t="shared" si="7"/>
        <v/>
      </c>
      <c r="AN30" s="131"/>
      <c r="AO30" s="127"/>
      <c r="AP30" s="132"/>
      <c r="AQ30" s="164" t="str">
        <f t="shared" si="8"/>
        <v/>
      </c>
      <c r="AR30" s="155" t="str">
        <f t="shared" si="9"/>
        <v/>
      </c>
      <c r="AS30" s="188" t="str">
        <f t="shared" si="10"/>
        <v/>
      </c>
      <c r="AT30" s="160" t="str">
        <f t="shared" si="11"/>
        <v/>
      </c>
      <c r="AU30" s="160" t="str">
        <f t="shared" si="12"/>
        <v/>
      </c>
      <c r="AV30" s="168" t="str">
        <f t="shared" si="20"/>
        <v/>
      </c>
      <c r="AW30" s="171" t="str">
        <f>IF(AV30="","",IFERROR(INDEX(HELPER!$D$8:$D$48,IF(AV30&gt;=HELPER!$B$8,1,MATCH(AV30,HELPER!$B$8:$B$48,-1)+1)),""))</f>
        <v/>
      </c>
      <c r="AX30" s="174" t="str">
        <f>IF(AW30="","",IFERROR(VLOOKUP(AW30,HELPER!$F$8:$G$48,2,FALSE),""))</f>
        <v/>
      </c>
      <c r="AY30" s="147"/>
      <c r="AZ30" s="91"/>
    </row>
    <row r="31" spans="1:52" ht="15" customHeight="1" x14ac:dyDescent="0.3">
      <c r="A31" s="147"/>
      <c r="B31" s="65">
        <v>13</v>
      </c>
      <c r="C31" s="229" t="str">
        <f>IF('INPUT DATA'!K23="","",'INPUT DATA'!K23)</f>
        <v/>
      </c>
      <c r="D31" s="226"/>
      <c r="E31" s="22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
        <v/>
      </c>
      <c r="U31" s="185" t="str">
        <f t="shared" si="2"/>
        <v/>
      </c>
      <c r="V31" s="131"/>
      <c r="W31" s="127"/>
      <c r="X31" s="132"/>
      <c r="Y31" s="160" t="str">
        <f t="shared" si="3"/>
        <v/>
      </c>
      <c r="Z31" s="160" t="str">
        <f t="shared" si="16"/>
        <v/>
      </c>
      <c r="AA31" s="160" t="str">
        <f t="shared" si="17"/>
        <v/>
      </c>
      <c r="AB31" s="131"/>
      <c r="AC31" s="127"/>
      <c r="AD31" s="132"/>
      <c r="AE31" s="160" t="str">
        <f t="shared" si="4"/>
        <v/>
      </c>
      <c r="AF31" s="160" t="str">
        <f t="shared" si="18"/>
        <v/>
      </c>
      <c r="AG31" s="160" t="str">
        <f t="shared" si="19"/>
        <v/>
      </c>
      <c r="AH31" s="131"/>
      <c r="AI31" s="127"/>
      <c r="AJ31" s="132"/>
      <c r="AK31" s="177" t="str">
        <f t="shared" si="5"/>
        <v/>
      </c>
      <c r="AL31" s="160" t="str">
        <f t="shared" si="6"/>
        <v/>
      </c>
      <c r="AM31" s="160" t="str">
        <f t="shared" si="7"/>
        <v/>
      </c>
      <c r="AN31" s="131"/>
      <c r="AO31" s="127"/>
      <c r="AP31" s="132"/>
      <c r="AQ31" s="164" t="str">
        <f t="shared" si="8"/>
        <v/>
      </c>
      <c r="AR31" s="155" t="str">
        <f t="shared" si="9"/>
        <v/>
      </c>
      <c r="AS31" s="188" t="str">
        <f t="shared" si="10"/>
        <v/>
      </c>
      <c r="AT31" s="160" t="str">
        <f t="shared" si="11"/>
        <v/>
      </c>
      <c r="AU31" s="160" t="str">
        <f t="shared" si="12"/>
        <v/>
      </c>
      <c r="AV31" s="168" t="str">
        <f t="shared" si="20"/>
        <v/>
      </c>
      <c r="AW31" s="171" t="str">
        <f>IF(AV31="","",IFERROR(INDEX(HELPER!$D$8:$D$48,IF(AV31&gt;=HELPER!$B$8,1,MATCH(AV31,HELPER!$B$8:$B$48,-1)+1)),""))</f>
        <v/>
      </c>
      <c r="AX31" s="174" t="str">
        <f>IF(AW31="","",IFERROR(VLOOKUP(AW31,HELPER!$F$8:$G$48,2,FALSE),""))</f>
        <v/>
      </c>
      <c r="AY31" s="147"/>
      <c r="AZ31" s="91"/>
    </row>
    <row r="32" spans="1:52" ht="15" customHeight="1" x14ac:dyDescent="0.3">
      <c r="A32" s="147"/>
      <c r="B32" s="65">
        <v>14</v>
      </c>
      <c r="C32" s="229" t="str">
        <f>IF('INPUT DATA'!K24="","",'INPUT DATA'!K24)</f>
        <v/>
      </c>
      <c r="D32" s="226"/>
      <c r="E32" s="22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
        <v/>
      </c>
      <c r="U32" s="185" t="str">
        <f t="shared" si="2"/>
        <v/>
      </c>
      <c r="V32" s="131"/>
      <c r="W32" s="127"/>
      <c r="X32" s="132"/>
      <c r="Y32" s="160" t="str">
        <f t="shared" si="3"/>
        <v/>
      </c>
      <c r="Z32" s="160" t="str">
        <f t="shared" si="16"/>
        <v/>
      </c>
      <c r="AA32" s="160" t="str">
        <f t="shared" si="17"/>
        <v/>
      </c>
      <c r="AB32" s="131"/>
      <c r="AC32" s="127"/>
      <c r="AD32" s="132"/>
      <c r="AE32" s="160" t="str">
        <f t="shared" si="4"/>
        <v/>
      </c>
      <c r="AF32" s="160" t="str">
        <f t="shared" si="18"/>
        <v/>
      </c>
      <c r="AG32" s="160" t="str">
        <f t="shared" si="19"/>
        <v/>
      </c>
      <c r="AH32" s="131"/>
      <c r="AI32" s="127"/>
      <c r="AJ32" s="132"/>
      <c r="AK32" s="177" t="str">
        <f t="shared" si="5"/>
        <v/>
      </c>
      <c r="AL32" s="160" t="str">
        <f t="shared" si="6"/>
        <v/>
      </c>
      <c r="AM32" s="160" t="str">
        <f t="shared" si="7"/>
        <v/>
      </c>
      <c r="AN32" s="131"/>
      <c r="AO32" s="127"/>
      <c r="AP32" s="132"/>
      <c r="AQ32" s="164" t="str">
        <f t="shared" si="8"/>
        <v/>
      </c>
      <c r="AR32" s="155" t="str">
        <f t="shared" si="9"/>
        <v/>
      </c>
      <c r="AS32" s="188" t="str">
        <f t="shared" si="10"/>
        <v/>
      </c>
      <c r="AT32" s="160" t="str">
        <f t="shared" si="11"/>
        <v/>
      </c>
      <c r="AU32" s="160" t="str">
        <f t="shared" si="12"/>
        <v/>
      </c>
      <c r="AV32" s="168" t="str">
        <f t="shared" si="20"/>
        <v/>
      </c>
      <c r="AW32" s="171" t="str">
        <f>IF(AV32="","",IFERROR(INDEX(HELPER!$D$8:$D$48,IF(AV32&gt;=HELPER!$B$8,1,MATCH(AV32,HELPER!$B$8:$B$48,-1)+1)),""))</f>
        <v/>
      </c>
      <c r="AX32" s="174" t="str">
        <f>IF(AW32="","",IFERROR(VLOOKUP(AW32,HELPER!$F$8:$G$48,2,FALSE),""))</f>
        <v/>
      </c>
      <c r="AY32" s="147"/>
      <c r="AZ32" s="91"/>
    </row>
    <row r="33" spans="1:52" ht="15" customHeight="1" x14ac:dyDescent="0.3">
      <c r="A33" s="147"/>
      <c r="B33" s="65">
        <v>15</v>
      </c>
      <c r="C33" s="229" t="str">
        <f>IF('INPUT DATA'!K25="","",'INPUT DATA'!K25)</f>
        <v/>
      </c>
      <c r="D33" s="226"/>
      <c r="E33" s="22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
        <v/>
      </c>
      <c r="U33" s="185" t="str">
        <f t="shared" si="2"/>
        <v/>
      </c>
      <c r="V33" s="131"/>
      <c r="W33" s="127"/>
      <c r="X33" s="132"/>
      <c r="Y33" s="160" t="str">
        <f t="shared" si="3"/>
        <v/>
      </c>
      <c r="Z33" s="160" t="str">
        <f t="shared" si="16"/>
        <v/>
      </c>
      <c r="AA33" s="160" t="str">
        <f t="shared" si="17"/>
        <v/>
      </c>
      <c r="AB33" s="131"/>
      <c r="AC33" s="127"/>
      <c r="AD33" s="132"/>
      <c r="AE33" s="160" t="str">
        <f t="shared" si="4"/>
        <v/>
      </c>
      <c r="AF33" s="160" t="str">
        <f t="shared" si="18"/>
        <v/>
      </c>
      <c r="AG33" s="160" t="str">
        <f t="shared" si="19"/>
        <v/>
      </c>
      <c r="AH33" s="131"/>
      <c r="AI33" s="127"/>
      <c r="AJ33" s="132"/>
      <c r="AK33" s="177" t="str">
        <f t="shared" si="5"/>
        <v/>
      </c>
      <c r="AL33" s="160" t="str">
        <f t="shared" si="6"/>
        <v/>
      </c>
      <c r="AM33" s="160" t="str">
        <f t="shared" si="7"/>
        <v/>
      </c>
      <c r="AN33" s="131"/>
      <c r="AO33" s="127"/>
      <c r="AP33" s="132"/>
      <c r="AQ33" s="164" t="str">
        <f t="shared" si="8"/>
        <v/>
      </c>
      <c r="AR33" s="155" t="str">
        <f t="shared" si="9"/>
        <v/>
      </c>
      <c r="AS33" s="188" t="str">
        <f t="shared" si="10"/>
        <v/>
      </c>
      <c r="AT33" s="160" t="str">
        <f t="shared" si="11"/>
        <v/>
      </c>
      <c r="AU33" s="160" t="str">
        <f t="shared" si="12"/>
        <v/>
      </c>
      <c r="AV33" s="168" t="str">
        <f t="shared" si="20"/>
        <v/>
      </c>
      <c r="AW33" s="171" t="str">
        <f>IF(AV33="","",IFERROR(INDEX(HELPER!$D$8:$D$48,IF(AV33&gt;=HELPER!$B$8,1,MATCH(AV33,HELPER!$B$8:$B$48,-1)+1)),""))</f>
        <v/>
      </c>
      <c r="AX33" s="174" t="str">
        <f>IF(AW33="","",IFERROR(VLOOKUP(AW33,HELPER!$F$8:$G$48,2,FALSE),""))</f>
        <v/>
      </c>
      <c r="AY33" s="147"/>
      <c r="AZ33" s="91"/>
    </row>
    <row r="34" spans="1:52" ht="15" customHeight="1" x14ac:dyDescent="0.3">
      <c r="A34" s="147"/>
      <c r="B34" s="65">
        <v>16</v>
      </c>
      <c r="C34" s="229" t="str">
        <f>IF('INPUT DATA'!K26="","",'INPUT DATA'!K26)</f>
        <v/>
      </c>
      <c r="D34" s="226"/>
      <c r="E34" s="22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
        <v/>
      </c>
      <c r="U34" s="185" t="str">
        <f t="shared" si="2"/>
        <v/>
      </c>
      <c r="V34" s="131"/>
      <c r="W34" s="127"/>
      <c r="X34" s="132"/>
      <c r="Y34" s="160" t="str">
        <f t="shared" si="3"/>
        <v/>
      </c>
      <c r="Z34" s="160" t="str">
        <f t="shared" si="16"/>
        <v/>
      </c>
      <c r="AA34" s="160" t="str">
        <f t="shared" si="17"/>
        <v/>
      </c>
      <c r="AB34" s="131"/>
      <c r="AC34" s="127"/>
      <c r="AD34" s="132"/>
      <c r="AE34" s="160" t="str">
        <f t="shared" si="4"/>
        <v/>
      </c>
      <c r="AF34" s="160" t="str">
        <f t="shared" si="18"/>
        <v/>
      </c>
      <c r="AG34" s="160" t="str">
        <f t="shared" si="19"/>
        <v/>
      </c>
      <c r="AH34" s="131"/>
      <c r="AI34" s="127"/>
      <c r="AJ34" s="132"/>
      <c r="AK34" s="177" t="str">
        <f t="shared" si="5"/>
        <v/>
      </c>
      <c r="AL34" s="160" t="str">
        <f t="shared" si="6"/>
        <v/>
      </c>
      <c r="AM34" s="160" t="str">
        <f t="shared" si="7"/>
        <v/>
      </c>
      <c r="AN34" s="131"/>
      <c r="AO34" s="127"/>
      <c r="AP34" s="132"/>
      <c r="AQ34" s="164" t="str">
        <f t="shared" si="8"/>
        <v/>
      </c>
      <c r="AR34" s="155" t="str">
        <f t="shared" si="9"/>
        <v/>
      </c>
      <c r="AS34" s="188" t="str">
        <f t="shared" si="10"/>
        <v/>
      </c>
      <c r="AT34" s="160" t="str">
        <f t="shared" si="11"/>
        <v/>
      </c>
      <c r="AU34" s="160" t="str">
        <f t="shared" si="12"/>
        <v/>
      </c>
      <c r="AV34" s="168" t="str">
        <f t="shared" si="20"/>
        <v/>
      </c>
      <c r="AW34" s="171" t="str">
        <f>IF(AV34="","",IFERROR(INDEX(HELPER!$D$8:$D$48,IF(AV34&gt;=HELPER!$B$8,1,MATCH(AV34,HELPER!$B$8:$B$48,-1)+1)),""))</f>
        <v/>
      </c>
      <c r="AX34" s="174" t="str">
        <f>IF(AW34="","",IFERROR(VLOOKUP(AW34,HELPER!$F$8:$G$48,2,FALSE),""))</f>
        <v/>
      </c>
      <c r="AY34" s="147"/>
      <c r="AZ34" s="91"/>
    </row>
    <row r="35" spans="1:52" ht="15" customHeight="1" x14ac:dyDescent="0.3">
      <c r="A35" s="147"/>
      <c r="B35" s="65">
        <v>17</v>
      </c>
      <c r="C35" s="229" t="str">
        <f>IF('INPUT DATA'!K27="","",'INPUT DATA'!K27)</f>
        <v/>
      </c>
      <c r="D35" s="226"/>
      <c r="E35" s="22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
        <v/>
      </c>
      <c r="U35" s="185" t="str">
        <f t="shared" si="2"/>
        <v/>
      </c>
      <c r="V35" s="131"/>
      <c r="W35" s="127"/>
      <c r="X35" s="132"/>
      <c r="Y35" s="160" t="str">
        <f t="shared" si="3"/>
        <v/>
      </c>
      <c r="Z35" s="160" t="str">
        <f t="shared" si="16"/>
        <v/>
      </c>
      <c r="AA35" s="160" t="str">
        <f t="shared" si="17"/>
        <v/>
      </c>
      <c r="AB35" s="131"/>
      <c r="AC35" s="127"/>
      <c r="AD35" s="132"/>
      <c r="AE35" s="160" t="str">
        <f t="shared" si="4"/>
        <v/>
      </c>
      <c r="AF35" s="160" t="str">
        <f t="shared" si="18"/>
        <v/>
      </c>
      <c r="AG35" s="160" t="str">
        <f t="shared" si="19"/>
        <v/>
      </c>
      <c r="AH35" s="131"/>
      <c r="AI35" s="127"/>
      <c r="AJ35" s="132"/>
      <c r="AK35" s="177" t="str">
        <f t="shared" si="5"/>
        <v/>
      </c>
      <c r="AL35" s="160" t="str">
        <f t="shared" si="6"/>
        <v/>
      </c>
      <c r="AM35" s="160" t="str">
        <f t="shared" si="7"/>
        <v/>
      </c>
      <c r="AN35" s="131"/>
      <c r="AO35" s="127"/>
      <c r="AP35" s="132"/>
      <c r="AQ35" s="164" t="str">
        <f t="shared" si="8"/>
        <v/>
      </c>
      <c r="AR35" s="155" t="str">
        <f t="shared" si="9"/>
        <v/>
      </c>
      <c r="AS35" s="188" t="str">
        <f t="shared" si="10"/>
        <v/>
      </c>
      <c r="AT35" s="160" t="str">
        <f t="shared" si="11"/>
        <v/>
      </c>
      <c r="AU35" s="160" t="str">
        <f t="shared" si="12"/>
        <v/>
      </c>
      <c r="AV35" s="168" t="str">
        <f t="shared" si="20"/>
        <v/>
      </c>
      <c r="AW35" s="171" t="str">
        <f>IF(AV35="","",IFERROR(INDEX(HELPER!$D$8:$D$48,IF(AV35&gt;=HELPER!$B$8,1,MATCH(AV35,HELPER!$B$8:$B$48,-1)+1)),""))</f>
        <v/>
      </c>
      <c r="AX35" s="174" t="str">
        <f>IF(AW35="","",IFERROR(VLOOKUP(AW35,HELPER!$F$8:$G$48,2,FALSE),""))</f>
        <v/>
      </c>
      <c r="AY35" s="147"/>
      <c r="AZ35" s="91"/>
    </row>
    <row r="36" spans="1:52" ht="15" customHeight="1" x14ac:dyDescent="0.3">
      <c r="A36" s="147"/>
      <c r="B36" s="65">
        <v>18</v>
      </c>
      <c r="C36" s="229" t="str">
        <f>IF('INPUT DATA'!K28="","",'INPUT DATA'!K28)</f>
        <v/>
      </c>
      <c r="D36" s="226"/>
      <c r="E36" s="22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
        <v/>
      </c>
      <c r="U36" s="185" t="str">
        <f t="shared" si="2"/>
        <v/>
      </c>
      <c r="V36" s="131"/>
      <c r="W36" s="127"/>
      <c r="X36" s="132"/>
      <c r="Y36" s="160" t="str">
        <f t="shared" si="3"/>
        <v/>
      </c>
      <c r="Z36" s="160" t="str">
        <f t="shared" si="16"/>
        <v/>
      </c>
      <c r="AA36" s="160" t="str">
        <f t="shared" si="17"/>
        <v/>
      </c>
      <c r="AB36" s="131"/>
      <c r="AC36" s="127"/>
      <c r="AD36" s="132"/>
      <c r="AE36" s="160" t="str">
        <f t="shared" si="4"/>
        <v/>
      </c>
      <c r="AF36" s="160" t="str">
        <f t="shared" si="18"/>
        <v/>
      </c>
      <c r="AG36" s="160" t="str">
        <f t="shared" si="19"/>
        <v/>
      </c>
      <c r="AH36" s="131"/>
      <c r="AI36" s="127"/>
      <c r="AJ36" s="132"/>
      <c r="AK36" s="177" t="str">
        <f t="shared" si="5"/>
        <v/>
      </c>
      <c r="AL36" s="160" t="str">
        <f t="shared" si="6"/>
        <v/>
      </c>
      <c r="AM36" s="160" t="str">
        <f t="shared" si="7"/>
        <v/>
      </c>
      <c r="AN36" s="131"/>
      <c r="AO36" s="127"/>
      <c r="AP36" s="132"/>
      <c r="AQ36" s="164" t="str">
        <f t="shared" si="8"/>
        <v/>
      </c>
      <c r="AR36" s="155" t="str">
        <f t="shared" si="9"/>
        <v/>
      </c>
      <c r="AS36" s="188" t="str">
        <f t="shared" si="10"/>
        <v/>
      </c>
      <c r="AT36" s="160" t="str">
        <f t="shared" si="11"/>
        <v/>
      </c>
      <c r="AU36" s="160" t="str">
        <f t="shared" si="12"/>
        <v/>
      </c>
      <c r="AV36" s="168" t="str">
        <f t="shared" si="20"/>
        <v/>
      </c>
      <c r="AW36" s="171" t="str">
        <f>IF(AV36="","",IFERROR(INDEX(HELPER!$D$8:$D$48,IF(AV36&gt;=HELPER!$B$8,1,MATCH(AV36,HELPER!$B$8:$B$48,-1)+1)),""))</f>
        <v/>
      </c>
      <c r="AX36" s="174" t="str">
        <f>IF(AW36="","",IFERROR(VLOOKUP(AW36,HELPER!$F$8:$G$48,2,FALSE),""))</f>
        <v/>
      </c>
      <c r="AY36" s="147"/>
      <c r="AZ36" s="91"/>
    </row>
    <row r="37" spans="1:52" ht="15" customHeight="1" x14ac:dyDescent="0.3">
      <c r="A37" s="147"/>
      <c r="B37" s="65">
        <v>19</v>
      </c>
      <c r="C37" s="229" t="str">
        <f>IF('INPUT DATA'!K29="","",'INPUT DATA'!K29)</f>
        <v/>
      </c>
      <c r="D37" s="226"/>
      <c r="E37" s="22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
        <v/>
      </c>
      <c r="U37" s="185" t="str">
        <f t="shared" si="2"/>
        <v/>
      </c>
      <c r="V37" s="131"/>
      <c r="W37" s="127"/>
      <c r="X37" s="132"/>
      <c r="Y37" s="160" t="str">
        <f t="shared" si="3"/>
        <v/>
      </c>
      <c r="Z37" s="160" t="str">
        <f t="shared" si="16"/>
        <v/>
      </c>
      <c r="AA37" s="160" t="str">
        <f t="shared" si="17"/>
        <v/>
      </c>
      <c r="AB37" s="131"/>
      <c r="AC37" s="127"/>
      <c r="AD37" s="132"/>
      <c r="AE37" s="160" t="str">
        <f t="shared" si="4"/>
        <v/>
      </c>
      <c r="AF37" s="160" t="str">
        <f t="shared" si="18"/>
        <v/>
      </c>
      <c r="AG37" s="160" t="str">
        <f t="shared" si="19"/>
        <v/>
      </c>
      <c r="AH37" s="131"/>
      <c r="AI37" s="127"/>
      <c r="AJ37" s="132"/>
      <c r="AK37" s="177" t="str">
        <f t="shared" si="5"/>
        <v/>
      </c>
      <c r="AL37" s="160" t="str">
        <f t="shared" si="6"/>
        <v/>
      </c>
      <c r="AM37" s="160" t="str">
        <f t="shared" si="7"/>
        <v/>
      </c>
      <c r="AN37" s="131"/>
      <c r="AO37" s="127"/>
      <c r="AP37" s="132"/>
      <c r="AQ37" s="164" t="str">
        <f t="shared" si="8"/>
        <v/>
      </c>
      <c r="AR37" s="155" t="str">
        <f t="shared" si="9"/>
        <v/>
      </c>
      <c r="AS37" s="188" t="str">
        <f t="shared" si="10"/>
        <v/>
      </c>
      <c r="AT37" s="160" t="str">
        <f t="shared" si="11"/>
        <v/>
      </c>
      <c r="AU37" s="160" t="str">
        <f t="shared" si="12"/>
        <v/>
      </c>
      <c r="AV37" s="168" t="str">
        <f t="shared" si="20"/>
        <v/>
      </c>
      <c r="AW37" s="171" t="str">
        <f>IF(AV37="","",IFERROR(INDEX(HELPER!$D$8:$D$48,IF(AV37&gt;=HELPER!$B$8,1,MATCH(AV37,HELPER!$B$8:$B$48,-1)+1)),""))</f>
        <v/>
      </c>
      <c r="AX37" s="174" t="str">
        <f>IF(AW37="","",IFERROR(VLOOKUP(AW37,HELPER!$F$8:$G$48,2,FALSE),""))</f>
        <v/>
      </c>
      <c r="AY37" s="147"/>
      <c r="AZ37" s="91"/>
    </row>
    <row r="38" spans="1:52" ht="15" customHeight="1" x14ac:dyDescent="0.3">
      <c r="A38" s="147"/>
      <c r="B38" s="66">
        <v>20</v>
      </c>
      <c r="C38" s="229" t="str">
        <f>IF('INPUT DATA'!K30="","",'INPUT DATA'!K30)</f>
        <v/>
      </c>
      <c r="D38" s="226"/>
      <c r="E38" s="22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
        <v/>
      </c>
      <c r="U38" s="185" t="str">
        <f t="shared" si="2"/>
        <v/>
      </c>
      <c r="V38" s="131"/>
      <c r="W38" s="127"/>
      <c r="X38" s="132"/>
      <c r="Y38" s="160" t="str">
        <f t="shared" si="3"/>
        <v/>
      </c>
      <c r="Z38" s="160" t="str">
        <f t="shared" si="16"/>
        <v/>
      </c>
      <c r="AA38" s="160" t="str">
        <f t="shared" si="17"/>
        <v/>
      </c>
      <c r="AB38" s="131"/>
      <c r="AC38" s="127"/>
      <c r="AD38" s="132"/>
      <c r="AE38" s="160" t="str">
        <f t="shared" si="4"/>
        <v/>
      </c>
      <c r="AF38" s="160" t="str">
        <f t="shared" si="18"/>
        <v/>
      </c>
      <c r="AG38" s="160" t="str">
        <f t="shared" si="19"/>
        <v/>
      </c>
      <c r="AH38" s="131"/>
      <c r="AI38" s="127"/>
      <c r="AJ38" s="132"/>
      <c r="AK38" s="177" t="str">
        <f t="shared" si="5"/>
        <v/>
      </c>
      <c r="AL38" s="160" t="str">
        <f t="shared" si="6"/>
        <v/>
      </c>
      <c r="AM38" s="160" t="str">
        <f t="shared" si="7"/>
        <v/>
      </c>
      <c r="AN38" s="131"/>
      <c r="AO38" s="127"/>
      <c r="AP38" s="132"/>
      <c r="AQ38" s="164" t="str">
        <f t="shared" si="8"/>
        <v/>
      </c>
      <c r="AR38" s="155" t="str">
        <f t="shared" si="9"/>
        <v/>
      </c>
      <c r="AS38" s="188" t="str">
        <f t="shared" si="10"/>
        <v/>
      </c>
      <c r="AT38" s="160" t="str">
        <f t="shared" si="11"/>
        <v/>
      </c>
      <c r="AU38" s="160" t="str">
        <f t="shared" si="12"/>
        <v/>
      </c>
      <c r="AV38" s="168" t="str">
        <f t="shared" si="20"/>
        <v/>
      </c>
      <c r="AW38" s="171" t="str">
        <f>IF(AV38="","",IFERROR(INDEX(HELPER!$D$8:$D$48,IF(AV38&gt;=HELPER!$B$8,1,MATCH(AV38,HELPER!$B$8:$B$48,-1)+1)),""))</f>
        <v/>
      </c>
      <c r="AX38" s="174" t="str">
        <f>IF(AW38="","",IFERROR(VLOOKUP(AW38,HELPER!$F$8:$G$48,2,FALSE),""))</f>
        <v/>
      </c>
      <c r="AY38" s="147"/>
      <c r="AZ38" s="91"/>
    </row>
    <row r="39" spans="1:52" ht="15" customHeight="1" x14ac:dyDescent="0.3">
      <c r="A39" s="147"/>
      <c r="B39" s="66">
        <v>21</v>
      </c>
      <c r="C39" s="229" t="str">
        <f>IF('INPUT DATA'!K31="","",'INPUT DATA'!K31)</f>
        <v/>
      </c>
      <c r="D39" s="226"/>
      <c r="E39" s="22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
        <v/>
      </c>
      <c r="U39" s="185" t="str">
        <f t="shared" si="2"/>
        <v/>
      </c>
      <c r="V39" s="131"/>
      <c r="W39" s="127"/>
      <c r="X39" s="132"/>
      <c r="Y39" s="160" t="str">
        <f t="shared" si="3"/>
        <v/>
      </c>
      <c r="Z39" s="160" t="str">
        <f t="shared" si="16"/>
        <v/>
      </c>
      <c r="AA39" s="160" t="str">
        <f t="shared" si="17"/>
        <v/>
      </c>
      <c r="AB39" s="131"/>
      <c r="AC39" s="127"/>
      <c r="AD39" s="132"/>
      <c r="AE39" s="160" t="str">
        <f t="shared" si="4"/>
        <v/>
      </c>
      <c r="AF39" s="160" t="str">
        <f t="shared" si="18"/>
        <v/>
      </c>
      <c r="AG39" s="160" t="str">
        <f t="shared" si="19"/>
        <v/>
      </c>
      <c r="AH39" s="131"/>
      <c r="AI39" s="127"/>
      <c r="AJ39" s="132"/>
      <c r="AK39" s="177" t="str">
        <f t="shared" si="5"/>
        <v/>
      </c>
      <c r="AL39" s="160" t="str">
        <f t="shared" si="6"/>
        <v/>
      </c>
      <c r="AM39" s="160" t="str">
        <f t="shared" si="7"/>
        <v/>
      </c>
      <c r="AN39" s="131"/>
      <c r="AO39" s="127"/>
      <c r="AP39" s="132"/>
      <c r="AQ39" s="164" t="str">
        <f t="shared" si="8"/>
        <v/>
      </c>
      <c r="AR39" s="155" t="str">
        <f t="shared" si="9"/>
        <v/>
      </c>
      <c r="AS39" s="188" t="str">
        <f t="shared" si="10"/>
        <v/>
      </c>
      <c r="AT39" s="160" t="str">
        <f t="shared" si="11"/>
        <v/>
      </c>
      <c r="AU39" s="160" t="str">
        <f t="shared" si="12"/>
        <v/>
      </c>
      <c r="AV39" s="168" t="str">
        <f t="shared" si="20"/>
        <v/>
      </c>
      <c r="AW39" s="171" t="str">
        <f>IF(AV39="","",IFERROR(INDEX(HELPER!$D$8:$D$48,IF(AV39&gt;=HELPER!$B$8,1,MATCH(AV39,HELPER!$B$8:$B$48,-1)+1)),""))</f>
        <v/>
      </c>
      <c r="AX39" s="174" t="str">
        <f>IF(AW39="","",IFERROR(VLOOKUP(AW39,HELPER!$F$8:$G$48,2,FALSE),""))</f>
        <v/>
      </c>
      <c r="AY39" s="147"/>
      <c r="AZ39" s="91"/>
    </row>
    <row r="40" spans="1:52" ht="15" customHeight="1" x14ac:dyDescent="0.3">
      <c r="A40" s="147"/>
      <c r="B40" s="66">
        <v>22</v>
      </c>
      <c r="C40" s="229" t="str">
        <f>IF('INPUT DATA'!K32="","",'INPUT DATA'!K32)</f>
        <v/>
      </c>
      <c r="D40" s="226"/>
      <c r="E40" s="22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
        <v/>
      </c>
      <c r="U40" s="185" t="str">
        <f t="shared" si="2"/>
        <v/>
      </c>
      <c r="V40" s="131"/>
      <c r="W40" s="127"/>
      <c r="X40" s="132"/>
      <c r="Y40" s="160" t="str">
        <f t="shared" si="3"/>
        <v/>
      </c>
      <c r="Z40" s="160" t="str">
        <f t="shared" si="16"/>
        <v/>
      </c>
      <c r="AA40" s="160" t="str">
        <f t="shared" si="17"/>
        <v/>
      </c>
      <c r="AB40" s="131"/>
      <c r="AC40" s="127"/>
      <c r="AD40" s="132"/>
      <c r="AE40" s="160" t="str">
        <f t="shared" si="4"/>
        <v/>
      </c>
      <c r="AF40" s="160" t="str">
        <f t="shared" si="18"/>
        <v/>
      </c>
      <c r="AG40" s="160" t="str">
        <f t="shared" si="19"/>
        <v/>
      </c>
      <c r="AH40" s="131"/>
      <c r="AI40" s="127"/>
      <c r="AJ40" s="132"/>
      <c r="AK40" s="177" t="str">
        <f t="shared" si="5"/>
        <v/>
      </c>
      <c r="AL40" s="160" t="str">
        <f t="shared" si="6"/>
        <v/>
      </c>
      <c r="AM40" s="160" t="str">
        <f t="shared" si="7"/>
        <v/>
      </c>
      <c r="AN40" s="131"/>
      <c r="AO40" s="127"/>
      <c r="AP40" s="132"/>
      <c r="AQ40" s="164" t="str">
        <f t="shared" si="8"/>
        <v/>
      </c>
      <c r="AR40" s="155" t="str">
        <f t="shared" si="9"/>
        <v/>
      </c>
      <c r="AS40" s="188" t="str">
        <f t="shared" si="10"/>
        <v/>
      </c>
      <c r="AT40" s="160" t="str">
        <f t="shared" si="11"/>
        <v/>
      </c>
      <c r="AU40" s="160" t="str">
        <f t="shared" si="12"/>
        <v/>
      </c>
      <c r="AV40" s="168" t="str">
        <f t="shared" si="20"/>
        <v/>
      </c>
      <c r="AW40" s="171" t="str">
        <f>IF(AV40="","",IFERROR(INDEX(HELPER!$D$8:$D$48,IF(AV40&gt;=HELPER!$B$8,1,MATCH(AV40,HELPER!$B$8:$B$48,-1)+1)),""))</f>
        <v/>
      </c>
      <c r="AX40" s="174" t="str">
        <f>IF(AW40="","",IFERROR(VLOOKUP(AW40,HELPER!$F$8:$G$48,2,FALSE),""))</f>
        <v/>
      </c>
      <c r="AY40" s="147"/>
      <c r="AZ40" s="91"/>
    </row>
    <row r="41" spans="1:52" ht="15" customHeight="1" x14ac:dyDescent="0.3">
      <c r="A41" s="147"/>
      <c r="B41" s="66">
        <v>23</v>
      </c>
      <c r="C41" s="229" t="str">
        <f>IF('INPUT DATA'!K33="","",'INPUT DATA'!K33)</f>
        <v/>
      </c>
      <c r="D41" s="226"/>
      <c r="E41" s="22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
        <v/>
      </c>
      <c r="U41" s="185" t="str">
        <f t="shared" si="2"/>
        <v/>
      </c>
      <c r="V41" s="131"/>
      <c r="W41" s="127"/>
      <c r="X41" s="132"/>
      <c r="Y41" s="160" t="str">
        <f t="shared" si="3"/>
        <v/>
      </c>
      <c r="Z41" s="160" t="str">
        <f t="shared" si="16"/>
        <v/>
      </c>
      <c r="AA41" s="160" t="str">
        <f t="shared" si="17"/>
        <v/>
      </c>
      <c r="AB41" s="131"/>
      <c r="AC41" s="127"/>
      <c r="AD41" s="132"/>
      <c r="AE41" s="160" t="str">
        <f t="shared" si="4"/>
        <v/>
      </c>
      <c r="AF41" s="160" t="str">
        <f t="shared" si="18"/>
        <v/>
      </c>
      <c r="AG41" s="160" t="str">
        <f t="shared" si="19"/>
        <v/>
      </c>
      <c r="AH41" s="131"/>
      <c r="AI41" s="127"/>
      <c r="AJ41" s="132"/>
      <c r="AK41" s="177" t="str">
        <f t="shared" si="5"/>
        <v/>
      </c>
      <c r="AL41" s="160" t="str">
        <f t="shared" si="6"/>
        <v/>
      </c>
      <c r="AM41" s="160" t="str">
        <f t="shared" si="7"/>
        <v/>
      </c>
      <c r="AN41" s="131"/>
      <c r="AO41" s="127"/>
      <c r="AP41" s="132"/>
      <c r="AQ41" s="164" t="str">
        <f t="shared" si="8"/>
        <v/>
      </c>
      <c r="AR41" s="155" t="str">
        <f t="shared" si="9"/>
        <v/>
      </c>
      <c r="AS41" s="188" t="str">
        <f t="shared" si="10"/>
        <v/>
      </c>
      <c r="AT41" s="160" t="str">
        <f t="shared" si="11"/>
        <v/>
      </c>
      <c r="AU41" s="160" t="str">
        <f t="shared" si="12"/>
        <v/>
      </c>
      <c r="AV41" s="168" t="str">
        <f t="shared" si="20"/>
        <v/>
      </c>
      <c r="AW41" s="171" t="str">
        <f>IF(AV41="","",IFERROR(INDEX(HELPER!$D$8:$D$48,IF(AV41&gt;=HELPER!$B$8,1,MATCH(AV41,HELPER!$B$8:$B$48,-1)+1)),""))</f>
        <v/>
      </c>
      <c r="AX41" s="174" t="str">
        <f>IF(AW41="","",IFERROR(VLOOKUP(AW41,HELPER!$F$8:$G$48,2,FALSE),""))</f>
        <v/>
      </c>
      <c r="AY41" s="147"/>
      <c r="AZ41" s="91"/>
    </row>
    <row r="42" spans="1:52" ht="15" customHeight="1" x14ac:dyDescent="0.3">
      <c r="A42" s="147"/>
      <c r="B42" s="66">
        <v>24</v>
      </c>
      <c r="C42" s="229" t="str">
        <f>IF('INPUT DATA'!K34="","",'INPUT DATA'!K34)</f>
        <v/>
      </c>
      <c r="D42" s="226"/>
      <c r="E42" s="22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
        <v/>
      </c>
      <c r="U42" s="185" t="str">
        <f t="shared" si="2"/>
        <v/>
      </c>
      <c r="V42" s="131"/>
      <c r="W42" s="127"/>
      <c r="X42" s="132"/>
      <c r="Y42" s="160" t="str">
        <f t="shared" si="3"/>
        <v/>
      </c>
      <c r="Z42" s="160" t="str">
        <f t="shared" si="16"/>
        <v/>
      </c>
      <c r="AA42" s="160" t="str">
        <f t="shared" si="17"/>
        <v/>
      </c>
      <c r="AB42" s="131"/>
      <c r="AC42" s="127"/>
      <c r="AD42" s="132"/>
      <c r="AE42" s="160" t="str">
        <f t="shared" si="4"/>
        <v/>
      </c>
      <c r="AF42" s="160" t="str">
        <f t="shared" si="18"/>
        <v/>
      </c>
      <c r="AG42" s="160" t="str">
        <f t="shared" si="19"/>
        <v/>
      </c>
      <c r="AH42" s="131"/>
      <c r="AI42" s="127"/>
      <c r="AJ42" s="132"/>
      <c r="AK42" s="177" t="str">
        <f t="shared" si="5"/>
        <v/>
      </c>
      <c r="AL42" s="160" t="str">
        <f t="shared" si="6"/>
        <v/>
      </c>
      <c r="AM42" s="160" t="str">
        <f t="shared" si="7"/>
        <v/>
      </c>
      <c r="AN42" s="131"/>
      <c r="AO42" s="127"/>
      <c r="AP42" s="132"/>
      <c r="AQ42" s="164" t="str">
        <f t="shared" si="8"/>
        <v/>
      </c>
      <c r="AR42" s="155" t="str">
        <f t="shared" si="9"/>
        <v/>
      </c>
      <c r="AS42" s="188" t="str">
        <f t="shared" si="10"/>
        <v/>
      </c>
      <c r="AT42" s="160" t="str">
        <f t="shared" si="11"/>
        <v/>
      </c>
      <c r="AU42" s="160" t="str">
        <f t="shared" si="12"/>
        <v/>
      </c>
      <c r="AV42" s="168" t="str">
        <f t="shared" si="20"/>
        <v/>
      </c>
      <c r="AW42" s="171" t="str">
        <f>IF(AV42="","",IFERROR(INDEX(HELPER!$D$8:$D$48,IF(AV42&gt;=HELPER!$B$8,1,MATCH(AV42,HELPER!$B$8:$B$48,-1)+1)),""))</f>
        <v/>
      </c>
      <c r="AX42" s="174" t="str">
        <f>IF(AW42="","",IFERROR(VLOOKUP(AW42,HELPER!$F$8:$G$48,2,FALSE),""))</f>
        <v/>
      </c>
      <c r="AY42" s="147"/>
      <c r="AZ42" s="91"/>
    </row>
    <row r="43" spans="1:52" ht="15" customHeight="1" x14ac:dyDescent="0.3">
      <c r="A43" s="147"/>
      <c r="B43" s="66">
        <v>25</v>
      </c>
      <c r="C43" s="229" t="str">
        <f>IF('INPUT DATA'!K35="","",'INPUT DATA'!K35)</f>
        <v/>
      </c>
      <c r="D43" s="226"/>
      <c r="E43" s="22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
        <v/>
      </c>
      <c r="U43" s="185" t="str">
        <f t="shared" si="2"/>
        <v/>
      </c>
      <c r="V43" s="131"/>
      <c r="W43" s="127"/>
      <c r="X43" s="132"/>
      <c r="Y43" s="160" t="str">
        <f t="shared" si="3"/>
        <v/>
      </c>
      <c r="Z43" s="160" t="str">
        <f t="shared" si="16"/>
        <v/>
      </c>
      <c r="AA43" s="160" t="str">
        <f t="shared" si="17"/>
        <v/>
      </c>
      <c r="AB43" s="131"/>
      <c r="AC43" s="127"/>
      <c r="AD43" s="132"/>
      <c r="AE43" s="160" t="str">
        <f t="shared" si="4"/>
        <v/>
      </c>
      <c r="AF43" s="160" t="str">
        <f t="shared" si="18"/>
        <v/>
      </c>
      <c r="AG43" s="160" t="str">
        <f t="shared" si="19"/>
        <v/>
      </c>
      <c r="AH43" s="131"/>
      <c r="AI43" s="127"/>
      <c r="AJ43" s="132"/>
      <c r="AK43" s="177" t="str">
        <f t="shared" si="5"/>
        <v/>
      </c>
      <c r="AL43" s="160" t="str">
        <f t="shared" si="6"/>
        <v/>
      </c>
      <c r="AM43" s="160" t="str">
        <f t="shared" si="7"/>
        <v/>
      </c>
      <c r="AN43" s="131"/>
      <c r="AO43" s="127"/>
      <c r="AP43" s="132"/>
      <c r="AQ43" s="164" t="str">
        <f t="shared" si="8"/>
        <v/>
      </c>
      <c r="AR43" s="155" t="str">
        <f t="shared" si="9"/>
        <v/>
      </c>
      <c r="AS43" s="188" t="str">
        <f t="shared" si="10"/>
        <v/>
      </c>
      <c r="AT43" s="160" t="str">
        <f t="shared" si="11"/>
        <v/>
      </c>
      <c r="AU43" s="160" t="str">
        <f t="shared" si="12"/>
        <v/>
      </c>
      <c r="AV43" s="168" t="str">
        <f t="shared" si="20"/>
        <v/>
      </c>
      <c r="AW43" s="171" t="str">
        <f>IF(AV43="","",IFERROR(INDEX(HELPER!$D$8:$D$48,IF(AV43&gt;=HELPER!$B$8,1,MATCH(AV43,HELPER!$B$8:$B$48,-1)+1)),""))</f>
        <v/>
      </c>
      <c r="AX43" s="174" t="str">
        <f>IF(AW43="","",IFERROR(VLOOKUP(AW43,HELPER!$F$8:$G$48,2,FALSE),""))</f>
        <v/>
      </c>
      <c r="AY43" s="147"/>
      <c r="AZ43" s="91"/>
    </row>
    <row r="44" spans="1:52" ht="15" customHeight="1" x14ac:dyDescent="0.3">
      <c r="A44" s="147"/>
      <c r="B44" s="66">
        <v>26</v>
      </c>
      <c r="C44" s="229" t="str">
        <f>IF('INPUT DATA'!K36="","",'INPUT DATA'!K36)</f>
        <v/>
      </c>
      <c r="D44" s="226"/>
      <c r="E44" s="22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
        <v/>
      </c>
      <c r="U44" s="185" t="str">
        <f t="shared" si="2"/>
        <v/>
      </c>
      <c r="V44" s="131"/>
      <c r="W44" s="127"/>
      <c r="X44" s="132"/>
      <c r="Y44" s="160" t="str">
        <f t="shared" si="3"/>
        <v/>
      </c>
      <c r="Z44" s="160" t="str">
        <f t="shared" si="16"/>
        <v/>
      </c>
      <c r="AA44" s="160" t="str">
        <f t="shared" si="17"/>
        <v/>
      </c>
      <c r="AB44" s="131"/>
      <c r="AC44" s="127"/>
      <c r="AD44" s="132"/>
      <c r="AE44" s="160" t="str">
        <f t="shared" si="4"/>
        <v/>
      </c>
      <c r="AF44" s="160" t="str">
        <f t="shared" si="18"/>
        <v/>
      </c>
      <c r="AG44" s="160" t="str">
        <f t="shared" si="19"/>
        <v/>
      </c>
      <c r="AH44" s="131"/>
      <c r="AI44" s="127"/>
      <c r="AJ44" s="132"/>
      <c r="AK44" s="177" t="str">
        <f t="shared" si="5"/>
        <v/>
      </c>
      <c r="AL44" s="160" t="str">
        <f t="shared" si="6"/>
        <v/>
      </c>
      <c r="AM44" s="160" t="str">
        <f t="shared" si="7"/>
        <v/>
      </c>
      <c r="AN44" s="131"/>
      <c r="AO44" s="127"/>
      <c r="AP44" s="132"/>
      <c r="AQ44" s="164" t="str">
        <f t="shared" si="8"/>
        <v/>
      </c>
      <c r="AR44" s="155" t="str">
        <f t="shared" si="9"/>
        <v/>
      </c>
      <c r="AS44" s="188" t="str">
        <f t="shared" si="10"/>
        <v/>
      </c>
      <c r="AT44" s="160" t="str">
        <f t="shared" si="11"/>
        <v/>
      </c>
      <c r="AU44" s="160" t="str">
        <f t="shared" si="12"/>
        <v/>
      </c>
      <c r="AV44" s="168" t="str">
        <f t="shared" si="20"/>
        <v/>
      </c>
      <c r="AW44" s="171" t="str">
        <f>IF(AV44="","",IFERROR(INDEX(HELPER!$D$8:$D$48,IF(AV44&gt;=HELPER!$B$8,1,MATCH(AV44,HELPER!$B$8:$B$48,-1)+1)),""))</f>
        <v/>
      </c>
      <c r="AX44" s="174" t="str">
        <f>IF(AW44="","",IFERROR(VLOOKUP(AW44,HELPER!$F$8:$G$48,2,FALSE),""))</f>
        <v/>
      </c>
      <c r="AY44" s="147"/>
      <c r="AZ44" s="91"/>
    </row>
    <row r="45" spans="1:52" ht="15" customHeight="1" x14ac:dyDescent="0.3">
      <c r="A45" s="147"/>
      <c r="B45" s="66">
        <v>27</v>
      </c>
      <c r="C45" s="229" t="str">
        <f>IF('INPUT DATA'!K37="","",'INPUT DATA'!K37)</f>
        <v/>
      </c>
      <c r="D45" s="226"/>
      <c r="E45" s="22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
        <v/>
      </c>
      <c r="U45" s="185" t="str">
        <f t="shared" si="2"/>
        <v/>
      </c>
      <c r="V45" s="131"/>
      <c r="W45" s="127"/>
      <c r="X45" s="132"/>
      <c r="Y45" s="160" t="str">
        <f t="shared" si="3"/>
        <v/>
      </c>
      <c r="Z45" s="160" t="str">
        <f t="shared" si="16"/>
        <v/>
      </c>
      <c r="AA45" s="160" t="str">
        <f t="shared" si="17"/>
        <v/>
      </c>
      <c r="AB45" s="131"/>
      <c r="AC45" s="127"/>
      <c r="AD45" s="132"/>
      <c r="AE45" s="160" t="str">
        <f t="shared" si="4"/>
        <v/>
      </c>
      <c r="AF45" s="160" t="str">
        <f t="shared" si="18"/>
        <v/>
      </c>
      <c r="AG45" s="160" t="str">
        <f t="shared" si="19"/>
        <v/>
      </c>
      <c r="AH45" s="131"/>
      <c r="AI45" s="127"/>
      <c r="AJ45" s="132"/>
      <c r="AK45" s="177" t="str">
        <f t="shared" si="5"/>
        <v/>
      </c>
      <c r="AL45" s="160" t="str">
        <f t="shared" si="6"/>
        <v/>
      </c>
      <c r="AM45" s="160" t="str">
        <f t="shared" si="7"/>
        <v/>
      </c>
      <c r="AN45" s="131"/>
      <c r="AO45" s="127"/>
      <c r="AP45" s="132"/>
      <c r="AQ45" s="164" t="str">
        <f t="shared" si="8"/>
        <v/>
      </c>
      <c r="AR45" s="155" t="str">
        <f t="shared" si="9"/>
        <v/>
      </c>
      <c r="AS45" s="188" t="str">
        <f t="shared" si="10"/>
        <v/>
      </c>
      <c r="AT45" s="160" t="str">
        <f t="shared" si="11"/>
        <v/>
      </c>
      <c r="AU45" s="160" t="str">
        <f t="shared" si="12"/>
        <v/>
      </c>
      <c r="AV45" s="168" t="str">
        <f t="shared" si="20"/>
        <v/>
      </c>
      <c r="AW45" s="171" t="str">
        <f>IF(AV45="","",IFERROR(INDEX(HELPER!$D$8:$D$48,IF(AV45&gt;=HELPER!$B$8,1,MATCH(AV45,HELPER!$B$8:$B$48,-1)+1)),""))</f>
        <v/>
      </c>
      <c r="AX45" s="174" t="str">
        <f>IF(AW45="","",IFERROR(VLOOKUP(AW45,HELPER!$F$8:$G$48,2,FALSE),""))</f>
        <v/>
      </c>
      <c r="AY45" s="147"/>
      <c r="AZ45" s="91"/>
    </row>
    <row r="46" spans="1:52" ht="15" customHeight="1" x14ac:dyDescent="0.3">
      <c r="A46" s="147"/>
      <c r="B46" s="66">
        <v>28</v>
      </c>
      <c r="C46" s="229" t="str">
        <f>IF('INPUT DATA'!K38="","",'INPUT DATA'!K38)</f>
        <v/>
      </c>
      <c r="D46" s="226"/>
      <c r="E46" s="22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
        <v/>
      </c>
      <c r="U46" s="185" t="str">
        <f t="shared" si="2"/>
        <v/>
      </c>
      <c r="V46" s="131"/>
      <c r="W46" s="127"/>
      <c r="X46" s="132"/>
      <c r="Y46" s="160" t="str">
        <f t="shared" si="3"/>
        <v/>
      </c>
      <c r="Z46" s="160" t="str">
        <f t="shared" si="16"/>
        <v/>
      </c>
      <c r="AA46" s="160" t="str">
        <f t="shared" si="17"/>
        <v/>
      </c>
      <c r="AB46" s="131"/>
      <c r="AC46" s="127"/>
      <c r="AD46" s="132"/>
      <c r="AE46" s="160" t="str">
        <f t="shared" si="4"/>
        <v/>
      </c>
      <c r="AF46" s="160" t="str">
        <f t="shared" si="18"/>
        <v/>
      </c>
      <c r="AG46" s="160" t="str">
        <f t="shared" si="19"/>
        <v/>
      </c>
      <c r="AH46" s="131"/>
      <c r="AI46" s="127"/>
      <c r="AJ46" s="132"/>
      <c r="AK46" s="177" t="str">
        <f t="shared" si="5"/>
        <v/>
      </c>
      <c r="AL46" s="160" t="str">
        <f t="shared" si="6"/>
        <v/>
      </c>
      <c r="AM46" s="160" t="str">
        <f t="shared" si="7"/>
        <v/>
      </c>
      <c r="AN46" s="131"/>
      <c r="AO46" s="127"/>
      <c r="AP46" s="132"/>
      <c r="AQ46" s="164" t="str">
        <f t="shared" si="8"/>
        <v/>
      </c>
      <c r="AR46" s="155" t="str">
        <f t="shared" si="9"/>
        <v/>
      </c>
      <c r="AS46" s="188" t="str">
        <f t="shared" si="10"/>
        <v/>
      </c>
      <c r="AT46" s="160" t="str">
        <f t="shared" si="11"/>
        <v/>
      </c>
      <c r="AU46" s="160" t="str">
        <f t="shared" si="12"/>
        <v/>
      </c>
      <c r="AV46" s="168" t="str">
        <f t="shared" si="20"/>
        <v/>
      </c>
      <c r="AW46" s="171" t="str">
        <f>IF(AV46="","",IFERROR(INDEX(HELPER!$D$8:$D$48,IF(AV46&gt;=HELPER!$B$8,1,MATCH(AV46,HELPER!$B$8:$B$48,-1)+1)),""))</f>
        <v/>
      </c>
      <c r="AX46" s="174" t="str">
        <f>IF(AW46="","",IFERROR(VLOOKUP(AW46,HELPER!$F$8:$G$48,2,FALSE),""))</f>
        <v/>
      </c>
      <c r="AY46" s="147"/>
      <c r="AZ46" s="91"/>
    </row>
    <row r="47" spans="1:52" ht="15" customHeight="1" x14ac:dyDescent="0.3">
      <c r="A47" s="147"/>
      <c r="B47" s="66">
        <v>29</v>
      </c>
      <c r="C47" s="229" t="str">
        <f>IF('INPUT DATA'!K39="","",'INPUT DATA'!K39)</f>
        <v/>
      </c>
      <c r="D47" s="226"/>
      <c r="E47" s="22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
        <v/>
      </c>
      <c r="U47" s="185" t="str">
        <f t="shared" si="2"/>
        <v/>
      </c>
      <c r="V47" s="131"/>
      <c r="W47" s="127"/>
      <c r="X47" s="132"/>
      <c r="Y47" s="160" t="str">
        <f t="shared" si="3"/>
        <v/>
      </c>
      <c r="Z47" s="160" t="str">
        <f t="shared" si="16"/>
        <v/>
      </c>
      <c r="AA47" s="160" t="str">
        <f t="shared" si="17"/>
        <v/>
      </c>
      <c r="AB47" s="131"/>
      <c r="AC47" s="127"/>
      <c r="AD47" s="132"/>
      <c r="AE47" s="160" t="str">
        <f t="shared" si="4"/>
        <v/>
      </c>
      <c r="AF47" s="160" t="str">
        <f t="shared" si="18"/>
        <v/>
      </c>
      <c r="AG47" s="160" t="str">
        <f t="shared" si="19"/>
        <v/>
      </c>
      <c r="AH47" s="131"/>
      <c r="AI47" s="127"/>
      <c r="AJ47" s="132"/>
      <c r="AK47" s="177" t="str">
        <f t="shared" si="5"/>
        <v/>
      </c>
      <c r="AL47" s="160" t="str">
        <f t="shared" si="6"/>
        <v/>
      </c>
      <c r="AM47" s="160" t="str">
        <f t="shared" si="7"/>
        <v/>
      </c>
      <c r="AN47" s="131"/>
      <c r="AO47" s="127"/>
      <c r="AP47" s="132"/>
      <c r="AQ47" s="164" t="str">
        <f t="shared" si="8"/>
        <v/>
      </c>
      <c r="AR47" s="155" t="str">
        <f t="shared" si="9"/>
        <v/>
      </c>
      <c r="AS47" s="188" t="str">
        <f t="shared" si="10"/>
        <v/>
      </c>
      <c r="AT47" s="160" t="str">
        <f t="shared" si="11"/>
        <v/>
      </c>
      <c r="AU47" s="160" t="str">
        <f t="shared" si="12"/>
        <v/>
      </c>
      <c r="AV47" s="168" t="str">
        <f t="shared" si="20"/>
        <v/>
      </c>
      <c r="AW47" s="171" t="str">
        <f>IF(AV47="","",IFERROR(INDEX(HELPER!$D$8:$D$48,IF(AV47&gt;=HELPER!$B$8,1,MATCH(AV47,HELPER!$B$8:$B$48,-1)+1)),""))</f>
        <v/>
      </c>
      <c r="AX47" s="174" t="str">
        <f>IF(AW47="","",IFERROR(VLOOKUP(AW47,HELPER!$F$8:$G$48,2,FALSE),""))</f>
        <v/>
      </c>
      <c r="AY47" s="147"/>
      <c r="AZ47" s="91"/>
    </row>
    <row r="48" spans="1:52" ht="15" customHeight="1" x14ac:dyDescent="0.3">
      <c r="A48" s="147"/>
      <c r="B48" s="66">
        <v>30</v>
      </c>
      <c r="C48" s="229" t="str">
        <f>IF('INPUT DATA'!K40="","",'INPUT DATA'!K40)</f>
        <v/>
      </c>
      <c r="D48" s="226"/>
      <c r="E48" s="22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
        <v/>
      </c>
      <c r="U48" s="185" t="str">
        <f t="shared" si="2"/>
        <v/>
      </c>
      <c r="V48" s="131"/>
      <c r="W48" s="127"/>
      <c r="X48" s="132"/>
      <c r="Y48" s="160" t="str">
        <f t="shared" si="3"/>
        <v/>
      </c>
      <c r="Z48" s="160" t="str">
        <f t="shared" si="16"/>
        <v/>
      </c>
      <c r="AA48" s="160" t="str">
        <f t="shared" si="17"/>
        <v/>
      </c>
      <c r="AB48" s="131"/>
      <c r="AC48" s="127"/>
      <c r="AD48" s="132"/>
      <c r="AE48" s="160" t="str">
        <f t="shared" si="4"/>
        <v/>
      </c>
      <c r="AF48" s="160" t="str">
        <f t="shared" si="18"/>
        <v/>
      </c>
      <c r="AG48" s="160" t="str">
        <f t="shared" si="19"/>
        <v/>
      </c>
      <c r="AH48" s="131"/>
      <c r="AI48" s="127"/>
      <c r="AJ48" s="132"/>
      <c r="AK48" s="177" t="str">
        <f t="shared" si="5"/>
        <v/>
      </c>
      <c r="AL48" s="160" t="str">
        <f t="shared" si="6"/>
        <v/>
      </c>
      <c r="AM48" s="160" t="str">
        <f t="shared" si="7"/>
        <v/>
      </c>
      <c r="AN48" s="131"/>
      <c r="AO48" s="127"/>
      <c r="AP48" s="132"/>
      <c r="AQ48" s="164" t="str">
        <f t="shared" si="8"/>
        <v/>
      </c>
      <c r="AR48" s="155" t="str">
        <f t="shared" si="9"/>
        <v/>
      </c>
      <c r="AS48" s="188" t="str">
        <f t="shared" si="10"/>
        <v/>
      </c>
      <c r="AT48" s="160" t="str">
        <f t="shared" si="11"/>
        <v/>
      </c>
      <c r="AU48" s="160" t="str">
        <f t="shared" si="12"/>
        <v/>
      </c>
      <c r="AV48" s="168" t="str">
        <f t="shared" si="20"/>
        <v/>
      </c>
      <c r="AW48" s="171" t="str">
        <f>IF(AV48="","",IFERROR(INDEX(HELPER!$D$8:$D$48,IF(AV48&gt;=HELPER!$B$8,1,MATCH(AV48,HELPER!$B$8:$B$48,-1)+1)),""))</f>
        <v/>
      </c>
      <c r="AX48" s="174" t="str">
        <f>IF(AW48="","",IFERROR(VLOOKUP(AW48,HELPER!$F$8:$G$48,2,FALSE),""))</f>
        <v/>
      </c>
      <c r="AY48" s="147"/>
      <c r="AZ48" s="91"/>
    </row>
    <row r="49" spans="1:52" ht="15" customHeight="1" x14ac:dyDescent="0.3">
      <c r="A49" s="147"/>
      <c r="B49" s="66">
        <v>31</v>
      </c>
      <c r="C49" s="229" t="str">
        <f>IF('INPUT DATA'!K41="","",'INPUT DATA'!K41)</f>
        <v/>
      </c>
      <c r="D49" s="226"/>
      <c r="E49" s="22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
        <v/>
      </c>
      <c r="U49" s="185" t="str">
        <f t="shared" si="2"/>
        <v/>
      </c>
      <c r="V49" s="131"/>
      <c r="W49" s="127"/>
      <c r="X49" s="132"/>
      <c r="Y49" s="160" t="str">
        <f t="shared" si="3"/>
        <v/>
      </c>
      <c r="Z49" s="160" t="str">
        <f t="shared" si="16"/>
        <v/>
      </c>
      <c r="AA49" s="160" t="str">
        <f t="shared" si="17"/>
        <v/>
      </c>
      <c r="AB49" s="131"/>
      <c r="AC49" s="127"/>
      <c r="AD49" s="132"/>
      <c r="AE49" s="160" t="str">
        <f t="shared" si="4"/>
        <v/>
      </c>
      <c r="AF49" s="160" t="str">
        <f t="shared" si="18"/>
        <v/>
      </c>
      <c r="AG49" s="160" t="str">
        <f t="shared" si="19"/>
        <v/>
      </c>
      <c r="AH49" s="131"/>
      <c r="AI49" s="127"/>
      <c r="AJ49" s="132"/>
      <c r="AK49" s="177" t="str">
        <f t="shared" si="5"/>
        <v/>
      </c>
      <c r="AL49" s="160" t="str">
        <f t="shared" si="6"/>
        <v/>
      </c>
      <c r="AM49" s="160" t="str">
        <f t="shared" si="7"/>
        <v/>
      </c>
      <c r="AN49" s="131"/>
      <c r="AO49" s="127"/>
      <c r="AP49" s="132"/>
      <c r="AQ49" s="164" t="str">
        <f t="shared" si="8"/>
        <v/>
      </c>
      <c r="AR49" s="155" t="str">
        <f t="shared" si="9"/>
        <v/>
      </c>
      <c r="AS49" s="188" t="str">
        <f t="shared" si="10"/>
        <v/>
      </c>
      <c r="AT49" s="160" t="str">
        <f t="shared" si="11"/>
        <v/>
      </c>
      <c r="AU49" s="160" t="str">
        <f t="shared" si="12"/>
        <v/>
      </c>
      <c r="AV49" s="168" t="str">
        <f t="shared" si="20"/>
        <v/>
      </c>
      <c r="AW49" s="171" t="str">
        <f>IF(AV49="","",IFERROR(INDEX(HELPER!$D$8:$D$48,IF(AV49&gt;=HELPER!$B$8,1,MATCH(AV49,HELPER!$B$8:$B$48,-1)+1)),""))</f>
        <v/>
      </c>
      <c r="AX49" s="174" t="str">
        <f>IF(AW49="","",IFERROR(VLOOKUP(AW49,HELPER!$F$8:$G$48,2,FALSE),""))</f>
        <v/>
      </c>
      <c r="AY49" s="147"/>
      <c r="AZ49" s="91"/>
    </row>
    <row r="50" spans="1:52" ht="15" customHeight="1" x14ac:dyDescent="0.3">
      <c r="A50" s="147"/>
      <c r="B50" s="66">
        <v>32</v>
      </c>
      <c r="C50" s="229" t="str">
        <f>IF('INPUT DATA'!K42="","",'INPUT DATA'!K42)</f>
        <v/>
      </c>
      <c r="D50" s="226"/>
      <c r="E50" s="22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
        <v/>
      </c>
      <c r="U50" s="185" t="str">
        <f t="shared" si="2"/>
        <v/>
      </c>
      <c r="V50" s="131"/>
      <c r="W50" s="127"/>
      <c r="X50" s="132"/>
      <c r="Y50" s="160" t="str">
        <f t="shared" si="3"/>
        <v/>
      </c>
      <c r="Z50" s="160" t="str">
        <f t="shared" si="16"/>
        <v/>
      </c>
      <c r="AA50" s="160" t="str">
        <f t="shared" si="17"/>
        <v/>
      </c>
      <c r="AB50" s="131"/>
      <c r="AC50" s="127"/>
      <c r="AD50" s="132"/>
      <c r="AE50" s="160" t="str">
        <f t="shared" si="4"/>
        <v/>
      </c>
      <c r="AF50" s="160" t="str">
        <f t="shared" si="18"/>
        <v/>
      </c>
      <c r="AG50" s="160" t="str">
        <f t="shared" si="19"/>
        <v/>
      </c>
      <c r="AH50" s="131"/>
      <c r="AI50" s="127"/>
      <c r="AJ50" s="132"/>
      <c r="AK50" s="177" t="str">
        <f t="shared" si="5"/>
        <v/>
      </c>
      <c r="AL50" s="160" t="str">
        <f t="shared" si="6"/>
        <v/>
      </c>
      <c r="AM50" s="160" t="str">
        <f t="shared" si="7"/>
        <v/>
      </c>
      <c r="AN50" s="131"/>
      <c r="AO50" s="127"/>
      <c r="AP50" s="132"/>
      <c r="AQ50" s="164" t="str">
        <f t="shared" si="8"/>
        <v/>
      </c>
      <c r="AR50" s="155" t="str">
        <f t="shared" si="9"/>
        <v/>
      </c>
      <c r="AS50" s="188" t="str">
        <f t="shared" si="10"/>
        <v/>
      </c>
      <c r="AT50" s="160" t="str">
        <f t="shared" si="11"/>
        <v/>
      </c>
      <c r="AU50" s="160" t="str">
        <f t="shared" si="12"/>
        <v/>
      </c>
      <c r="AV50" s="168" t="str">
        <f t="shared" si="20"/>
        <v/>
      </c>
      <c r="AW50" s="171" t="str">
        <f>IF(AV50="","",IFERROR(INDEX(HELPER!$D$8:$D$48,IF(AV50&gt;=HELPER!$B$8,1,MATCH(AV50,HELPER!$B$8:$B$48,-1)+1)),""))</f>
        <v/>
      </c>
      <c r="AX50" s="174" t="str">
        <f>IF(AW50="","",IFERROR(VLOOKUP(AW50,HELPER!$F$8:$G$48,2,FALSE),""))</f>
        <v/>
      </c>
      <c r="AY50" s="147"/>
      <c r="AZ50" s="91"/>
    </row>
    <row r="51" spans="1:52" ht="15" customHeight="1" x14ac:dyDescent="0.3">
      <c r="A51" s="147"/>
      <c r="B51" s="66">
        <v>33</v>
      </c>
      <c r="C51" s="229" t="str">
        <f>IF('INPUT DATA'!K43="","",'INPUT DATA'!K43)</f>
        <v/>
      </c>
      <c r="D51" s="226"/>
      <c r="E51" s="22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
        <v/>
      </c>
      <c r="U51" s="185" t="str">
        <f t="shared" si="2"/>
        <v/>
      </c>
      <c r="V51" s="131"/>
      <c r="W51" s="127"/>
      <c r="X51" s="132"/>
      <c r="Y51" s="160" t="str">
        <f t="shared" si="3"/>
        <v/>
      </c>
      <c r="Z51" s="160" t="str">
        <f t="shared" si="16"/>
        <v/>
      </c>
      <c r="AA51" s="160" t="str">
        <f t="shared" si="17"/>
        <v/>
      </c>
      <c r="AB51" s="131"/>
      <c r="AC51" s="127"/>
      <c r="AD51" s="132"/>
      <c r="AE51" s="160" t="str">
        <f t="shared" si="4"/>
        <v/>
      </c>
      <c r="AF51" s="160" t="str">
        <f t="shared" si="18"/>
        <v/>
      </c>
      <c r="AG51" s="160" t="str">
        <f t="shared" si="19"/>
        <v/>
      </c>
      <c r="AH51" s="131"/>
      <c r="AI51" s="127"/>
      <c r="AJ51" s="132"/>
      <c r="AK51" s="177" t="str">
        <f t="shared" si="5"/>
        <v/>
      </c>
      <c r="AL51" s="160" t="str">
        <f t="shared" si="6"/>
        <v/>
      </c>
      <c r="AM51" s="160" t="str">
        <f t="shared" si="7"/>
        <v/>
      </c>
      <c r="AN51" s="131"/>
      <c r="AO51" s="127"/>
      <c r="AP51" s="132"/>
      <c r="AQ51" s="164" t="str">
        <f t="shared" si="8"/>
        <v/>
      </c>
      <c r="AR51" s="155" t="str">
        <f t="shared" si="9"/>
        <v/>
      </c>
      <c r="AS51" s="188" t="str">
        <f t="shared" si="10"/>
        <v/>
      </c>
      <c r="AT51" s="160" t="str">
        <f t="shared" si="11"/>
        <v/>
      </c>
      <c r="AU51" s="160" t="str">
        <f t="shared" si="12"/>
        <v/>
      </c>
      <c r="AV51" s="168" t="str">
        <f t="shared" si="20"/>
        <v/>
      </c>
      <c r="AW51" s="171" t="str">
        <f>IF(AV51="","",IFERROR(INDEX(HELPER!$D$8:$D$48,IF(AV51&gt;=HELPER!$B$8,1,MATCH(AV51,HELPER!$B$8:$B$48,-1)+1)),""))</f>
        <v/>
      </c>
      <c r="AX51" s="174" t="str">
        <f>IF(AW51="","",IFERROR(VLOOKUP(AW51,HELPER!$F$8:$G$48,2,FALSE),""))</f>
        <v/>
      </c>
      <c r="AY51" s="147"/>
      <c r="AZ51" s="91"/>
    </row>
    <row r="52" spans="1:52" ht="15" customHeight="1" x14ac:dyDescent="0.3">
      <c r="A52" s="147"/>
      <c r="B52" s="66">
        <v>34</v>
      </c>
      <c r="C52" s="229" t="str">
        <f>IF('INPUT DATA'!K44="","",'INPUT DATA'!K44)</f>
        <v/>
      </c>
      <c r="D52" s="226"/>
      <c r="E52" s="22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
        <v/>
      </c>
      <c r="U52" s="185" t="str">
        <f t="shared" si="2"/>
        <v/>
      </c>
      <c r="V52" s="131"/>
      <c r="W52" s="127"/>
      <c r="X52" s="132"/>
      <c r="Y52" s="160" t="str">
        <f t="shared" si="3"/>
        <v/>
      </c>
      <c r="Z52" s="160" t="str">
        <f t="shared" si="16"/>
        <v/>
      </c>
      <c r="AA52" s="160" t="str">
        <f t="shared" si="17"/>
        <v/>
      </c>
      <c r="AB52" s="131"/>
      <c r="AC52" s="127"/>
      <c r="AD52" s="132"/>
      <c r="AE52" s="160" t="str">
        <f t="shared" si="4"/>
        <v/>
      </c>
      <c r="AF52" s="160" t="str">
        <f t="shared" si="18"/>
        <v/>
      </c>
      <c r="AG52" s="160" t="str">
        <f t="shared" si="19"/>
        <v/>
      </c>
      <c r="AH52" s="131"/>
      <c r="AI52" s="127"/>
      <c r="AJ52" s="132"/>
      <c r="AK52" s="177" t="str">
        <f t="shared" si="5"/>
        <v/>
      </c>
      <c r="AL52" s="160" t="str">
        <f t="shared" si="6"/>
        <v/>
      </c>
      <c r="AM52" s="160" t="str">
        <f t="shared" si="7"/>
        <v/>
      </c>
      <c r="AN52" s="131"/>
      <c r="AO52" s="127"/>
      <c r="AP52" s="132"/>
      <c r="AQ52" s="164" t="str">
        <f t="shared" si="8"/>
        <v/>
      </c>
      <c r="AR52" s="155" t="str">
        <f t="shared" si="9"/>
        <v/>
      </c>
      <c r="AS52" s="188" t="str">
        <f t="shared" si="10"/>
        <v/>
      </c>
      <c r="AT52" s="160" t="str">
        <f t="shared" si="11"/>
        <v/>
      </c>
      <c r="AU52" s="160" t="str">
        <f t="shared" si="12"/>
        <v/>
      </c>
      <c r="AV52" s="168" t="str">
        <f t="shared" si="20"/>
        <v/>
      </c>
      <c r="AW52" s="171" t="str">
        <f>IF(AV52="","",IFERROR(INDEX(HELPER!$D$8:$D$48,IF(AV52&gt;=HELPER!$B$8,1,MATCH(AV52,HELPER!$B$8:$B$48,-1)+1)),""))</f>
        <v/>
      </c>
      <c r="AX52" s="174" t="str">
        <f>IF(AW52="","",IFERROR(VLOOKUP(AW52,HELPER!$F$8:$G$48,2,FALSE),""))</f>
        <v/>
      </c>
      <c r="AY52" s="147"/>
      <c r="AZ52" s="91"/>
    </row>
    <row r="53" spans="1:52" ht="15" customHeight="1" x14ac:dyDescent="0.3">
      <c r="A53" s="147"/>
      <c r="B53" s="66">
        <v>35</v>
      </c>
      <c r="C53" s="229" t="str">
        <f>IF('INPUT DATA'!K45="","",'INPUT DATA'!K45)</f>
        <v/>
      </c>
      <c r="D53" s="226"/>
      <c r="E53" s="22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
        <v/>
      </c>
      <c r="U53" s="185" t="str">
        <f t="shared" si="2"/>
        <v/>
      </c>
      <c r="V53" s="131"/>
      <c r="W53" s="127"/>
      <c r="X53" s="132"/>
      <c r="Y53" s="160" t="str">
        <f t="shared" si="3"/>
        <v/>
      </c>
      <c r="Z53" s="160" t="str">
        <f t="shared" si="16"/>
        <v/>
      </c>
      <c r="AA53" s="160" t="str">
        <f t="shared" si="17"/>
        <v/>
      </c>
      <c r="AB53" s="131"/>
      <c r="AC53" s="127"/>
      <c r="AD53" s="132"/>
      <c r="AE53" s="160" t="str">
        <f t="shared" si="4"/>
        <v/>
      </c>
      <c r="AF53" s="160" t="str">
        <f t="shared" si="18"/>
        <v/>
      </c>
      <c r="AG53" s="160" t="str">
        <f t="shared" si="19"/>
        <v/>
      </c>
      <c r="AH53" s="131"/>
      <c r="AI53" s="127"/>
      <c r="AJ53" s="132"/>
      <c r="AK53" s="177" t="str">
        <f t="shared" si="5"/>
        <v/>
      </c>
      <c r="AL53" s="160" t="str">
        <f t="shared" si="6"/>
        <v/>
      </c>
      <c r="AM53" s="160" t="str">
        <f t="shared" si="7"/>
        <v/>
      </c>
      <c r="AN53" s="131"/>
      <c r="AO53" s="127"/>
      <c r="AP53" s="132"/>
      <c r="AQ53" s="164" t="str">
        <f t="shared" si="8"/>
        <v/>
      </c>
      <c r="AR53" s="155" t="str">
        <f t="shared" si="9"/>
        <v/>
      </c>
      <c r="AS53" s="188" t="str">
        <f t="shared" si="10"/>
        <v/>
      </c>
      <c r="AT53" s="160" t="str">
        <f t="shared" si="11"/>
        <v/>
      </c>
      <c r="AU53" s="160" t="str">
        <f t="shared" si="12"/>
        <v/>
      </c>
      <c r="AV53" s="168" t="str">
        <f t="shared" si="20"/>
        <v/>
      </c>
      <c r="AW53" s="171" t="str">
        <f>IF(AV53="","",IFERROR(INDEX(HELPER!$D$8:$D$48,IF(AV53&gt;=HELPER!$B$8,1,MATCH(AV53,HELPER!$B$8:$B$48,-1)+1)),""))</f>
        <v/>
      </c>
      <c r="AX53" s="174" t="str">
        <f>IF(AW53="","",IFERROR(VLOOKUP(AW53,HELPER!$F$8:$G$48,2,FALSE),""))</f>
        <v/>
      </c>
      <c r="AY53" s="147"/>
      <c r="AZ53" s="91"/>
    </row>
    <row r="54" spans="1:52" ht="15" customHeight="1" x14ac:dyDescent="0.3">
      <c r="A54" s="147"/>
      <c r="B54" s="66">
        <v>36</v>
      </c>
      <c r="C54" s="229" t="str">
        <f>IF('INPUT DATA'!K46="","",'INPUT DATA'!K46)</f>
        <v/>
      </c>
      <c r="D54" s="226"/>
      <c r="E54" s="22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
        <v/>
      </c>
      <c r="U54" s="185" t="str">
        <f t="shared" si="2"/>
        <v/>
      </c>
      <c r="V54" s="131"/>
      <c r="W54" s="127"/>
      <c r="X54" s="132"/>
      <c r="Y54" s="160" t="str">
        <f t="shared" si="3"/>
        <v/>
      </c>
      <c r="Z54" s="160" t="str">
        <f t="shared" si="16"/>
        <v/>
      </c>
      <c r="AA54" s="160" t="str">
        <f t="shared" si="17"/>
        <v/>
      </c>
      <c r="AB54" s="131"/>
      <c r="AC54" s="127"/>
      <c r="AD54" s="132"/>
      <c r="AE54" s="160" t="str">
        <f t="shared" si="4"/>
        <v/>
      </c>
      <c r="AF54" s="160" t="str">
        <f t="shared" si="18"/>
        <v/>
      </c>
      <c r="AG54" s="160" t="str">
        <f t="shared" si="19"/>
        <v/>
      </c>
      <c r="AH54" s="131"/>
      <c r="AI54" s="127"/>
      <c r="AJ54" s="132"/>
      <c r="AK54" s="177" t="str">
        <f t="shared" si="5"/>
        <v/>
      </c>
      <c r="AL54" s="160" t="str">
        <f t="shared" si="6"/>
        <v/>
      </c>
      <c r="AM54" s="160" t="str">
        <f t="shared" si="7"/>
        <v/>
      </c>
      <c r="AN54" s="131"/>
      <c r="AO54" s="127"/>
      <c r="AP54" s="132"/>
      <c r="AQ54" s="164" t="str">
        <f t="shared" si="8"/>
        <v/>
      </c>
      <c r="AR54" s="155" t="str">
        <f t="shared" si="9"/>
        <v/>
      </c>
      <c r="AS54" s="188" t="str">
        <f t="shared" si="10"/>
        <v/>
      </c>
      <c r="AT54" s="160" t="str">
        <f t="shared" si="11"/>
        <v/>
      </c>
      <c r="AU54" s="160" t="str">
        <f t="shared" si="12"/>
        <v/>
      </c>
      <c r="AV54" s="168" t="str">
        <f t="shared" si="20"/>
        <v/>
      </c>
      <c r="AW54" s="171" t="str">
        <f>IF(AV54="","",IFERROR(INDEX(HELPER!$D$8:$D$48,IF(AV54&gt;=HELPER!$B$8,1,MATCH(AV54,HELPER!$B$8:$B$48,-1)+1)),""))</f>
        <v/>
      </c>
      <c r="AX54" s="174" t="str">
        <f>IF(AW54="","",IFERROR(VLOOKUP(AW54,HELPER!$F$8:$G$48,2,FALSE),""))</f>
        <v/>
      </c>
      <c r="AY54" s="147"/>
      <c r="AZ54" s="91"/>
    </row>
    <row r="55" spans="1:52" ht="15" customHeight="1" x14ac:dyDescent="0.3">
      <c r="A55" s="147"/>
      <c r="B55" s="66">
        <v>37</v>
      </c>
      <c r="C55" s="229" t="str">
        <f>IF('INPUT DATA'!K47="","",'INPUT DATA'!K47)</f>
        <v/>
      </c>
      <c r="D55" s="226"/>
      <c r="E55" s="22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
        <v/>
      </c>
      <c r="U55" s="185" t="str">
        <f t="shared" si="2"/>
        <v/>
      </c>
      <c r="V55" s="131"/>
      <c r="W55" s="127"/>
      <c r="X55" s="132"/>
      <c r="Y55" s="160" t="str">
        <f t="shared" si="3"/>
        <v/>
      </c>
      <c r="Z55" s="160" t="str">
        <f t="shared" si="16"/>
        <v/>
      </c>
      <c r="AA55" s="160" t="str">
        <f t="shared" si="17"/>
        <v/>
      </c>
      <c r="AB55" s="131"/>
      <c r="AC55" s="127"/>
      <c r="AD55" s="132"/>
      <c r="AE55" s="160" t="str">
        <f t="shared" si="4"/>
        <v/>
      </c>
      <c r="AF55" s="160" t="str">
        <f t="shared" si="18"/>
        <v/>
      </c>
      <c r="AG55" s="160" t="str">
        <f t="shared" si="19"/>
        <v/>
      </c>
      <c r="AH55" s="131"/>
      <c r="AI55" s="127"/>
      <c r="AJ55" s="132"/>
      <c r="AK55" s="177" t="str">
        <f t="shared" si="5"/>
        <v/>
      </c>
      <c r="AL55" s="160" t="str">
        <f t="shared" si="6"/>
        <v/>
      </c>
      <c r="AM55" s="160" t="str">
        <f t="shared" si="7"/>
        <v/>
      </c>
      <c r="AN55" s="131"/>
      <c r="AO55" s="127"/>
      <c r="AP55" s="132"/>
      <c r="AQ55" s="164" t="str">
        <f t="shared" si="8"/>
        <v/>
      </c>
      <c r="AR55" s="155" t="str">
        <f t="shared" si="9"/>
        <v/>
      </c>
      <c r="AS55" s="188" t="str">
        <f t="shared" si="10"/>
        <v/>
      </c>
      <c r="AT55" s="160" t="str">
        <f t="shared" si="11"/>
        <v/>
      </c>
      <c r="AU55" s="160" t="str">
        <f t="shared" si="12"/>
        <v/>
      </c>
      <c r="AV55" s="168" t="str">
        <f t="shared" si="20"/>
        <v/>
      </c>
      <c r="AW55" s="171" t="str">
        <f>IF(AV55="","",IFERROR(INDEX(HELPER!$D$8:$D$48,IF(AV55&gt;=HELPER!$B$8,1,MATCH(AV55,HELPER!$B$8:$B$48,-1)+1)),""))</f>
        <v/>
      </c>
      <c r="AX55" s="174" t="str">
        <f>IF(AW55="","",IFERROR(VLOOKUP(AW55,HELPER!$F$8:$G$48,2,FALSE),""))</f>
        <v/>
      </c>
      <c r="AY55" s="147"/>
      <c r="AZ55" s="91"/>
    </row>
    <row r="56" spans="1:52" ht="15" customHeight="1" x14ac:dyDescent="0.3">
      <c r="A56" s="147"/>
      <c r="B56" s="66">
        <v>38</v>
      </c>
      <c r="C56" s="229" t="str">
        <f>IF('INPUT DATA'!K48="","",'INPUT DATA'!K48)</f>
        <v/>
      </c>
      <c r="D56" s="226"/>
      <c r="E56" s="22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
        <v/>
      </c>
      <c r="U56" s="185" t="str">
        <f t="shared" si="2"/>
        <v/>
      </c>
      <c r="V56" s="131"/>
      <c r="W56" s="127"/>
      <c r="X56" s="132"/>
      <c r="Y56" s="160" t="str">
        <f t="shared" si="3"/>
        <v/>
      </c>
      <c r="Z56" s="160" t="str">
        <f t="shared" si="16"/>
        <v/>
      </c>
      <c r="AA56" s="160" t="str">
        <f t="shared" si="17"/>
        <v/>
      </c>
      <c r="AB56" s="131"/>
      <c r="AC56" s="127"/>
      <c r="AD56" s="132"/>
      <c r="AE56" s="160" t="str">
        <f t="shared" si="4"/>
        <v/>
      </c>
      <c r="AF56" s="160" t="str">
        <f t="shared" si="18"/>
        <v/>
      </c>
      <c r="AG56" s="160" t="str">
        <f t="shared" si="19"/>
        <v/>
      </c>
      <c r="AH56" s="131"/>
      <c r="AI56" s="127"/>
      <c r="AJ56" s="132"/>
      <c r="AK56" s="177" t="str">
        <f t="shared" si="5"/>
        <v/>
      </c>
      <c r="AL56" s="160" t="str">
        <f t="shared" si="6"/>
        <v/>
      </c>
      <c r="AM56" s="160" t="str">
        <f t="shared" si="7"/>
        <v/>
      </c>
      <c r="AN56" s="131"/>
      <c r="AO56" s="127"/>
      <c r="AP56" s="132"/>
      <c r="AQ56" s="164" t="str">
        <f t="shared" si="8"/>
        <v/>
      </c>
      <c r="AR56" s="155" t="str">
        <f t="shared" si="9"/>
        <v/>
      </c>
      <c r="AS56" s="188" t="str">
        <f t="shared" si="10"/>
        <v/>
      </c>
      <c r="AT56" s="160" t="str">
        <f t="shared" si="11"/>
        <v/>
      </c>
      <c r="AU56" s="160" t="str">
        <f t="shared" si="12"/>
        <v/>
      </c>
      <c r="AV56" s="168" t="str">
        <f t="shared" si="20"/>
        <v/>
      </c>
      <c r="AW56" s="171" t="str">
        <f>IF(AV56="","",IFERROR(INDEX(HELPER!$D$8:$D$48,IF(AV56&gt;=HELPER!$B$8,1,MATCH(AV56,HELPER!$B$8:$B$48,-1)+1)),""))</f>
        <v/>
      </c>
      <c r="AX56" s="174" t="str">
        <f>IF(AW56="","",IFERROR(VLOOKUP(AW56,HELPER!$F$8:$G$48,2,FALSE),""))</f>
        <v/>
      </c>
      <c r="AY56" s="147"/>
      <c r="AZ56" s="91"/>
    </row>
    <row r="57" spans="1:52" ht="15" customHeight="1" x14ac:dyDescent="0.3">
      <c r="A57" s="147"/>
      <c r="B57" s="66">
        <v>39</v>
      </c>
      <c r="C57" s="229" t="str">
        <f>IF('INPUT DATA'!K49="","",'INPUT DATA'!K49)</f>
        <v/>
      </c>
      <c r="D57" s="226"/>
      <c r="E57" s="22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
        <v/>
      </c>
      <c r="U57" s="185" t="str">
        <f t="shared" si="2"/>
        <v/>
      </c>
      <c r="V57" s="131"/>
      <c r="W57" s="127"/>
      <c r="X57" s="132"/>
      <c r="Y57" s="160" t="str">
        <f t="shared" si="3"/>
        <v/>
      </c>
      <c r="Z57" s="160" t="str">
        <f t="shared" si="16"/>
        <v/>
      </c>
      <c r="AA57" s="160" t="str">
        <f t="shared" si="17"/>
        <v/>
      </c>
      <c r="AB57" s="131"/>
      <c r="AC57" s="127"/>
      <c r="AD57" s="132"/>
      <c r="AE57" s="160" t="str">
        <f t="shared" si="4"/>
        <v/>
      </c>
      <c r="AF57" s="160" t="str">
        <f t="shared" si="18"/>
        <v/>
      </c>
      <c r="AG57" s="160" t="str">
        <f t="shared" si="19"/>
        <v/>
      </c>
      <c r="AH57" s="131"/>
      <c r="AI57" s="127"/>
      <c r="AJ57" s="132"/>
      <c r="AK57" s="177" t="str">
        <f t="shared" si="5"/>
        <v/>
      </c>
      <c r="AL57" s="160" t="str">
        <f t="shared" si="6"/>
        <v/>
      </c>
      <c r="AM57" s="160" t="str">
        <f t="shared" si="7"/>
        <v/>
      </c>
      <c r="AN57" s="131"/>
      <c r="AO57" s="127"/>
      <c r="AP57" s="132"/>
      <c r="AQ57" s="164" t="str">
        <f t="shared" si="8"/>
        <v/>
      </c>
      <c r="AR57" s="155" t="str">
        <f t="shared" si="9"/>
        <v/>
      </c>
      <c r="AS57" s="188" t="str">
        <f t="shared" si="10"/>
        <v/>
      </c>
      <c r="AT57" s="160" t="str">
        <f t="shared" si="11"/>
        <v/>
      </c>
      <c r="AU57" s="160" t="str">
        <f t="shared" si="12"/>
        <v/>
      </c>
      <c r="AV57" s="168" t="str">
        <f t="shared" si="20"/>
        <v/>
      </c>
      <c r="AW57" s="171" t="str">
        <f>IF(AV57="","",IFERROR(INDEX(HELPER!$D$8:$D$48,IF(AV57&gt;=HELPER!$B$8,1,MATCH(AV57,HELPER!$B$8:$B$48,-1)+1)),""))</f>
        <v/>
      </c>
      <c r="AX57" s="174" t="str">
        <f>IF(AW57="","",IFERROR(VLOOKUP(AW57,HELPER!$F$8:$G$48,2,FALSE),""))</f>
        <v/>
      </c>
      <c r="AY57" s="147"/>
      <c r="AZ57" s="91"/>
    </row>
    <row r="58" spans="1:52" ht="15" customHeight="1" x14ac:dyDescent="0.3">
      <c r="A58" s="147"/>
      <c r="B58" s="66">
        <v>40</v>
      </c>
      <c r="C58" s="229" t="str">
        <f>IF('INPUT DATA'!K50="","",'INPUT DATA'!K50)</f>
        <v/>
      </c>
      <c r="D58" s="226"/>
      <c r="E58" s="22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
        <v/>
      </c>
      <c r="U58" s="185" t="str">
        <f t="shared" si="2"/>
        <v/>
      </c>
      <c r="V58" s="131"/>
      <c r="W58" s="127"/>
      <c r="X58" s="132"/>
      <c r="Y58" s="160" t="str">
        <f t="shared" si="3"/>
        <v/>
      </c>
      <c r="Z58" s="160" t="str">
        <f t="shared" si="16"/>
        <v/>
      </c>
      <c r="AA58" s="160" t="str">
        <f t="shared" si="17"/>
        <v/>
      </c>
      <c r="AB58" s="131"/>
      <c r="AC58" s="127"/>
      <c r="AD58" s="132"/>
      <c r="AE58" s="160" t="str">
        <f t="shared" si="4"/>
        <v/>
      </c>
      <c r="AF58" s="160" t="str">
        <f t="shared" si="18"/>
        <v/>
      </c>
      <c r="AG58" s="160" t="str">
        <f t="shared" si="19"/>
        <v/>
      </c>
      <c r="AH58" s="131"/>
      <c r="AI58" s="127"/>
      <c r="AJ58" s="132"/>
      <c r="AK58" s="177" t="str">
        <f t="shared" si="5"/>
        <v/>
      </c>
      <c r="AL58" s="160" t="str">
        <f t="shared" si="6"/>
        <v/>
      </c>
      <c r="AM58" s="160" t="str">
        <f t="shared" si="7"/>
        <v/>
      </c>
      <c r="AN58" s="131"/>
      <c r="AO58" s="127"/>
      <c r="AP58" s="132"/>
      <c r="AQ58" s="164" t="str">
        <f t="shared" si="8"/>
        <v/>
      </c>
      <c r="AR58" s="155" t="str">
        <f t="shared" si="9"/>
        <v/>
      </c>
      <c r="AS58" s="188" t="str">
        <f t="shared" si="10"/>
        <v/>
      </c>
      <c r="AT58" s="160" t="str">
        <f t="shared" si="11"/>
        <v/>
      </c>
      <c r="AU58" s="160" t="str">
        <f t="shared" si="12"/>
        <v/>
      </c>
      <c r="AV58" s="168" t="str">
        <f t="shared" si="20"/>
        <v/>
      </c>
      <c r="AW58" s="171" t="str">
        <f>IF(AV58="","",IFERROR(INDEX(HELPER!$D$8:$D$48,IF(AV58&gt;=HELPER!$B$8,1,MATCH(AV58,HELPER!$B$8:$B$48,-1)+1)),""))</f>
        <v/>
      </c>
      <c r="AX58" s="174" t="str">
        <f>IF(AW58="","",IFERROR(VLOOKUP(AW58,HELPER!$F$8:$G$48,2,FALSE),""))</f>
        <v/>
      </c>
      <c r="AY58" s="147"/>
      <c r="AZ58" s="91"/>
    </row>
    <row r="59" spans="1:52" ht="15" customHeight="1" x14ac:dyDescent="0.3">
      <c r="A59" s="147"/>
      <c r="B59" s="66">
        <v>41</v>
      </c>
      <c r="C59" s="229" t="str">
        <f>IF('INPUT DATA'!K51="","",'INPUT DATA'!K51)</f>
        <v/>
      </c>
      <c r="D59" s="226"/>
      <c r="E59" s="22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
        <v/>
      </c>
      <c r="U59" s="185" t="str">
        <f t="shared" si="2"/>
        <v/>
      </c>
      <c r="V59" s="131"/>
      <c r="W59" s="127"/>
      <c r="X59" s="132"/>
      <c r="Y59" s="160" t="str">
        <f t="shared" si="3"/>
        <v/>
      </c>
      <c r="Z59" s="160" t="str">
        <f t="shared" si="16"/>
        <v/>
      </c>
      <c r="AA59" s="160" t="str">
        <f t="shared" si="17"/>
        <v/>
      </c>
      <c r="AB59" s="131"/>
      <c r="AC59" s="127"/>
      <c r="AD59" s="132"/>
      <c r="AE59" s="160" t="str">
        <f t="shared" si="4"/>
        <v/>
      </c>
      <c r="AF59" s="160" t="str">
        <f t="shared" si="18"/>
        <v/>
      </c>
      <c r="AG59" s="160" t="str">
        <f t="shared" si="19"/>
        <v/>
      </c>
      <c r="AH59" s="131"/>
      <c r="AI59" s="127"/>
      <c r="AJ59" s="132"/>
      <c r="AK59" s="177" t="str">
        <f t="shared" si="5"/>
        <v/>
      </c>
      <c r="AL59" s="160" t="str">
        <f t="shared" si="6"/>
        <v/>
      </c>
      <c r="AM59" s="160" t="str">
        <f t="shared" si="7"/>
        <v/>
      </c>
      <c r="AN59" s="131"/>
      <c r="AO59" s="127"/>
      <c r="AP59" s="132"/>
      <c r="AQ59" s="164" t="str">
        <f t="shared" si="8"/>
        <v/>
      </c>
      <c r="AR59" s="155" t="str">
        <f t="shared" si="9"/>
        <v/>
      </c>
      <c r="AS59" s="188" t="str">
        <f t="shared" si="10"/>
        <v/>
      </c>
      <c r="AT59" s="160" t="str">
        <f t="shared" si="11"/>
        <v/>
      </c>
      <c r="AU59" s="160" t="str">
        <f t="shared" si="12"/>
        <v/>
      </c>
      <c r="AV59" s="168" t="str">
        <f t="shared" si="20"/>
        <v/>
      </c>
      <c r="AW59" s="171" t="str">
        <f>IF(AV59="","",IFERROR(INDEX(HELPER!$D$8:$D$48,IF(AV59&gt;=HELPER!$B$8,1,MATCH(AV59,HELPER!$B$8:$B$48,-1)+1)),""))</f>
        <v/>
      </c>
      <c r="AX59" s="174" t="str">
        <f>IF(AW59="","",IFERROR(VLOOKUP(AW59,HELPER!$F$8:$G$48,2,FALSE),""))</f>
        <v/>
      </c>
      <c r="AY59" s="147"/>
      <c r="AZ59" s="91"/>
    </row>
    <row r="60" spans="1:52" ht="15" customHeight="1" x14ac:dyDescent="0.3">
      <c r="A60" s="147"/>
      <c r="B60" s="66">
        <v>42</v>
      </c>
      <c r="C60" s="229" t="str">
        <f>IF('INPUT DATA'!K52="","",'INPUT DATA'!K52)</f>
        <v/>
      </c>
      <c r="D60" s="226"/>
      <c r="E60" s="22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
        <v/>
      </c>
      <c r="U60" s="185" t="str">
        <f t="shared" si="2"/>
        <v/>
      </c>
      <c r="V60" s="131"/>
      <c r="W60" s="127"/>
      <c r="X60" s="132"/>
      <c r="Y60" s="160" t="str">
        <f t="shared" si="3"/>
        <v/>
      </c>
      <c r="Z60" s="160" t="str">
        <f t="shared" si="16"/>
        <v/>
      </c>
      <c r="AA60" s="160" t="str">
        <f t="shared" si="17"/>
        <v/>
      </c>
      <c r="AB60" s="131"/>
      <c r="AC60" s="127"/>
      <c r="AD60" s="132"/>
      <c r="AE60" s="160" t="str">
        <f t="shared" si="4"/>
        <v/>
      </c>
      <c r="AF60" s="160" t="str">
        <f t="shared" si="18"/>
        <v/>
      </c>
      <c r="AG60" s="160" t="str">
        <f t="shared" si="19"/>
        <v/>
      </c>
      <c r="AH60" s="131"/>
      <c r="AI60" s="127"/>
      <c r="AJ60" s="132"/>
      <c r="AK60" s="177" t="str">
        <f t="shared" si="5"/>
        <v/>
      </c>
      <c r="AL60" s="160" t="str">
        <f t="shared" si="6"/>
        <v/>
      </c>
      <c r="AM60" s="160" t="str">
        <f t="shared" si="7"/>
        <v/>
      </c>
      <c r="AN60" s="131"/>
      <c r="AO60" s="127"/>
      <c r="AP60" s="132"/>
      <c r="AQ60" s="164" t="str">
        <f t="shared" si="8"/>
        <v/>
      </c>
      <c r="AR60" s="155" t="str">
        <f t="shared" si="9"/>
        <v/>
      </c>
      <c r="AS60" s="188" t="str">
        <f t="shared" si="10"/>
        <v/>
      </c>
      <c r="AT60" s="160" t="str">
        <f t="shared" si="11"/>
        <v/>
      </c>
      <c r="AU60" s="160" t="str">
        <f t="shared" si="12"/>
        <v/>
      </c>
      <c r="AV60" s="168" t="str">
        <f t="shared" si="20"/>
        <v/>
      </c>
      <c r="AW60" s="171" t="str">
        <f>IF(AV60="","",IFERROR(INDEX(HELPER!$D$8:$D$48,IF(AV60&gt;=HELPER!$B$8,1,MATCH(AV60,HELPER!$B$8:$B$48,-1)+1)),""))</f>
        <v/>
      </c>
      <c r="AX60" s="174" t="str">
        <f>IF(AW60="","",IFERROR(VLOOKUP(AW60,HELPER!$F$8:$G$48,2,FALSE),""))</f>
        <v/>
      </c>
      <c r="AY60" s="147"/>
      <c r="AZ60" s="91"/>
    </row>
    <row r="61" spans="1:52" ht="15" customHeight="1" x14ac:dyDescent="0.3">
      <c r="A61" s="147"/>
      <c r="B61" s="66">
        <v>43</v>
      </c>
      <c r="C61" s="229" t="str">
        <f>IF('INPUT DATA'!K53="","",'INPUT DATA'!K53)</f>
        <v/>
      </c>
      <c r="D61" s="226"/>
      <c r="E61" s="22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
        <v/>
      </c>
      <c r="U61" s="185" t="str">
        <f t="shared" si="2"/>
        <v/>
      </c>
      <c r="V61" s="131"/>
      <c r="W61" s="127"/>
      <c r="X61" s="132"/>
      <c r="Y61" s="160" t="str">
        <f t="shared" si="3"/>
        <v/>
      </c>
      <c r="Z61" s="160" t="str">
        <f t="shared" si="16"/>
        <v/>
      </c>
      <c r="AA61" s="160" t="str">
        <f t="shared" si="17"/>
        <v/>
      </c>
      <c r="AB61" s="131"/>
      <c r="AC61" s="127"/>
      <c r="AD61" s="132"/>
      <c r="AE61" s="160" t="str">
        <f t="shared" si="4"/>
        <v/>
      </c>
      <c r="AF61" s="160" t="str">
        <f t="shared" si="18"/>
        <v/>
      </c>
      <c r="AG61" s="160" t="str">
        <f t="shared" si="19"/>
        <v/>
      </c>
      <c r="AH61" s="131"/>
      <c r="AI61" s="127"/>
      <c r="AJ61" s="132"/>
      <c r="AK61" s="177" t="str">
        <f t="shared" si="5"/>
        <v/>
      </c>
      <c r="AL61" s="160" t="str">
        <f t="shared" si="6"/>
        <v/>
      </c>
      <c r="AM61" s="160" t="str">
        <f t="shared" si="7"/>
        <v/>
      </c>
      <c r="AN61" s="131"/>
      <c r="AO61" s="127"/>
      <c r="AP61" s="132"/>
      <c r="AQ61" s="164" t="str">
        <f t="shared" si="8"/>
        <v/>
      </c>
      <c r="AR61" s="155" t="str">
        <f t="shared" si="9"/>
        <v/>
      </c>
      <c r="AS61" s="188" t="str">
        <f t="shared" si="10"/>
        <v/>
      </c>
      <c r="AT61" s="160" t="str">
        <f t="shared" si="11"/>
        <v/>
      </c>
      <c r="AU61" s="160" t="str">
        <f t="shared" si="12"/>
        <v/>
      </c>
      <c r="AV61" s="168" t="str">
        <f t="shared" si="20"/>
        <v/>
      </c>
      <c r="AW61" s="171" t="str">
        <f>IF(AV61="","",IFERROR(INDEX(HELPER!$D$8:$D$48,IF(AV61&gt;=HELPER!$B$8,1,MATCH(AV61,HELPER!$B$8:$B$48,-1)+1)),""))</f>
        <v/>
      </c>
      <c r="AX61" s="174" t="str">
        <f>IF(AW61="","",IFERROR(VLOOKUP(AW61,HELPER!$F$8:$G$48,2,FALSE),""))</f>
        <v/>
      </c>
      <c r="AY61" s="147"/>
      <c r="AZ61" s="91"/>
    </row>
    <row r="62" spans="1:52" ht="15" customHeight="1" x14ac:dyDescent="0.3">
      <c r="A62" s="147"/>
      <c r="B62" s="66">
        <v>44</v>
      </c>
      <c r="C62" s="229" t="str">
        <f>IF('INPUT DATA'!K54="","",'INPUT DATA'!K54)</f>
        <v/>
      </c>
      <c r="D62" s="226"/>
      <c r="E62" s="22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
        <v/>
      </c>
      <c r="U62" s="185" t="str">
        <f t="shared" si="2"/>
        <v/>
      </c>
      <c r="V62" s="131"/>
      <c r="W62" s="127"/>
      <c r="X62" s="132"/>
      <c r="Y62" s="160" t="str">
        <f t="shared" si="3"/>
        <v/>
      </c>
      <c r="Z62" s="160" t="str">
        <f t="shared" si="16"/>
        <v/>
      </c>
      <c r="AA62" s="160" t="str">
        <f t="shared" si="17"/>
        <v/>
      </c>
      <c r="AB62" s="131"/>
      <c r="AC62" s="127"/>
      <c r="AD62" s="132"/>
      <c r="AE62" s="160" t="str">
        <f t="shared" si="4"/>
        <v/>
      </c>
      <c r="AF62" s="160" t="str">
        <f t="shared" si="18"/>
        <v/>
      </c>
      <c r="AG62" s="160" t="str">
        <f t="shared" si="19"/>
        <v/>
      </c>
      <c r="AH62" s="131"/>
      <c r="AI62" s="127"/>
      <c r="AJ62" s="132"/>
      <c r="AK62" s="177" t="str">
        <f t="shared" si="5"/>
        <v/>
      </c>
      <c r="AL62" s="160" t="str">
        <f t="shared" si="6"/>
        <v/>
      </c>
      <c r="AM62" s="160" t="str">
        <f t="shared" si="7"/>
        <v/>
      </c>
      <c r="AN62" s="131"/>
      <c r="AO62" s="127"/>
      <c r="AP62" s="132"/>
      <c r="AQ62" s="164" t="str">
        <f t="shared" si="8"/>
        <v/>
      </c>
      <c r="AR62" s="155" t="str">
        <f t="shared" si="9"/>
        <v/>
      </c>
      <c r="AS62" s="188" t="str">
        <f t="shared" si="10"/>
        <v/>
      </c>
      <c r="AT62" s="160" t="str">
        <f t="shared" si="11"/>
        <v/>
      </c>
      <c r="AU62" s="160" t="str">
        <f t="shared" si="12"/>
        <v/>
      </c>
      <c r="AV62" s="168" t="str">
        <f t="shared" si="20"/>
        <v/>
      </c>
      <c r="AW62" s="171" t="str">
        <f>IF(AV62="","",IFERROR(INDEX(HELPER!$D$8:$D$48,IF(AV62&gt;=HELPER!$B$8,1,MATCH(AV62,HELPER!$B$8:$B$48,-1)+1)),""))</f>
        <v/>
      </c>
      <c r="AX62" s="174" t="str">
        <f>IF(AW62="","",IFERROR(VLOOKUP(AW62,HELPER!$F$8:$G$48,2,FALSE),""))</f>
        <v/>
      </c>
      <c r="AY62" s="147"/>
      <c r="AZ62" s="91"/>
    </row>
    <row r="63" spans="1:52" ht="15" customHeight="1" x14ac:dyDescent="0.3">
      <c r="A63" s="147"/>
      <c r="B63" s="66">
        <v>45</v>
      </c>
      <c r="C63" s="229" t="str">
        <f>IF('INPUT DATA'!K55="","",'INPUT DATA'!K55)</f>
        <v/>
      </c>
      <c r="D63" s="226"/>
      <c r="E63" s="22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
        <v/>
      </c>
      <c r="U63" s="185" t="str">
        <f t="shared" si="2"/>
        <v/>
      </c>
      <c r="V63" s="131"/>
      <c r="W63" s="127"/>
      <c r="X63" s="132"/>
      <c r="Y63" s="160" t="str">
        <f t="shared" si="3"/>
        <v/>
      </c>
      <c r="Z63" s="160" t="str">
        <f t="shared" si="16"/>
        <v/>
      </c>
      <c r="AA63" s="160" t="str">
        <f t="shared" si="17"/>
        <v/>
      </c>
      <c r="AB63" s="131"/>
      <c r="AC63" s="127"/>
      <c r="AD63" s="132"/>
      <c r="AE63" s="160" t="str">
        <f t="shared" si="4"/>
        <v/>
      </c>
      <c r="AF63" s="160" t="str">
        <f t="shared" si="18"/>
        <v/>
      </c>
      <c r="AG63" s="160" t="str">
        <f t="shared" si="19"/>
        <v/>
      </c>
      <c r="AH63" s="131"/>
      <c r="AI63" s="127"/>
      <c r="AJ63" s="132"/>
      <c r="AK63" s="177" t="str">
        <f t="shared" si="5"/>
        <v/>
      </c>
      <c r="AL63" s="160" t="str">
        <f t="shared" si="6"/>
        <v/>
      </c>
      <c r="AM63" s="160" t="str">
        <f t="shared" si="7"/>
        <v/>
      </c>
      <c r="AN63" s="131"/>
      <c r="AO63" s="127"/>
      <c r="AP63" s="132"/>
      <c r="AQ63" s="164" t="str">
        <f t="shared" si="8"/>
        <v/>
      </c>
      <c r="AR63" s="155" t="str">
        <f t="shared" si="9"/>
        <v/>
      </c>
      <c r="AS63" s="188" t="str">
        <f t="shared" si="10"/>
        <v/>
      </c>
      <c r="AT63" s="160" t="str">
        <f t="shared" si="11"/>
        <v/>
      </c>
      <c r="AU63" s="160" t="str">
        <f t="shared" si="12"/>
        <v/>
      </c>
      <c r="AV63" s="168" t="str">
        <f t="shared" si="20"/>
        <v/>
      </c>
      <c r="AW63" s="171" t="str">
        <f>IF(AV63="","",IFERROR(INDEX(HELPER!$D$8:$D$48,IF(AV63&gt;=HELPER!$B$8,1,MATCH(AV63,HELPER!$B$8:$B$48,-1)+1)),""))</f>
        <v/>
      </c>
      <c r="AX63" s="174" t="str">
        <f>IF(AW63="","",IFERROR(VLOOKUP(AW63,HELPER!$F$8:$G$48,2,FALSE),""))</f>
        <v/>
      </c>
      <c r="AY63" s="147"/>
      <c r="AZ63" s="91"/>
    </row>
    <row r="64" spans="1:52" ht="15" customHeight="1" x14ac:dyDescent="0.3">
      <c r="A64" s="147"/>
      <c r="B64" s="66">
        <v>46</v>
      </c>
      <c r="C64" s="229" t="str">
        <f>IF('INPUT DATA'!K56="","",'INPUT DATA'!K56)</f>
        <v/>
      </c>
      <c r="D64" s="226"/>
      <c r="E64" s="22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
        <v/>
      </c>
      <c r="U64" s="185" t="str">
        <f t="shared" si="2"/>
        <v/>
      </c>
      <c r="V64" s="131"/>
      <c r="W64" s="127"/>
      <c r="X64" s="132"/>
      <c r="Y64" s="160" t="str">
        <f t="shared" si="3"/>
        <v/>
      </c>
      <c r="Z64" s="160" t="str">
        <f t="shared" si="16"/>
        <v/>
      </c>
      <c r="AA64" s="160" t="str">
        <f t="shared" si="17"/>
        <v/>
      </c>
      <c r="AB64" s="131"/>
      <c r="AC64" s="127"/>
      <c r="AD64" s="132"/>
      <c r="AE64" s="160" t="str">
        <f t="shared" si="4"/>
        <v/>
      </c>
      <c r="AF64" s="160" t="str">
        <f t="shared" si="18"/>
        <v/>
      </c>
      <c r="AG64" s="160" t="str">
        <f t="shared" si="19"/>
        <v/>
      </c>
      <c r="AH64" s="131"/>
      <c r="AI64" s="127"/>
      <c r="AJ64" s="132"/>
      <c r="AK64" s="177" t="str">
        <f t="shared" si="5"/>
        <v/>
      </c>
      <c r="AL64" s="160" t="str">
        <f t="shared" si="6"/>
        <v/>
      </c>
      <c r="AM64" s="160" t="str">
        <f t="shared" si="7"/>
        <v/>
      </c>
      <c r="AN64" s="131"/>
      <c r="AO64" s="127"/>
      <c r="AP64" s="132"/>
      <c r="AQ64" s="164" t="str">
        <f t="shared" si="8"/>
        <v/>
      </c>
      <c r="AR64" s="155" t="str">
        <f t="shared" si="9"/>
        <v/>
      </c>
      <c r="AS64" s="188" t="str">
        <f t="shared" si="10"/>
        <v/>
      </c>
      <c r="AT64" s="160" t="str">
        <f t="shared" si="11"/>
        <v/>
      </c>
      <c r="AU64" s="160" t="str">
        <f t="shared" si="12"/>
        <v/>
      </c>
      <c r="AV64" s="168" t="str">
        <f t="shared" si="20"/>
        <v/>
      </c>
      <c r="AW64" s="171" t="str">
        <f>IF(AV64="","",IFERROR(INDEX(HELPER!$D$8:$D$48,IF(AV64&gt;=HELPER!$B$8,1,MATCH(AV64,HELPER!$B$8:$B$48,-1)+1)),""))</f>
        <v/>
      </c>
      <c r="AX64" s="174" t="str">
        <f>IF(AW64="","",IFERROR(VLOOKUP(AW64,HELPER!$F$8:$G$48,2,FALSE),""))</f>
        <v/>
      </c>
      <c r="AY64" s="147"/>
      <c r="AZ64" s="91"/>
    </row>
    <row r="65" spans="1:52" ht="15" customHeight="1" x14ac:dyDescent="0.3">
      <c r="A65" s="147"/>
      <c r="B65" s="66">
        <v>47</v>
      </c>
      <c r="C65" s="229" t="str">
        <f>IF('INPUT DATA'!K57="","",'INPUT DATA'!K57)</f>
        <v/>
      </c>
      <c r="D65" s="226"/>
      <c r="E65" s="22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
        <v/>
      </c>
      <c r="U65" s="185" t="str">
        <f t="shared" si="2"/>
        <v/>
      </c>
      <c r="V65" s="131"/>
      <c r="W65" s="127"/>
      <c r="X65" s="132"/>
      <c r="Y65" s="160" t="str">
        <f t="shared" si="3"/>
        <v/>
      </c>
      <c r="Z65" s="160" t="str">
        <f t="shared" si="16"/>
        <v/>
      </c>
      <c r="AA65" s="160" t="str">
        <f t="shared" si="17"/>
        <v/>
      </c>
      <c r="AB65" s="131"/>
      <c r="AC65" s="127"/>
      <c r="AD65" s="132"/>
      <c r="AE65" s="160" t="str">
        <f t="shared" si="4"/>
        <v/>
      </c>
      <c r="AF65" s="160" t="str">
        <f t="shared" si="18"/>
        <v/>
      </c>
      <c r="AG65" s="160" t="str">
        <f t="shared" si="19"/>
        <v/>
      </c>
      <c r="AH65" s="131"/>
      <c r="AI65" s="127"/>
      <c r="AJ65" s="132"/>
      <c r="AK65" s="177" t="str">
        <f t="shared" si="5"/>
        <v/>
      </c>
      <c r="AL65" s="160" t="str">
        <f t="shared" si="6"/>
        <v/>
      </c>
      <c r="AM65" s="160" t="str">
        <f t="shared" si="7"/>
        <v/>
      </c>
      <c r="AN65" s="131"/>
      <c r="AO65" s="127"/>
      <c r="AP65" s="132"/>
      <c r="AQ65" s="164" t="str">
        <f t="shared" si="8"/>
        <v/>
      </c>
      <c r="AR65" s="155" t="str">
        <f t="shared" si="9"/>
        <v/>
      </c>
      <c r="AS65" s="188" t="str">
        <f t="shared" si="10"/>
        <v/>
      </c>
      <c r="AT65" s="160" t="str">
        <f t="shared" si="11"/>
        <v/>
      </c>
      <c r="AU65" s="160" t="str">
        <f t="shared" si="12"/>
        <v/>
      </c>
      <c r="AV65" s="168" t="str">
        <f t="shared" si="20"/>
        <v/>
      </c>
      <c r="AW65" s="171" t="str">
        <f>IF(AV65="","",IFERROR(INDEX(HELPER!$D$8:$D$48,IF(AV65&gt;=HELPER!$B$8,1,MATCH(AV65,HELPER!$B$8:$B$48,-1)+1)),""))</f>
        <v/>
      </c>
      <c r="AX65" s="174" t="str">
        <f>IF(AW65="","",IFERROR(VLOOKUP(AW65,HELPER!$F$8:$G$48,2,FALSE),""))</f>
        <v/>
      </c>
      <c r="AY65" s="147"/>
      <c r="AZ65" s="91"/>
    </row>
    <row r="66" spans="1:52" ht="15" customHeight="1" x14ac:dyDescent="0.3">
      <c r="A66" s="147"/>
      <c r="B66" s="66">
        <v>48</v>
      </c>
      <c r="C66" s="229" t="str">
        <f>IF('INPUT DATA'!K58="","",'INPUT DATA'!K58)</f>
        <v/>
      </c>
      <c r="D66" s="226"/>
      <c r="E66" s="22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
        <v/>
      </c>
      <c r="U66" s="185" t="str">
        <f t="shared" si="2"/>
        <v/>
      </c>
      <c r="V66" s="131"/>
      <c r="W66" s="127"/>
      <c r="X66" s="132"/>
      <c r="Y66" s="160" t="str">
        <f t="shared" si="3"/>
        <v/>
      </c>
      <c r="Z66" s="160" t="str">
        <f t="shared" si="16"/>
        <v/>
      </c>
      <c r="AA66" s="160" t="str">
        <f t="shared" si="17"/>
        <v/>
      </c>
      <c r="AB66" s="131"/>
      <c r="AC66" s="127"/>
      <c r="AD66" s="132"/>
      <c r="AE66" s="160" t="str">
        <f t="shared" si="4"/>
        <v/>
      </c>
      <c r="AF66" s="160" t="str">
        <f t="shared" si="18"/>
        <v/>
      </c>
      <c r="AG66" s="160" t="str">
        <f t="shared" si="19"/>
        <v/>
      </c>
      <c r="AH66" s="131"/>
      <c r="AI66" s="127"/>
      <c r="AJ66" s="132"/>
      <c r="AK66" s="177" t="str">
        <f t="shared" si="5"/>
        <v/>
      </c>
      <c r="AL66" s="160" t="str">
        <f t="shared" si="6"/>
        <v/>
      </c>
      <c r="AM66" s="160" t="str">
        <f t="shared" si="7"/>
        <v/>
      </c>
      <c r="AN66" s="131"/>
      <c r="AO66" s="127"/>
      <c r="AP66" s="132"/>
      <c r="AQ66" s="164" t="str">
        <f t="shared" si="8"/>
        <v/>
      </c>
      <c r="AR66" s="155" t="str">
        <f t="shared" si="9"/>
        <v/>
      </c>
      <c r="AS66" s="188" t="str">
        <f t="shared" si="10"/>
        <v/>
      </c>
      <c r="AT66" s="160" t="str">
        <f t="shared" si="11"/>
        <v/>
      </c>
      <c r="AU66" s="160" t="str">
        <f t="shared" si="12"/>
        <v/>
      </c>
      <c r="AV66" s="168" t="str">
        <f t="shared" si="20"/>
        <v/>
      </c>
      <c r="AW66" s="171" t="str">
        <f>IF(AV66="","",IFERROR(INDEX(HELPER!$D$8:$D$48,IF(AV66&gt;=HELPER!$B$8,1,MATCH(AV66,HELPER!$B$8:$B$48,-1)+1)),""))</f>
        <v/>
      </c>
      <c r="AX66" s="174" t="str">
        <f>IF(AW66="","",IFERROR(VLOOKUP(AW66,HELPER!$F$8:$G$48,2,FALSE),""))</f>
        <v/>
      </c>
      <c r="AY66" s="147"/>
      <c r="AZ66" s="91"/>
    </row>
    <row r="67" spans="1:52" ht="15" customHeight="1" x14ac:dyDescent="0.3">
      <c r="A67" s="147"/>
      <c r="B67" s="66">
        <v>49</v>
      </c>
      <c r="C67" s="229" t="str">
        <f>IF('INPUT DATA'!K59="","",'INPUT DATA'!K59)</f>
        <v/>
      </c>
      <c r="D67" s="226"/>
      <c r="E67" s="22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
        <v/>
      </c>
      <c r="U67" s="185" t="str">
        <f t="shared" si="2"/>
        <v/>
      </c>
      <c r="V67" s="131"/>
      <c r="W67" s="127"/>
      <c r="X67" s="132"/>
      <c r="Y67" s="160" t="str">
        <f t="shared" si="3"/>
        <v/>
      </c>
      <c r="Z67" s="160" t="str">
        <f t="shared" si="16"/>
        <v/>
      </c>
      <c r="AA67" s="160" t="str">
        <f t="shared" si="17"/>
        <v/>
      </c>
      <c r="AB67" s="131"/>
      <c r="AC67" s="127"/>
      <c r="AD67" s="132"/>
      <c r="AE67" s="160" t="str">
        <f t="shared" si="4"/>
        <v/>
      </c>
      <c r="AF67" s="160" t="str">
        <f t="shared" si="18"/>
        <v/>
      </c>
      <c r="AG67" s="160" t="str">
        <f t="shared" si="19"/>
        <v/>
      </c>
      <c r="AH67" s="131"/>
      <c r="AI67" s="127"/>
      <c r="AJ67" s="132"/>
      <c r="AK67" s="177" t="str">
        <f t="shared" si="5"/>
        <v/>
      </c>
      <c r="AL67" s="160" t="str">
        <f t="shared" si="6"/>
        <v/>
      </c>
      <c r="AM67" s="160" t="str">
        <f t="shared" si="7"/>
        <v/>
      </c>
      <c r="AN67" s="131"/>
      <c r="AO67" s="127"/>
      <c r="AP67" s="132"/>
      <c r="AQ67" s="164" t="str">
        <f t="shared" si="8"/>
        <v/>
      </c>
      <c r="AR67" s="155" t="str">
        <f t="shared" si="9"/>
        <v/>
      </c>
      <c r="AS67" s="188" t="str">
        <f t="shared" si="10"/>
        <v/>
      </c>
      <c r="AT67" s="160" t="str">
        <f t="shared" si="11"/>
        <v/>
      </c>
      <c r="AU67" s="160" t="str">
        <f t="shared" si="12"/>
        <v/>
      </c>
      <c r="AV67" s="168" t="str">
        <f t="shared" si="20"/>
        <v/>
      </c>
      <c r="AW67" s="171" t="str">
        <f>IF(AV67="","",IFERROR(INDEX(HELPER!$D$8:$D$48,IF(AV67&gt;=HELPER!$B$8,1,MATCH(AV67,HELPER!$B$8:$B$48,-1)+1)),""))</f>
        <v/>
      </c>
      <c r="AX67" s="174" t="str">
        <f>IF(AW67="","",IFERROR(VLOOKUP(AW67,HELPER!$F$8:$G$48,2,FALSE),""))</f>
        <v/>
      </c>
      <c r="AY67" s="147"/>
      <c r="AZ67" s="91"/>
    </row>
    <row r="68" spans="1:52" ht="15" customHeight="1" thickBot="1" x14ac:dyDescent="0.35">
      <c r="A68" s="147"/>
      <c r="B68" s="66">
        <v>50</v>
      </c>
      <c r="C68" s="229" t="str">
        <f>IF('INPUT DATA'!K60="","",'INPUT DATA'!K60)</f>
        <v/>
      </c>
      <c r="D68" s="226"/>
      <c r="E68" s="22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
        <v/>
      </c>
      <c r="U68" s="186" t="str">
        <f t="shared" si="2"/>
        <v/>
      </c>
      <c r="V68" s="156"/>
      <c r="W68" s="157"/>
      <c r="X68" s="158"/>
      <c r="Y68" s="161" t="str">
        <f t="shared" si="3"/>
        <v/>
      </c>
      <c r="Z68" s="161" t="str">
        <f t="shared" si="16"/>
        <v/>
      </c>
      <c r="AA68" s="161" t="str">
        <f t="shared" si="17"/>
        <v/>
      </c>
      <c r="AB68" s="156"/>
      <c r="AC68" s="157"/>
      <c r="AD68" s="158"/>
      <c r="AE68" s="161" t="str">
        <f t="shared" si="4"/>
        <v/>
      </c>
      <c r="AF68" s="161" t="str">
        <f t="shared" si="18"/>
        <v/>
      </c>
      <c r="AG68" s="161" t="str">
        <f t="shared" si="19"/>
        <v/>
      </c>
      <c r="AH68" s="156"/>
      <c r="AI68" s="157"/>
      <c r="AJ68" s="158"/>
      <c r="AK68" s="178" t="str">
        <f t="shared" si="5"/>
        <v/>
      </c>
      <c r="AL68" s="161" t="str">
        <f t="shared" si="6"/>
        <v/>
      </c>
      <c r="AM68" s="161" t="str">
        <f t="shared" si="7"/>
        <v/>
      </c>
      <c r="AN68" s="156"/>
      <c r="AO68" s="157"/>
      <c r="AP68" s="158"/>
      <c r="AQ68" s="165" t="str">
        <f t="shared" si="8"/>
        <v/>
      </c>
      <c r="AR68" s="166" t="str">
        <f t="shared" si="9"/>
        <v/>
      </c>
      <c r="AS68" s="189" t="str">
        <f t="shared" si="10"/>
        <v/>
      </c>
      <c r="AT68" s="161" t="str">
        <f t="shared" si="11"/>
        <v/>
      </c>
      <c r="AU68" s="161" t="str">
        <f t="shared" si="12"/>
        <v/>
      </c>
      <c r="AV68" s="169" t="str">
        <f t="shared" si="20"/>
        <v/>
      </c>
      <c r="AW68" s="172" t="str">
        <f>IF(AV68="","",IFERROR(INDEX(HELPER!$D$8:$D$48,IF(AV68&gt;=HELPER!$B$8,1,MATCH(AV68,HELPER!$B$8:$B$48,-1)+1)),""))</f>
        <v/>
      </c>
      <c r="AX68" s="175" t="str">
        <f>IF(AW68="","",IFERROR(VLOOKUP(AW68,HELPER!$F$8:$G$48,2,FALSE),""))</f>
        <v/>
      </c>
      <c r="AY68" s="147"/>
      <c r="AZ68" s="91"/>
    </row>
    <row r="69" spans="1:52" ht="14.4" customHeight="1" thickBot="1" x14ac:dyDescent="0.35">
      <c r="A69" s="147"/>
      <c r="B69" s="280" t="s">
        <v>6</v>
      </c>
      <c r="C69" s="281"/>
      <c r="D69" s="281"/>
      <c r="E69" s="281"/>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3"/>
      <c r="AY69" s="147"/>
      <c r="AZ69" s="91"/>
    </row>
    <row r="70" spans="1:52" ht="15" customHeight="1" x14ac:dyDescent="0.3">
      <c r="A70" s="147"/>
      <c r="B70" s="112">
        <v>1</v>
      </c>
      <c r="C70" s="271" t="str">
        <f>IF('INPUT DATA'!N11="","",'INPUT DATA'!N11)</f>
        <v/>
      </c>
      <c r="D70" s="272"/>
      <c r="E70" s="272"/>
      <c r="F70" s="128"/>
      <c r="G70" s="129"/>
      <c r="H70" s="129"/>
      <c r="I70" s="129"/>
      <c r="J70" s="130"/>
      <c r="K70" s="159" t="str">
        <f t="shared" si="13"/>
        <v/>
      </c>
      <c r="L70" s="184" t="str">
        <f t="shared" ref="L70:L119" si="21">IF(COUNT(F70:J70)=0,"",IFERROR(K70/$K$16*$L$16,""))</f>
        <v/>
      </c>
      <c r="M70" s="184" t="str">
        <f t="shared" si="15"/>
        <v/>
      </c>
      <c r="N70" s="128"/>
      <c r="O70" s="129"/>
      <c r="P70" s="129"/>
      <c r="Q70" s="129"/>
      <c r="R70" s="130"/>
      <c r="S70" s="159" t="str">
        <f t="shared" si="0"/>
        <v/>
      </c>
      <c r="T70" s="184" t="str">
        <f t="shared" ref="T70:T119" si="22">IF(COUNT(N70:R70)=0,"",IFERROR(S70/$S$16*$T$16,""))</f>
        <v/>
      </c>
      <c r="U70" s="184" t="str">
        <f t="shared" ref="U70:U119" si="23">IF(T70="","",T70*$U$16)</f>
        <v/>
      </c>
      <c r="V70" s="128"/>
      <c r="W70" s="129"/>
      <c r="X70" s="130"/>
      <c r="Y70" s="159" t="str">
        <f t="shared" ref="Y70:Y119" si="24">IF(COUNT(V70:X70)=0,"",SUM(V70:X70))</f>
        <v/>
      </c>
      <c r="Z70" s="159" t="str">
        <f t="shared" ref="Z70:Z119" si="25">IF(COUNT(V70:X70)=0,"",IFERROR(Y70/$Y$16*$Z$16,""))</f>
        <v/>
      </c>
      <c r="AA70" s="159" t="str">
        <f t="shared" si="17"/>
        <v/>
      </c>
      <c r="AB70" s="128"/>
      <c r="AC70" s="129"/>
      <c r="AD70" s="130"/>
      <c r="AE70" s="159" t="str">
        <f t="shared" ref="AE70:AE119" si="26">IF(COUNT(AB70:AD70)=0,"",SUM(AB70:AD70))</f>
        <v/>
      </c>
      <c r="AF70" s="159" t="str">
        <f t="shared" ref="AF70:AF119" si="27">IF(COUNT(AB70:AD70)=0,"",IFERROR(AE70/$AE$16*$AF$16,""))</f>
        <v/>
      </c>
      <c r="AG70" s="159" t="str">
        <f t="shared" si="19"/>
        <v/>
      </c>
      <c r="AH70" s="128"/>
      <c r="AI70" s="129"/>
      <c r="AJ70" s="130"/>
      <c r="AK70" s="176" t="str">
        <f t="shared" ref="AK70:AK119" si="28">IF(COUNT(AH70:AJ70)=0,"",SUM(AH70:AJ70))</f>
        <v/>
      </c>
      <c r="AL70" s="159" t="str">
        <f t="shared" ref="AL70:AL119" si="29">IF(COUNT(AH70:AJ70)=0,"",IFERROR(AK70/$AK$16*$AL$16,""))</f>
        <v/>
      </c>
      <c r="AM70" s="159" t="str">
        <f t="shared" ref="AM70:AM119" si="30">IF(AL70="","",AL70*$AM$16)</f>
        <v/>
      </c>
      <c r="AN70" s="128"/>
      <c r="AO70" s="129"/>
      <c r="AP70" s="130"/>
      <c r="AQ70" s="162" t="str">
        <f t="shared" ref="AQ70:AQ119" si="31">IF(AN70="","",IFERROR(AN70/$AN$16*$AQ$16,""))</f>
        <v/>
      </c>
      <c r="AR70" s="163" t="str">
        <f t="shared" ref="AR70:AR119" si="32">IF(AO70="","",IFERROR(AO70/$AO$16*$AR$16,""))</f>
        <v/>
      </c>
      <c r="AS70" s="187" t="str">
        <f t="shared" ref="AS70:AS119" si="33">IF(AP70="","",IFERROR(AP70/$AP$16*$AS$16,""))</f>
        <v/>
      </c>
      <c r="AT70" s="159" t="str">
        <f t="shared" ref="AT70:AT119" si="34">IF(COUNT(AN70:AP70)=0,"",SUM(AQ70:AS70))</f>
        <v/>
      </c>
      <c r="AU70" s="159" t="str">
        <f t="shared" ref="AU70:AU119" si="35">IF(AT70="","",AT70*$AU$16)</f>
        <v/>
      </c>
      <c r="AV70" s="167" t="str">
        <f t="shared" ref="AV70:AV119" si="36">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3">
      <c r="A71" s="147"/>
      <c r="B71" s="113">
        <v>2</v>
      </c>
      <c r="C71" s="227" t="str">
        <f>IF('INPUT DATA'!N12="","",'INPUT DATA'!N12)</f>
        <v/>
      </c>
      <c r="D71" s="228"/>
      <c r="E71" s="228"/>
      <c r="F71" s="131"/>
      <c r="G71" s="127"/>
      <c r="H71" s="127"/>
      <c r="I71" s="127"/>
      <c r="J71" s="132"/>
      <c r="K71" s="160" t="str">
        <f t="shared" si="13"/>
        <v/>
      </c>
      <c r="L71" s="185" t="str">
        <f t="shared" si="21"/>
        <v/>
      </c>
      <c r="M71" s="185" t="str">
        <f t="shared" si="15"/>
        <v/>
      </c>
      <c r="N71" s="131"/>
      <c r="O71" s="127"/>
      <c r="P71" s="127"/>
      <c r="Q71" s="127"/>
      <c r="R71" s="132"/>
      <c r="S71" s="160" t="str">
        <f t="shared" si="0"/>
        <v/>
      </c>
      <c r="T71" s="185" t="str">
        <f t="shared" si="22"/>
        <v/>
      </c>
      <c r="U71" s="185" t="str">
        <f t="shared" si="23"/>
        <v/>
      </c>
      <c r="V71" s="131"/>
      <c r="W71" s="127"/>
      <c r="X71" s="132"/>
      <c r="Y71" s="160" t="str">
        <f t="shared" si="24"/>
        <v/>
      </c>
      <c r="Z71" s="160" t="str">
        <f t="shared" si="25"/>
        <v/>
      </c>
      <c r="AA71" s="160" t="str">
        <f t="shared" si="17"/>
        <v/>
      </c>
      <c r="AB71" s="131"/>
      <c r="AC71" s="127"/>
      <c r="AD71" s="132"/>
      <c r="AE71" s="160" t="str">
        <f t="shared" si="26"/>
        <v/>
      </c>
      <c r="AF71" s="160" t="str">
        <f t="shared" si="27"/>
        <v/>
      </c>
      <c r="AG71" s="160" t="str">
        <f t="shared" si="19"/>
        <v/>
      </c>
      <c r="AH71" s="131"/>
      <c r="AI71" s="127"/>
      <c r="AJ71" s="132"/>
      <c r="AK71" s="177" t="str">
        <f t="shared" si="28"/>
        <v/>
      </c>
      <c r="AL71" s="160" t="str">
        <f t="shared" si="29"/>
        <v/>
      </c>
      <c r="AM71" s="160" t="str">
        <f t="shared" si="30"/>
        <v/>
      </c>
      <c r="AN71" s="131"/>
      <c r="AO71" s="127"/>
      <c r="AP71" s="132"/>
      <c r="AQ71" s="164" t="str">
        <f t="shared" si="31"/>
        <v/>
      </c>
      <c r="AR71" s="155" t="str">
        <f t="shared" si="32"/>
        <v/>
      </c>
      <c r="AS71" s="188" t="str">
        <f t="shared" si="33"/>
        <v/>
      </c>
      <c r="AT71" s="160" t="str">
        <f t="shared" si="34"/>
        <v/>
      </c>
      <c r="AU71" s="160" t="str">
        <f t="shared" si="35"/>
        <v/>
      </c>
      <c r="AV71" s="168" t="str">
        <f t="shared" si="36"/>
        <v/>
      </c>
      <c r="AW71" s="171" t="str">
        <f>IF(AV71="","",IFERROR(INDEX(HELPER!$D$8:$D$48,IF(AV71&gt;=HELPER!$B$8,1,MATCH(AV71,HELPER!$B$8:$B$48,-1)+1)),""))</f>
        <v/>
      </c>
      <c r="AX71" s="174" t="str">
        <f>IF(AW71="","",IFERROR(VLOOKUP(AW71,HELPER!$F$8:$G$48,2,FALSE),""))</f>
        <v/>
      </c>
      <c r="AY71" s="147"/>
      <c r="AZ71" s="91"/>
    </row>
    <row r="72" spans="1:52" ht="15" customHeight="1" x14ac:dyDescent="0.3">
      <c r="A72" s="147"/>
      <c r="B72" s="113">
        <v>3</v>
      </c>
      <c r="C72" s="227" t="str">
        <f>IF('INPUT DATA'!N13="","",'INPUT DATA'!N13)</f>
        <v/>
      </c>
      <c r="D72" s="228"/>
      <c r="E72" s="228"/>
      <c r="F72" s="131"/>
      <c r="G72" s="127"/>
      <c r="H72" s="127"/>
      <c r="I72" s="127"/>
      <c r="J72" s="132"/>
      <c r="K72" s="160" t="str">
        <f t="shared" si="13"/>
        <v/>
      </c>
      <c r="L72" s="185" t="str">
        <f t="shared" si="21"/>
        <v/>
      </c>
      <c r="M72" s="185" t="str">
        <f t="shared" si="15"/>
        <v/>
      </c>
      <c r="N72" s="131"/>
      <c r="O72" s="127"/>
      <c r="P72" s="127"/>
      <c r="Q72" s="127"/>
      <c r="R72" s="132"/>
      <c r="S72" s="160" t="str">
        <f t="shared" si="0"/>
        <v/>
      </c>
      <c r="T72" s="185" t="str">
        <f t="shared" si="22"/>
        <v/>
      </c>
      <c r="U72" s="185" t="str">
        <f t="shared" si="23"/>
        <v/>
      </c>
      <c r="V72" s="131"/>
      <c r="W72" s="127"/>
      <c r="X72" s="132"/>
      <c r="Y72" s="160" t="str">
        <f t="shared" si="24"/>
        <v/>
      </c>
      <c r="Z72" s="160" t="str">
        <f t="shared" si="25"/>
        <v/>
      </c>
      <c r="AA72" s="160" t="str">
        <f t="shared" si="17"/>
        <v/>
      </c>
      <c r="AB72" s="131"/>
      <c r="AC72" s="127"/>
      <c r="AD72" s="132"/>
      <c r="AE72" s="160" t="str">
        <f t="shared" si="26"/>
        <v/>
      </c>
      <c r="AF72" s="160" t="str">
        <f t="shared" si="27"/>
        <v/>
      </c>
      <c r="AG72" s="160" t="str">
        <f t="shared" si="19"/>
        <v/>
      </c>
      <c r="AH72" s="131"/>
      <c r="AI72" s="127"/>
      <c r="AJ72" s="132"/>
      <c r="AK72" s="177" t="str">
        <f t="shared" si="28"/>
        <v/>
      </c>
      <c r="AL72" s="160" t="str">
        <f t="shared" si="29"/>
        <v/>
      </c>
      <c r="AM72" s="160" t="str">
        <f t="shared" si="30"/>
        <v/>
      </c>
      <c r="AN72" s="131"/>
      <c r="AO72" s="127"/>
      <c r="AP72" s="132"/>
      <c r="AQ72" s="164" t="str">
        <f t="shared" si="31"/>
        <v/>
      </c>
      <c r="AR72" s="155" t="str">
        <f t="shared" si="32"/>
        <v/>
      </c>
      <c r="AS72" s="188" t="str">
        <f t="shared" si="33"/>
        <v/>
      </c>
      <c r="AT72" s="160" t="str">
        <f t="shared" si="34"/>
        <v/>
      </c>
      <c r="AU72" s="160" t="str">
        <f t="shared" si="35"/>
        <v/>
      </c>
      <c r="AV72" s="168" t="str">
        <f t="shared" si="36"/>
        <v/>
      </c>
      <c r="AW72" s="171" t="str">
        <f>IF(AV72="","",IFERROR(INDEX(HELPER!$D$8:$D$48,IF(AV72&gt;=HELPER!$B$8,1,MATCH(AV72,HELPER!$B$8:$B$48,-1)+1)),""))</f>
        <v/>
      </c>
      <c r="AX72" s="174" t="str">
        <f>IF(AW72="","",IFERROR(VLOOKUP(AW72,HELPER!$F$8:$G$48,2,FALSE),""))</f>
        <v/>
      </c>
      <c r="AY72" s="147"/>
      <c r="AZ72" s="91"/>
    </row>
    <row r="73" spans="1:52" ht="15" customHeight="1" x14ac:dyDescent="0.3">
      <c r="A73" s="147"/>
      <c r="B73" s="113">
        <v>4</v>
      </c>
      <c r="C73" s="227" t="str">
        <f>IF('INPUT DATA'!N14="","",'INPUT DATA'!N14)</f>
        <v/>
      </c>
      <c r="D73" s="228"/>
      <c r="E73" s="228"/>
      <c r="F73" s="131"/>
      <c r="G73" s="127"/>
      <c r="H73" s="127"/>
      <c r="I73" s="127"/>
      <c r="J73" s="132"/>
      <c r="K73" s="160" t="str">
        <f t="shared" si="13"/>
        <v/>
      </c>
      <c r="L73" s="185" t="str">
        <f t="shared" si="21"/>
        <v/>
      </c>
      <c r="M73" s="185" t="str">
        <f t="shared" si="15"/>
        <v/>
      </c>
      <c r="N73" s="131"/>
      <c r="O73" s="127"/>
      <c r="P73" s="127"/>
      <c r="Q73" s="127"/>
      <c r="R73" s="132"/>
      <c r="S73" s="160" t="str">
        <f t="shared" si="0"/>
        <v/>
      </c>
      <c r="T73" s="185" t="str">
        <f t="shared" si="22"/>
        <v/>
      </c>
      <c r="U73" s="185" t="str">
        <f t="shared" si="23"/>
        <v/>
      </c>
      <c r="V73" s="131"/>
      <c r="W73" s="127"/>
      <c r="X73" s="132"/>
      <c r="Y73" s="160" t="str">
        <f t="shared" si="24"/>
        <v/>
      </c>
      <c r="Z73" s="160" t="str">
        <f t="shared" si="25"/>
        <v/>
      </c>
      <c r="AA73" s="160" t="str">
        <f t="shared" si="17"/>
        <v/>
      </c>
      <c r="AB73" s="131"/>
      <c r="AC73" s="127"/>
      <c r="AD73" s="132"/>
      <c r="AE73" s="160" t="str">
        <f t="shared" si="26"/>
        <v/>
      </c>
      <c r="AF73" s="160" t="str">
        <f t="shared" si="27"/>
        <v/>
      </c>
      <c r="AG73" s="160" t="str">
        <f t="shared" si="19"/>
        <v/>
      </c>
      <c r="AH73" s="131"/>
      <c r="AI73" s="127"/>
      <c r="AJ73" s="132"/>
      <c r="AK73" s="177" t="str">
        <f t="shared" si="28"/>
        <v/>
      </c>
      <c r="AL73" s="160" t="str">
        <f t="shared" si="29"/>
        <v/>
      </c>
      <c r="AM73" s="160" t="str">
        <f t="shared" si="30"/>
        <v/>
      </c>
      <c r="AN73" s="131"/>
      <c r="AO73" s="127"/>
      <c r="AP73" s="132"/>
      <c r="AQ73" s="164" t="str">
        <f t="shared" si="31"/>
        <v/>
      </c>
      <c r="AR73" s="155" t="str">
        <f t="shared" si="32"/>
        <v/>
      </c>
      <c r="AS73" s="188" t="str">
        <f t="shared" si="33"/>
        <v/>
      </c>
      <c r="AT73" s="160" t="str">
        <f t="shared" si="34"/>
        <v/>
      </c>
      <c r="AU73" s="160" t="str">
        <f t="shared" si="35"/>
        <v/>
      </c>
      <c r="AV73" s="168" t="str">
        <f t="shared" si="36"/>
        <v/>
      </c>
      <c r="AW73" s="171" t="str">
        <f>IF(AV73="","",IFERROR(INDEX(HELPER!$D$8:$D$48,IF(AV73&gt;=HELPER!$B$8,1,MATCH(AV73,HELPER!$B$8:$B$48,-1)+1)),""))</f>
        <v/>
      </c>
      <c r="AX73" s="174" t="str">
        <f>IF(AW73="","",IFERROR(VLOOKUP(AW73,HELPER!$F$8:$G$48,2,FALSE),""))</f>
        <v/>
      </c>
      <c r="AY73" s="147"/>
      <c r="AZ73" s="91"/>
    </row>
    <row r="74" spans="1:52" ht="15" customHeight="1" x14ac:dyDescent="0.3">
      <c r="A74" s="147"/>
      <c r="B74" s="113">
        <v>5</v>
      </c>
      <c r="C74" s="227" t="str">
        <f>IF('INPUT DATA'!N15="","",'INPUT DATA'!N15)</f>
        <v/>
      </c>
      <c r="D74" s="228"/>
      <c r="E74" s="228"/>
      <c r="F74" s="131"/>
      <c r="G74" s="127"/>
      <c r="H74" s="127"/>
      <c r="I74" s="127"/>
      <c r="J74" s="132"/>
      <c r="K74" s="160" t="str">
        <f t="shared" si="13"/>
        <v/>
      </c>
      <c r="L74" s="185" t="str">
        <f t="shared" si="21"/>
        <v/>
      </c>
      <c r="M74" s="185" t="str">
        <f t="shared" si="15"/>
        <v/>
      </c>
      <c r="N74" s="131"/>
      <c r="O74" s="127"/>
      <c r="P74" s="127"/>
      <c r="Q74" s="127"/>
      <c r="R74" s="132"/>
      <c r="S74" s="160" t="str">
        <f t="shared" si="0"/>
        <v/>
      </c>
      <c r="T74" s="185" t="str">
        <f t="shared" si="22"/>
        <v/>
      </c>
      <c r="U74" s="185" t="str">
        <f t="shared" si="23"/>
        <v/>
      </c>
      <c r="V74" s="131"/>
      <c r="W74" s="127"/>
      <c r="X74" s="132"/>
      <c r="Y74" s="160" t="str">
        <f t="shared" si="24"/>
        <v/>
      </c>
      <c r="Z74" s="160" t="str">
        <f t="shared" si="25"/>
        <v/>
      </c>
      <c r="AA74" s="160" t="str">
        <f t="shared" si="17"/>
        <v/>
      </c>
      <c r="AB74" s="131"/>
      <c r="AC74" s="127"/>
      <c r="AD74" s="132"/>
      <c r="AE74" s="160" t="str">
        <f t="shared" si="26"/>
        <v/>
      </c>
      <c r="AF74" s="160" t="str">
        <f t="shared" si="27"/>
        <v/>
      </c>
      <c r="AG74" s="160" t="str">
        <f t="shared" si="19"/>
        <v/>
      </c>
      <c r="AH74" s="131"/>
      <c r="AI74" s="127"/>
      <c r="AJ74" s="132"/>
      <c r="AK74" s="177" t="str">
        <f t="shared" si="28"/>
        <v/>
      </c>
      <c r="AL74" s="160" t="str">
        <f t="shared" si="29"/>
        <v/>
      </c>
      <c r="AM74" s="160" t="str">
        <f t="shared" si="30"/>
        <v/>
      </c>
      <c r="AN74" s="131"/>
      <c r="AO74" s="127"/>
      <c r="AP74" s="132"/>
      <c r="AQ74" s="164" t="str">
        <f t="shared" si="31"/>
        <v/>
      </c>
      <c r="AR74" s="155" t="str">
        <f t="shared" si="32"/>
        <v/>
      </c>
      <c r="AS74" s="188" t="str">
        <f t="shared" si="33"/>
        <v/>
      </c>
      <c r="AT74" s="160" t="str">
        <f t="shared" si="34"/>
        <v/>
      </c>
      <c r="AU74" s="160" t="str">
        <f t="shared" si="35"/>
        <v/>
      </c>
      <c r="AV74" s="168" t="str">
        <f t="shared" si="36"/>
        <v/>
      </c>
      <c r="AW74" s="171" t="str">
        <f>IF(AV74="","",IFERROR(INDEX(HELPER!$D$8:$D$48,IF(AV74&gt;=HELPER!$B$8,1,MATCH(AV74,HELPER!$B$8:$B$48,-1)+1)),""))</f>
        <v/>
      </c>
      <c r="AX74" s="174" t="str">
        <f>IF(AW74="","",IFERROR(VLOOKUP(AW74,HELPER!$F$8:$G$48,2,FALSE),""))</f>
        <v/>
      </c>
      <c r="AY74" s="147"/>
      <c r="AZ74" s="91"/>
    </row>
    <row r="75" spans="1:52" ht="15" customHeight="1" x14ac:dyDescent="0.3">
      <c r="A75" s="147"/>
      <c r="B75" s="113">
        <v>6</v>
      </c>
      <c r="C75" s="227" t="str">
        <f>IF('INPUT DATA'!N16="","",'INPUT DATA'!N16)</f>
        <v/>
      </c>
      <c r="D75" s="228"/>
      <c r="E75" s="228"/>
      <c r="F75" s="131"/>
      <c r="G75" s="127"/>
      <c r="H75" s="127"/>
      <c r="I75" s="127"/>
      <c r="J75" s="132"/>
      <c r="K75" s="160" t="str">
        <f t="shared" si="13"/>
        <v/>
      </c>
      <c r="L75" s="185" t="str">
        <f t="shared" si="21"/>
        <v/>
      </c>
      <c r="M75" s="185" t="str">
        <f t="shared" si="15"/>
        <v/>
      </c>
      <c r="N75" s="131"/>
      <c r="O75" s="127"/>
      <c r="P75" s="127"/>
      <c r="Q75" s="127"/>
      <c r="R75" s="132"/>
      <c r="S75" s="160" t="str">
        <f t="shared" si="0"/>
        <v/>
      </c>
      <c r="T75" s="185" t="str">
        <f t="shared" si="22"/>
        <v/>
      </c>
      <c r="U75" s="185" t="str">
        <f t="shared" si="23"/>
        <v/>
      </c>
      <c r="V75" s="131"/>
      <c r="W75" s="127"/>
      <c r="X75" s="132"/>
      <c r="Y75" s="160" t="str">
        <f t="shared" si="24"/>
        <v/>
      </c>
      <c r="Z75" s="160" t="str">
        <f t="shared" si="25"/>
        <v/>
      </c>
      <c r="AA75" s="160" t="str">
        <f t="shared" si="17"/>
        <v/>
      </c>
      <c r="AB75" s="131"/>
      <c r="AC75" s="127"/>
      <c r="AD75" s="132"/>
      <c r="AE75" s="160" t="str">
        <f t="shared" si="26"/>
        <v/>
      </c>
      <c r="AF75" s="160" t="str">
        <f t="shared" si="27"/>
        <v/>
      </c>
      <c r="AG75" s="160" t="str">
        <f t="shared" si="19"/>
        <v/>
      </c>
      <c r="AH75" s="131"/>
      <c r="AI75" s="127"/>
      <c r="AJ75" s="132"/>
      <c r="AK75" s="177" t="str">
        <f t="shared" si="28"/>
        <v/>
      </c>
      <c r="AL75" s="160" t="str">
        <f t="shared" si="29"/>
        <v/>
      </c>
      <c r="AM75" s="160" t="str">
        <f t="shared" si="30"/>
        <v/>
      </c>
      <c r="AN75" s="131"/>
      <c r="AO75" s="127"/>
      <c r="AP75" s="132"/>
      <c r="AQ75" s="164" t="str">
        <f t="shared" si="31"/>
        <v/>
      </c>
      <c r="AR75" s="155" t="str">
        <f t="shared" si="32"/>
        <v/>
      </c>
      <c r="AS75" s="188" t="str">
        <f t="shared" si="33"/>
        <v/>
      </c>
      <c r="AT75" s="160" t="str">
        <f t="shared" si="34"/>
        <v/>
      </c>
      <c r="AU75" s="160" t="str">
        <f t="shared" si="35"/>
        <v/>
      </c>
      <c r="AV75" s="168" t="str">
        <f t="shared" si="36"/>
        <v/>
      </c>
      <c r="AW75" s="171" t="str">
        <f>IF(AV75="","",IFERROR(INDEX(HELPER!$D$8:$D$48,IF(AV75&gt;=HELPER!$B$8,1,MATCH(AV75,HELPER!$B$8:$B$48,-1)+1)),""))</f>
        <v/>
      </c>
      <c r="AX75" s="174" t="str">
        <f>IF(AW75="","",IFERROR(VLOOKUP(AW75,HELPER!$F$8:$G$48,2,FALSE),""))</f>
        <v/>
      </c>
      <c r="AY75" s="147"/>
      <c r="AZ75" s="91"/>
    </row>
    <row r="76" spans="1:52" ht="15" customHeight="1" x14ac:dyDescent="0.3">
      <c r="A76" s="147"/>
      <c r="B76" s="113">
        <v>7</v>
      </c>
      <c r="C76" s="227" t="str">
        <f>IF('INPUT DATA'!N17="","",'INPUT DATA'!N17)</f>
        <v/>
      </c>
      <c r="D76" s="228"/>
      <c r="E76" s="228"/>
      <c r="F76" s="131"/>
      <c r="G76" s="127"/>
      <c r="H76" s="127"/>
      <c r="I76" s="127"/>
      <c r="J76" s="132"/>
      <c r="K76" s="160" t="str">
        <f t="shared" si="13"/>
        <v/>
      </c>
      <c r="L76" s="185" t="str">
        <f t="shared" si="21"/>
        <v/>
      </c>
      <c r="M76" s="185" t="str">
        <f t="shared" si="15"/>
        <v/>
      </c>
      <c r="N76" s="131"/>
      <c r="O76" s="127"/>
      <c r="P76" s="127"/>
      <c r="Q76" s="127"/>
      <c r="R76" s="132"/>
      <c r="S76" s="160" t="str">
        <f t="shared" si="0"/>
        <v/>
      </c>
      <c r="T76" s="185" t="str">
        <f t="shared" si="22"/>
        <v/>
      </c>
      <c r="U76" s="185" t="str">
        <f t="shared" si="23"/>
        <v/>
      </c>
      <c r="V76" s="131"/>
      <c r="W76" s="127"/>
      <c r="X76" s="132"/>
      <c r="Y76" s="160" t="str">
        <f t="shared" si="24"/>
        <v/>
      </c>
      <c r="Z76" s="160" t="str">
        <f t="shared" si="25"/>
        <v/>
      </c>
      <c r="AA76" s="160" t="str">
        <f t="shared" si="17"/>
        <v/>
      </c>
      <c r="AB76" s="131"/>
      <c r="AC76" s="127"/>
      <c r="AD76" s="132"/>
      <c r="AE76" s="160" t="str">
        <f t="shared" si="26"/>
        <v/>
      </c>
      <c r="AF76" s="160" t="str">
        <f t="shared" si="27"/>
        <v/>
      </c>
      <c r="AG76" s="160" t="str">
        <f t="shared" si="19"/>
        <v/>
      </c>
      <c r="AH76" s="131"/>
      <c r="AI76" s="127"/>
      <c r="AJ76" s="132"/>
      <c r="AK76" s="177" t="str">
        <f t="shared" si="28"/>
        <v/>
      </c>
      <c r="AL76" s="160" t="str">
        <f t="shared" si="29"/>
        <v/>
      </c>
      <c r="AM76" s="160" t="str">
        <f t="shared" si="30"/>
        <v/>
      </c>
      <c r="AN76" s="131"/>
      <c r="AO76" s="127"/>
      <c r="AP76" s="132"/>
      <c r="AQ76" s="164" t="str">
        <f t="shared" si="31"/>
        <v/>
      </c>
      <c r="AR76" s="155" t="str">
        <f t="shared" si="32"/>
        <v/>
      </c>
      <c r="AS76" s="188" t="str">
        <f t="shared" si="33"/>
        <v/>
      </c>
      <c r="AT76" s="160" t="str">
        <f t="shared" si="34"/>
        <v/>
      </c>
      <c r="AU76" s="160" t="str">
        <f t="shared" si="35"/>
        <v/>
      </c>
      <c r="AV76" s="168" t="str">
        <f t="shared" si="36"/>
        <v/>
      </c>
      <c r="AW76" s="171" t="str">
        <f>IF(AV76="","",IFERROR(INDEX(HELPER!$D$8:$D$48,IF(AV76&gt;=HELPER!$B$8,1,MATCH(AV76,HELPER!$B$8:$B$48,-1)+1)),""))</f>
        <v/>
      </c>
      <c r="AX76" s="174" t="str">
        <f>IF(AW76="","",IFERROR(VLOOKUP(AW76,HELPER!$F$8:$G$48,2,FALSE),""))</f>
        <v/>
      </c>
      <c r="AY76" s="147"/>
      <c r="AZ76" s="91"/>
    </row>
    <row r="77" spans="1:52" ht="15" customHeight="1" x14ac:dyDescent="0.3">
      <c r="A77" s="147"/>
      <c r="B77" s="113">
        <v>8</v>
      </c>
      <c r="C77" s="227" t="str">
        <f>IF('INPUT DATA'!N18="","",'INPUT DATA'!N18)</f>
        <v/>
      </c>
      <c r="D77" s="228"/>
      <c r="E77" s="228"/>
      <c r="F77" s="131"/>
      <c r="G77" s="127"/>
      <c r="H77" s="127"/>
      <c r="I77" s="127"/>
      <c r="J77" s="132"/>
      <c r="K77" s="160" t="str">
        <f t="shared" si="13"/>
        <v/>
      </c>
      <c r="L77" s="185" t="str">
        <f t="shared" si="21"/>
        <v/>
      </c>
      <c r="M77" s="185" t="str">
        <f t="shared" si="15"/>
        <v/>
      </c>
      <c r="N77" s="131"/>
      <c r="O77" s="127"/>
      <c r="P77" s="127"/>
      <c r="Q77" s="127"/>
      <c r="R77" s="132"/>
      <c r="S77" s="160" t="str">
        <f t="shared" si="0"/>
        <v/>
      </c>
      <c r="T77" s="185" t="str">
        <f t="shared" si="22"/>
        <v/>
      </c>
      <c r="U77" s="185" t="str">
        <f t="shared" si="23"/>
        <v/>
      </c>
      <c r="V77" s="131"/>
      <c r="W77" s="127"/>
      <c r="X77" s="132"/>
      <c r="Y77" s="160" t="str">
        <f t="shared" si="24"/>
        <v/>
      </c>
      <c r="Z77" s="160" t="str">
        <f t="shared" si="25"/>
        <v/>
      </c>
      <c r="AA77" s="160" t="str">
        <f t="shared" si="17"/>
        <v/>
      </c>
      <c r="AB77" s="131"/>
      <c r="AC77" s="127"/>
      <c r="AD77" s="132"/>
      <c r="AE77" s="160" t="str">
        <f t="shared" si="26"/>
        <v/>
      </c>
      <c r="AF77" s="160" t="str">
        <f t="shared" si="27"/>
        <v/>
      </c>
      <c r="AG77" s="160" t="str">
        <f t="shared" si="19"/>
        <v/>
      </c>
      <c r="AH77" s="131"/>
      <c r="AI77" s="127"/>
      <c r="AJ77" s="132"/>
      <c r="AK77" s="177" t="str">
        <f t="shared" si="28"/>
        <v/>
      </c>
      <c r="AL77" s="160" t="str">
        <f t="shared" si="29"/>
        <v/>
      </c>
      <c r="AM77" s="160" t="str">
        <f t="shared" si="30"/>
        <v/>
      </c>
      <c r="AN77" s="131"/>
      <c r="AO77" s="127"/>
      <c r="AP77" s="132"/>
      <c r="AQ77" s="164" t="str">
        <f t="shared" si="31"/>
        <v/>
      </c>
      <c r="AR77" s="155" t="str">
        <f t="shared" si="32"/>
        <v/>
      </c>
      <c r="AS77" s="188" t="str">
        <f t="shared" si="33"/>
        <v/>
      </c>
      <c r="AT77" s="160" t="str">
        <f t="shared" si="34"/>
        <v/>
      </c>
      <c r="AU77" s="160" t="str">
        <f t="shared" si="35"/>
        <v/>
      </c>
      <c r="AV77" s="168" t="str">
        <f t="shared" si="36"/>
        <v/>
      </c>
      <c r="AW77" s="171" t="str">
        <f>IF(AV77="","",IFERROR(INDEX(HELPER!$D$8:$D$48,IF(AV77&gt;=HELPER!$B$8,1,MATCH(AV77,HELPER!$B$8:$B$48,-1)+1)),""))</f>
        <v/>
      </c>
      <c r="AX77" s="174" t="str">
        <f>IF(AW77="","",IFERROR(VLOOKUP(AW77,HELPER!$F$8:$G$48,2,FALSE),""))</f>
        <v/>
      </c>
      <c r="AY77" s="147"/>
      <c r="AZ77" s="91"/>
    </row>
    <row r="78" spans="1:52" ht="15" customHeight="1" x14ac:dyDescent="0.3">
      <c r="A78" s="147"/>
      <c r="B78" s="113">
        <v>9</v>
      </c>
      <c r="C78" s="227" t="str">
        <f>IF('INPUT DATA'!N19="","",'INPUT DATA'!N19)</f>
        <v/>
      </c>
      <c r="D78" s="228"/>
      <c r="E78" s="228"/>
      <c r="F78" s="131"/>
      <c r="G78" s="127"/>
      <c r="H78" s="127"/>
      <c r="I78" s="127"/>
      <c r="J78" s="132"/>
      <c r="K78" s="160" t="str">
        <f t="shared" si="13"/>
        <v/>
      </c>
      <c r="L78" s="185" t="str">
        <f t="shared" si="21"/>
        <v/>
      </c>
      <c r="M78" s="185" t="str">
        <f t="shared" si="15"/>
        <v/>
      </c>
      <c r="N78" s="131"/>
      <c r="O78" s="127"/>
      <c r="P78" s="127"/>
      <c r="Q78" s="127"/>
      <c r="R78" s="132"/>
      <c r="S78" s="160" t="str">
        <f t="shared" si="0"/>
        <v/>
      </c>
      <c r="T78" s="185" t="str">
        <f t="shared" si="22"/>
        <v/>
      </c>
      <c r="U78" s="185" t="str">
        <f t="shared" si="23"/>
        <v/>
      </c>
      <c r="V78" s="131"/>
      <c r="W78" s="127"/>
      <c r="X78" s="132"/>
      <c r="Y78" s="160" t="str">
        <f t="shared" si="24"/>
        <v/>
      </c>
      <c r="Z78" s="160" t="str">
        <f t="shared" si="25"/>
        <v/>
      </c>
      <c r="AA78" s="160" t="str">
        <f t="shared" si="17"/>
        <v/>
      </c>
      <c r="AB78" s="131"/>
      <c r="AC78" s="127"/>
      <c r="AD78" s="132"/>
      <c r="AE78" s="160" t="str">
        <f t="shared" si="26"/>
        <v/>
      </c>
      <c r="AF78" s="160" t="str">
        <f t="shared" si="27"/>
        <v/>
      </c>
      <c r="AG78" s="160" t="str">
        <f t="shared" si="19"/>
        <v/>
      </c>
      <c r="AH78" s="131"/>
      <c r="AI78" s="127"/>
      <c r="AJ78" s="132"/>
      <c r="AK78" s="177" t="str">
        <f t="shared" si="28"/>
        <v/>
      </c>
      <c r="AL78" s="160" t="str">
        <f t="shared" si="29"/>
        <v/>
      </c>
      <c r="AM78" s="160" t="str">
        <f t="shared" si="30"/>
        <v/>
      </c>
      <c r="AN78" s="131"/>
      <c r="AO78" s="127"/>
      <c r="AP78" s="132"/>
      <c r="AQ78" s="164" t="str">
        <f t="shared" si="31"/>
        <v/>
      </c>
      <c r="AR78" s="155" t="str">
        <f t="shared" si="32"/>
        <v/>
      </c>
      <c r="AS78" s="188" t="str">
        <f t="shared" si="33"/>
        <v/>
      </c>
      <c r="AT78" s="160" t="str">
        <f t="shared" si="34"/>
        <v/>
      </c>
      <c r="AU78" s="160" t="str">
        <f t="shared" si="35"/>
        <v/>
      </c>
      <c r="AV78" s="168" t="str">
        <f t="shared" si="36"/>
        <v/>
      </c>
      <c r="AW78" s="171" t="str">
        <f>IF(AV78="","",IFERROR(INDEX(HELPER!$D$8:$D$48,IF(AV78&gt;=HELPER!$B$8,1,MATCH(AV78,HELPER!$B$8:$B$48,-1)+1)),""))</f>
        <v/>
      </c>
      <c r="AX78" s="174" t="str">
        <f>IF(AW78="","",IFERROR(VLOOKUP(AW78,HELPER!$F$8:$G$48,2,FALSE),""))</f>
        <v/>
      </c>
      <c r="AY78" s="147"/>
      <c r="AZ78" s="91"/>
    </row>
    <row r="79" spans="1:52" ht="15" customHeight="1" x14ac:dyDescent="0.3">
      <c r="A79" s="147"/>
      <c r="B79" s="113">
        <v>10</v>
      </c>
      <c r="C79" s="227" t="str">
        <f>IF('INPUT DATA'!N20="","",'INPUT DATA'!N20)</f>
        <v/>
      </c>
      <c r="D79" s="228"/>
      <c r="E79" s="228"/>
      <c r="F79" s="131"/>
      <c r="G79" s="127"/>
      <c r="H79" s="127"/>
      <c r="I79" s="127"/>
      <c r="J79" s="132"/>
      <c r="K79" s="160" t="str">
        <f t="shared" si="13"/>
        <v/>
      </c>
      <c r="L79" s="185" t="str">
        <f t="shared" si="21"/>
        <v/>
      </c>
      <c r="M79" s="185" t="str">
        <f t="shared" si="15"/>
        <v/>
      </c>
      <c r="N79" s="131"/>
      <c r="O79" s="127"/>
      <c r="P79" s="127"/>
      <c r="Q79" s="127"/>
      <c r="R79" s="132"/>
      <c r="S79" s="160" t="str">
        <f t="shared" si="0"/>
        <v/>
      </c>
      <c r="T79" s="185" t="str">
        <f t="shared" si="22"/>
        <v/>
      </c>
      <c r="U79" s="185" t="str">
        <f t="shared" si="23"/>
        <v/>
      </c>
      <c r="V79" s="131"/>
      <c r="W79" s="127"/>
      <c r="X79" s="132"/>
      <c r="Y79" s="160" t="str">
        <f t="shared" si="24"/>
        <v/>
      </c>
      <c r="Z79" s="160" t="str">
        <f t="shared" si="25"/>
        <v/>
      </c>
      <c r="AA79" s="160" t="str">
        <f t="shared" si="17"/>
        <v/>
      </c>
      <c r="AB79" s="131"/>
      <c r="AC79" s="127"/>
      <c r="AD79" s="132"/>
      <c r="AE79" s="160" t="str">
        <f t="shared" si="26"/>
        <v/>
      </c>
      <c r="AF79" s="160" t="str">
        <f t="shared" si="27"/>
        <v/>
      </c>
      <c r="AG79" s="160" t="str">
        <f t="shared" si="19"/>
        <v/>
      </c>
      <c r="AH79" s="131"/>
      <c r="AI79" s="127"/>
      <c r="AJ79" s="132"/>
      <c r="AK79" s="177" t="str">
        <f t="shared" si="28"/>
        <v/>
      </c>
      <c r="AL79" s="160" t="str">
        <f t="shared" si="29"/>
        <v/>
      </c>
      <c r="AM79" s="160" t="str">
        <f t="shared" si="30"/>
        <v/>
      </c>
      <c r="AN79" s="131"/>
      <c r="AO79" s="127"/>
      <c r="AP79" s="132"/>
      <c r="AQ79" s="164" t="str">
        <f t="shared" si="31"/>
        <v/>
      </c>
      <c r="AR79" s="155" t="str">
        <f t="shared" si="32"/>
        <v/>
      </c>
      <c r="AS79" s="188" t="str">
        <f t="shared" si="33"/>
        <v/>
      </c>
      <c r="AT79" s="160" t="str">
        <f t="shared" si="34"/>
        <v/>
      </c>
      <c r="AU79" s="160" t="str">
        <f t="shared" si="35"/>
        <v/>
      </c>
      <c r="AV79" s="168" t="str">
        <f t="shared" si="36"/>
        <v/>
      </c>
      <c r="AW79" s="171" t="str">
        <f>IF(AV79="","",IFERROR(INDEX(HELPER!$D$8:$D$48,IF(AV79&gt;=HELPER!$B$8,1,MATCH(AV79,HELPER!$B$8:$B$48,-1)+1)),""))</f>
        <v/>
      </c>
      <c r="AX79" s="174" t="str">
        <f>IF(AW79="","",IFERROR(VLOOKUP(AW79,HELPER!$F$8:$G$48,2,FALSE),""))</f>
        <v/>
      </c>
      <c r="AY79" s="147"/>
      <c r="AZ79" s="91"/>
    </row>
    <row r="80" spans="1:52" ht="15" customHeight="1" x14ac:dyDescent="0.3">
      <c r="A80" s="147"/>
      <c r="B80" s="113">
        <v>11</v>
      </c>
      <c r="C80" s="227" t="str">
        <f>IF('INPUT DATA'!N21="","",'INPUT DATA'!N21)</f>
        <v/>
      </c>
      <c r="D80" s="228"/>
      <c r="E80" s="228"/>
      <c r="F80" s="131"/>
      <c r="G80" s="127"/>
      <c r="H80" s="127"/>
      <c r="I80" s="127"/>
      <c r="J80" s="132"/>
      <c r="K80" s="160" t="str">
        <f t="shared" si="13"/>
        <v/>
      </c>
      <c r="L80" s="185" t="str">
        <f t="shared" si="21"/>
        <v/>
      </c>
      <c r="M80" s="185" t="str">
        <f t="shared" si="15"/>
        <v/>
      </c>
      <c r="N80" s="131"/>
      <c r="O80" s="127"/>
      <c r="P80" s="127"/>
      <c r="Q80" s="127"/>
      <c r="R80" s="132"/>
      <c r="S80" s="160" t="str">
        <f t="shared" si="0"/>
        <v/>
      </c>
      <c r="T80" s="185" t="str">
        <f t="shared" si="22"/>
        <v/>
      </c>
      <c r="U80" s="185" t="str">
        <f t="shared" si="23"/>
        <v/>
      </c>
      <c r="V80" s="131"/>
      <c r="W80" s="127"/>
      <c r="X80" s="132"/>
      <c r="Y80" s="160" t="str">
        <f t="shared" si="24"/>
        <v/>
      </c>
      <c r="Z80" s="160" t="str">
        <f t="shared" si="25"/>
        <v/>
      </c>
      <c r="AA80" s="160" t="str">
        <f t="shared" si="17"/>
        <v/>
      </c>
      <c r="AB80" s="131"/>
      <c r="AC80" s="127"/>
      <c r="AD80" s="132"/>
      <c r="AE80" s="160" t="str">
        <f t="shared" si="26"/>
        <v/>
      </c>
      <c r="AF80" s="160" t="str">
        <f t="shared" si="27"/>
        <v/>
      </c>
      <c r="AG80" s="160" t="str">
        <f t="shared" si="19"/>
        <v/>
      </c>
      <c r="AH80" s="131"/>
      <c r="AI80" s="127"/>
      <c r="AJ80" s="132"/>
      <c r="AK80" s="177" t="str">
        <f t="shared" si="28"/>
        <v/>
      </c>
      <c r="AL80" s="160" t="str">
        <f t="shared" si="29"/>
        <v/>
      </c>
      <c r="AM80" s="160" t="str">
        <f t="shared" si="30"/>
        <v/>
      </c>
      <c r="AN80" s="131"/>
      <c r="AO80" s="127"/>
      <c r="AP80" s="132"/>
      <c r="AQ80" s="164" t="str">
        <f t="shared" si="31"/>
        <v/>
      </c>
      <c r="AR80" s="155" t="str">
        <f t="shared" si="32"/>
        <v/>
      </c>
      <c r="AS80" s="188" t="str">
        <f t="shared" si="33"/>
        <v/>
      </c>
      <c r="AT80" s="160" t="str">
        <f t="shared" si="34"/>
        <v/>
      </c>
      <c r="AU80" s="160" t="str">
        <f t="shared" si="35"/>
        <v/>
      </c>
      <c r="AV80" s="168" t="str">
        <f t="shared" si="36"/>
        <v/>
      </c>
      <c r="AW80" s="171" t="str">
        <f>IF(AV80="","",IFERROR(INDEX(HELPER!$D$8:$D$48,IF(AV80&gt;=HELPER!$B$8,1,MATCH(AV80,HELPER!$B$8:$B$48,-1)+1)),""))</f>
        <v/>
      </c>
      <c r="AX80" s="174" t="str">
        <f>IF(AW80="","",IFERROR(VLOOKUP(AW80,HELPER!$F$8:$G$48,2,FALSE),""))</f>
        <v/>
      </c>
      <c r="AY80" s="147"/>
      <c r="AZ80" s="91"/>
    </row>
    <row r="81" spans="1:52" ht="15" customHeight="1" x14ac:dyDescent="0.3">
      <c r="A81" s="147"/>
      <c r="B81" s="113">
        <v>12</v>
      </c>
      <c r="C81" s="227" t="str">
        <f>IF('INPUT DATA'!N22="","",'INPUT DATA'!N22)</f>
        <v/>
      </c>
      <c r="D81" s="228"/>
      <c r="E81" s="228"/>
      <c r="F81" s="131"/>
      <c r="G81" s="127"/>
      <c r="H81" s="127"/>
      <c r="I81" s="127"/>
      <c r="J81" s="132"/>
      <c r="K81" s="160" t="str">
        <f t="shared" si="13"/>
        <v/>
      </c>
      <c r="L81" s="185" t="str">
        <f t="shared" si="21"/>
        <v/>
      </c>
      <c r="M81" s="185" t="str">
        <f t="shared" si="15"/>
        <v/>
      </c>
      <c r="N81" s="131"/>
      <c r="O81" s="127"/>
      <c r="P81" s="127"/>
      <c r="Q81" s="127"/>
      <c r="R81" s="132"/>
      <c r="S81" s="160" t="str">
        <f t="shared" si="0"/>
        <v/>
      </c>
      <c r="T81" s="185" t="str">
        <f t="shared" si="22"/>
        <v/>
      </c>
      <c r="U81" s="185" t="str">
        <f t="shared" si="23"/>
        <v/>
      </c>
      <c r="V81" s="131"/>
      <c r="W81" s="127"/>
      <c r="X81" s="132"/>
      <c r="Y81" s="160" t="str">
        <f t="shared" si="24"/>
        <v/>
      </c>
      <c r="Z81" s="160" t="str">
        <f t="shared" si="25"/>
        <v/>
      </c>
      <c r="AA81" s="160" t="str">
        <f t="shared" si="17"/>
        <v/>
      </c>
      <c r="AB81" s="131"/>
      <c r="AC81" s="127"/>
      <c r="AD81" s="132"/>
      <c r="AE81" s="160" t="str">
        <f t="shared" si="26"/>
        <v/>
      </c>
      <c r="AF81" s="160" t="str">
        <f t="shared" si="27"/>
        <v/>
      </c>
      <c r="AG81" s="160" t="str">
        <f t="shared" si="19"/>
        <v/>
      </c>
      <c r="AH81" s="131"/>
      <c r="AI81" s="127"/>
      <c r="AJ81" s="132"/>
      <c r="AK81" s="177" t="str">
        <f t="shared" si="28"/>
        <v/>
      </c>
      <c r="AL81" s="160" t="str">
        <f t="shared" si="29"/>
        <v/>
      </c>
      <c r="AM81" s="160" t="str">
        <f t="shared" si="30"/>
        <v/>
      </c>
      <c r="AN81" s="131"/>
      <c r="AO81" s="127"/>
      <c r="AP81" s="132"/>
      <c r="AQ81" s="164" t="str">
        <f t="shared" si="31"/>
        <v/>
      </c>
      <c r="AR81" s="155" t="str">
        <f t="shared" si="32"/>
        <v/>
      </c>
      <c r="AS81" s="188" t="str">
        <f t="shared" si="33"/>
        <v/>
      </c>
      <c r="AT81" s="160" t="str">
        <f t="shared" si="34"/>
        <v/>
      </c>
      <c r="AU81" s="160" t="str">
        <f t="shared" si="35"/>
        <v/>
      </c>
      <c r="AV81" s="168" t="str">
        <f t="shared" si="36"/>
        <v/>
      </c>
      <c r="AW81" s="171" t="str">
        <f>IF(AV81="","",IFERROR(INDEX(HELPER!$D$8:$D$48,IF(AV81&gt;=HELPER!$B$8,1,MATCH(AV81,HELPER!$B$8:$B$48,-1)+1)),""))</f>
        <v/>
      </c>
      <c r="AX81" s="174" t="str">
        <f>IF(AW81="","",IFERROR(VLOOKUP(AW81,HELPER!$F$8:$G$48,2,FALSE),""))</f>
        <v/>
      </c>
      <c r="AY81" s="147"/>
      <c r="AZ81" s="91"/>
    </row>
    <row r="82" spans="1:52" ht="15" customHeight="1" x14ac:dyDescent="0.3">
      <c r="A82" s="147"/>
      <c r="B82" s="113">
        <v>13</v>
      </c>
      <c r="C82" s="227" t="str">
        <f>IF('INPUT DATA'!N23="","",'INPUT DATA'!N23)</f>
        <v/>
      </c>
      <c r="D82" s="228"/>
      <c r="E82" s="228"/>
      <c r="F82" s="131"/>
      <c r="G82" s="127"/>
      <c r="H82" s="127"/>
      <c r="I82" s="127"/>
      <c r="J82" s="132"/>
      <c r="K82" s="160" t="str">
        <f t="shared" si="13"/>
        <v/>
      </c>
      <c r="L82" s="185" t="str">
        <f t="shared" si="21"/>
        <v/>
      </c>
      <c r="M82" s="185" t="str">
        <f t="shared" si="15"/>
        <v/>
      </c>
      <c r="N82" s="131"/>
      <c r="O82" s="127"/>
      <c r="P82" s="127"/>
      <c r="Q82" s="127"/>
      <c r="R82" s="132"/>
      <c r="S82" s="160" t="str">
        <f t="shared" si="0"/>
        <v/>
      </c>
      <c r="T82" s="185" t="str">
        <f t="shared" si="22"/>
        <v/>
      </c>
      <c r="U82" s="185" t="str">
        <f t="shared" si="23"/>
        <v/>
      </c>
      <c r="V82" s="131"/>
      <c r="W82" s="127"/>
      <c r="X82" s="132"/>
      <c r="Y82" s="160" t="str">
        <f t="shared" si="24"/>
        <v/>
      </c>
      <c r="Z82" s="160" t="str">
        <f t="shared" si="25"/>
        <v/>
      </c>
      <c r="AA82" s="160" t="str">
        <f t="shared" si="17"/>
        <v/>
      </c>
      <c r="AB82" s="131"/>
      <c r="AC82" s="127"/>
      <c r="AD82" s="132"/>
      <c r="AE82" s="160" t="str">
        <f t="shared" si="26"/>
        <v/>
      </c>
      <c r="AF82" s="160" t="str">
        <f t="shared" si="27"/>
        <v/>
      </c>
      <c r="AG82" s="160" t="str">
        <f t="shared" si="19"/>
        <v/>
      </c>
      <c r="AH82" s="131"/>
      <c r="AI82" s="127"/>
      <c r="AJ82" s="132"/>
      <c r="AK82" s="177" t="str">
        <f t="shared" si="28"/>
        <v/>
      </c>
      <c r="AL82" s="160" t="str">
        <f t="shared" si="29"/>
        <v/>
      </c>
      <c r="AM82" s="160" t="str">
        <f t="shared" si="30"/>
        <v/>
      </c>
      <c r="AN82" s="131"/>
      <c r="AO82" s="127"/>
      <c r="AP82" s="132"/>
      <c r="AQ82" s="164" t="str">
        <f t="shared" si="31"/>
        <v/>
      </c>
      <c r="AR82" s="155" t="str">
        <f t="shared" si="32"/>
        <v/>
      </c>
      <c r="AS82" s="188" t="str">
        <f t="shared" si="33"/>
        <v/>
      </c>
      <c r="AT82" s="160" t="str">
        <f t="shared" si="34"/>
        <v/>
      </c>
      <c r="AU82" s="160" t="str">
        <f t="shared" si="35"/>
        <v/>
      </c>
      <c r="AV82" s="168" t="str">
        <f t="shared" si="36"/>
        <v/>
      </c>
      <c r="AW82" s="171" t="str">
        <f>IF(AV82="","",IFERROR(INDEX(HELPER!$D$8:$D$48,IF(AV82&gt;=HELPER!$B$8,1,MATCH(AV82,HELPER!$B$8:$B$48,-1)+1)),""))</f>
        <v/>
      </c>
      <c r="AX82" s="174" t="str">
        <f>IF(AW82="","",IFERROR(VLOOKUP(AW82,HELPER!$F$8:$G$48,2,FALSE),""))</f>
        <v/>
      </c>
      <c r="AY82" s="147"/>
      <c r="AZ82" s="91"/>
    </row>
    <row r="83" spans="1:52" ht="15" customHeight="1" x14ac:dyDescent="0.3">
      <c r="A83" s="147"/>
      <c r="B83" s="113">
        <v>14</v>
      </c>
      <c r="C83" s="227" t="str">
        <f>IF('INPUT DATA'!N24="","",'INPUT DATA'!N24)</f>
        <v/>
      </c>
      <c r="D83" s="228"/>
      <c r="E83" s="228"/>
      <c r="F83" s="131"/>
      <c r="G83" s="127"/>
      <c r="H83" s="127"/>
      <c r="I83" s="127"/>
      <c r="J83" s="132"/>
      <c r="K83" s="160" t="str">
        <f t="shared" si="13"/>
        <v/>
      </c>
      <c r="L83" s="185" t="str">
        <f t="shared" si="21"/>
        <v/>
      </c>
      <c r="M83" s="185" t="str">
        <f t="shared" si="15"/>
        <v/>
      </c>
      <c r="N83" s="131"/>
      <c r="O83" s="127"/>
      <c r="P83" s="127"/>
      <c r="Q83" s="127"/>
      <c r="R83" s="132"/>
      <c r="S83" s="160" t="str">
        <f t="shared" ref="S83:S119" si="37">IF(COUNT($N83:$R83)=0,"",SUM($N83:$R83))</f>
        <v/>
      </c>
      <c r="T83" s="185" t="str">
        <f t="shared" si="22"/>
        <v/>
      </c>
      <c r="U83" s="185" t="str">
        <f t="shared" si="23"/>
        <v/>
      </c>
      <c r="V83" s="131"/>
      <c r="W83" s="127"/>
      <c r="X83" s="132"/>
      <c r="Y83" s="160" t="str">
        <f t="shared" si="24"/>
        <v/>
      </c>
      <c r="Z83" s="160" t="str">
        <f t="shared" si="25"/>
        <v/>
      </c>
      <c r="AA83" s="160" t="str">
        <f t="shared" si="17"/>
        <v/>
      </c>
      <c r="AB83" s="131"/>
      <c r="AC83" s="127"/>
      <c r="AD83" s="132"/>
      <c r="AE83" s="160" t="str">
        <f t="shared" si="26"/>
        <v/>
      </c>
      <c r="AF83" s="160" t="str">
        <f t="shared" si="27"/>
        <v/>
      </c>
      <c r="AG83" s="160" t="str">
        <f t="shared" si="19"/>
        <v/>
      </c>
      <c r="AH83" s="131"/>
      <c r="AI83" s="127"/>
      <c r="AJ83" s="132"/>
      <c r="AK83" s="177" t="str">
        <f t="shared" si="28"/>
        <v/>
      </c>
      <c r="AL83" s="160" t="str">
        <f t="shared" si="29"/>
        <v/>
      </c>
      <c r="AM83" s="160" t="str">
        <f t="shared" si="30"/>
        <v/>
      </c>
      <c r="AN83" s="131"/>
      <c r="AO83" s="127"/>
      <c r="AP83" s="132"/>
      <c r="AQ83" s="164" t="str">
        <f t="shared" si="31"/>
        <v/>
      </c>
      <c r="AR83" s="155" t="str">
        <f t="shared" si="32"/>
        <v/>
      </c>
      <c r="AS83" s="188" t="str">
        <f t="shared" si="33"/>
        <v/>
      </c>
      <c r="AT83" s="160" t="str">
        <f t="shared" si="34"/>
        <v/>
      </c>
      <c r="AU83" s="160" t="str">
        <f t="shared" si="35"/>
        <v/>
      </c>
      <c r="AV83" s="168" t="str">
        <f t="shared" si="36"/>
        <v/>
      </c>
      <c r="AW83" s="171" t="str">
        <f>IF(AV83="","",IFERROR(INDEX(HELPER!$D$8:$D$48,IF(AV83&gt;=HELPER!$B$8,1,MATCH(AV83,HELPER!$B$8:$B$48,-1)+1)),""))</f>
        <v/>
      </c>
      <c r="AX83" s="174" t="str">
        <f>IF(AW83="","",IFERROR(VLOOKUP(AW83,HELPER!$F$8:$G$48,2,FALSE),""))</f>
        <v/>
      </c>
      <c r="AY83" s="147"/>
      <c r="AZ83" s="91"/>
    </row>
    <row r="84" spans="1:52" ht="15" customHeight="1" x14ac:dyDescent="0.3">
      <c r="A84" s="147"/>
      <c r="B84" s="113">
        <v>15</v>
      </c>
      <c r="C84" s="227" t="str">
        <f>IF('INPUT DATA'!N25="","",'INPUT DATA'!N25)</f>
        <v/>
      </c>
      <c r="D84" s="228"/>
      <c r="E84" s="228"/>
      <c r="F84" s="131"/>
      <c r="G84" s="127"/>
      <c r="H84" s="127"/>
      <c r="I84" s="127"/>
      <c r="J84" s="132"/>
      <c r="K84" s="160" t="str">
        <f t="shared" ref="K84:K119" si="38">IF(COUNT($F84:$J84)=0,"",SUM($F84:$J84))</f>
        <v/>
      </c>
      <c r="L84" s="185" t="str">
        <f t="shared" si="21"/>
        <v/>
      </c>
      <c r="M84" s="185" t="str">
        <f t="shared" ref="M84:M119" si="39">IF(L84="","",L84*$M$16)</f>
        <v/>
      </c>
      <c r="N84" s="131"/>
      <c r="O84" s="127"/>
      <c r="P84" s="127"/>
      <c r="Q84" s="127"/>
      <c r="R84" s="132"/>
      <c r="S84" s="160" t="str">
        <f t="shared" si="37"/>
        <v/>
      </c>
      <c r="T84" s="185" t="str">
        <f t="shared" si="22"/>
        <v/>
      </c>
      <c r="U84" s="185" t="str">
        <f t="shared" si="23"/>
        <v/>
      </c>
      <c r="V84" s="131"/>
      <c r="W84" s="127"/>
      <c r="X84" s="132"/>
      <c r="Y84" s="160" t="str">
        <f t="shared" si="24"/>
        <v/>
      </c>
      <c r="Z84" s="160" t="str">
        <f t="shared" si="25"/>
        <v/>
      </c>
      <c r="AA84" s="160" t="str">
        <f t="shared" ref="AA84:AA119" si="40">IF(Z84="","",Z84*$AA$16)</f>
        <v/>
      </c>
      <c r="AB84" s="131"/>
      <c r="AC84" s="127"/>
      <c r="AD84" s="132"/>
      <c r="AE84" s="160" t="str">
        <f t="shared" si="26"/>
        <v/>
      </c>
      <c r="AF84" s="160" t="str">
        <f t="shared" si="27"/>
        <v/>
      </c>
      <c r="AG84" s="160" t="str">
        <f t="shared" ref="AG84:AG119" si="41">IF(AF84="","",AF84*$AG$16)</f>
        <v/>
      </c>
      <c r="AH84" s="131"/>
      <c r="AI84" s="127"/>
      <c r="AJ84" s="132"/>
      <c r="AK84" s="177" t="str">
        <f t="shared" si="28"/>
        <v/>
      </c>
      <c r="AL84" s="160" t="str">
        <f t="shared" si="29"/>
        <v/>
      </c>
      <c r="AM84" s="160" t="str">
        <f t="shared" si="30"/>
        <v/>
      </c>
      <c r="AN84" s="131"/>
      <c r="AO84" s="127"/>
      <c r="AP84" s="132"/>
      <c r="AQ84" s="164" t="str">
        <f t="shared" si="31"/>
        <v/>
      </c>
      <c r="AR84" s="155" t="str">
        <f t="shared" si="32"/>
        <v/>
      </c>
      <c r="AS84" s="188" t="str">
        <f t="shared" si="33"/>
        <v/>
      </c>
      <c r="AT84" s="160" t="str">
        <f t="shared" si="34"/>
        <v/>
      </c>
      <c r="AU84" s="160" t="str">
        <f t="shared" si="35"/>
        <v/>
      </c>
      <c r="AV84" s="168" t="str">
        <f t="shared" si="36"/>
        <v/>
      </c>
      <c r="AW84" s="171" t="str">
        <f>IF(AV84="","",IFERROR(INDEX(HELPER!$D$8:$D$48,IF(AV84&gt;=HELPER!$B$8,1,MATCH(AV84,HELPER!$B$8:$B$48,-1)+1)),""))</f>
        <v/>
      </c>
      <c r="AX84" s="174" t="str">
        <f>IF(AW84="","",IFERROR(VLOOKUP(AW84,HELPER!$F$8:$G$48,2,FALSE),""))</f>
        <v/>
      </c>
      <c r="AY84" s="147"/>
      <c r="AZ84" s="91"/>
    </row>
    <row r="85" spans="1:52" ht="15" customHeight="1" x14ac:dyDescent="0.3">
      <c r="A85" s="147"/>
      <c r="B85" s="113">
        <v>16</v>
      </c>
      <c r="C85" s="227" t="str">
        <f>IF('INPUT DATA'!N26="","",'INPUT DATA'!N26)</f>
        <v/>
      </c>
      <c r="D85" s="228"/>
      <c r="E85" s="228"/>
      <c r="F85" s="131"/>
      <c r="G85" s="127"/>
      <c r="H85" s="127"/>
      <c r="I85" s="127"/>
      <c r="J85" s="132"/>
      <c r="K85" s="160" t="str">
        <f t="shared" si="38"/>
        <v/>
      </c>
      <c r="L85" s="185" t="str">
        <f t="shared" si="21"/>
        <v/>
      </c>
      <c r="M85" s="185" t="str">
        <f t="shared" si="39"/>
        <v/>
      </c>
      <c r="N85" s="131"/>
      <c r="O85" s="127"/>
      <c r="P85" s="127"/>
      <c r="Q85" s="127"/>
      <c r="R85" s="132"/>
      <c r="S85" s="160" t="str">
        <f t="shared" si="37"/>
        <v/>
      </c>
      <c r="T85" s="185" t="str">
        <f t="shared" si="22"/>
        <v/>
      </c>
      <c r="U85" s="185" t="str">
        <f t="shared" si="23"/>
        <v/>
      </c>
      <c r="V85" s="131"/>
      <c r="W85" s="127"/>
      <c r="X85" s="132"/>
      <c r="Y85" s="160" t="str">
        <f t="shared" si="24"/>
        <v/>
      </c>
      <c r="Z85" s="160" t="str">
        <f t="shared" si="25"/>
        <v/>
      </c>
      <c r="AA85" s="160" t="str">
        <f t="shared" si="40"/>
        <v/>
      </c>
      <c r="AB85" s="131"/>
      <c r="AC85" s="127"/>
      <c r="AD85" s="132"/>
      <c r="AE85" s="160" t="str">
        <f t="shared" si="26"/>
        <v/>
      </c>
      <c r="AF85" s="160" t="str">
        <f t="shared" si="27"/>
        <v/>
      </c>
      <c r="AG85" s="160" t="str">
        <f t="shared" si="41"/>
        <v/>
      </c>
      <c r="AH85" s="131"/>
      <c r="AI85" s="127"/>
      <c r="AJ85" s="132"/>
      <c r="AK85" s="177" t="str">
        <f t="shared" si="28"/>
        <v/>
      </c>
      <c r="AL85" s="160" t="str">
        <f t="shared" si="29"/>
        <v/>
      </c>
      <c r="AM85" s="160" t="str">
        <f t="shared" si="30"/>
        <v/>
      </c>
      <c r="AN85" s="131"/>
      <c r="AO85" s="127"/>
      <c r="AP85" s="132"/>
      <c r="AQ85" s="164" t="str">
        <f t="shared" si="31"/>
        <v/>
      </c>
      <c r="AR85" s="155" t="str">
        <f t="shared" si="32"/>
        <v/>
      </c>
      <c r="AS85" s="188" t="str">
        <f t="shared" si="33"/>
        <v/>
      </c>
      <c r="AT85" s="160" t="str">
        <f t="shared" si="34"/>
        <v/>
      </c>
      <c r="AU85" s="160" t="str">
        <f t="shared" si="35"/>
        <v/>
      </c>
      <c r="AV85" s="168" t="str">
        <f t="shared" si="36"/>
        <v/>
      </c>
      <c r="AW85" s="171" t="str">
        <f>IF(AV85="","",IFERROR(INDEX(HELPER!$D$8:$D$48,IF(AV85&gt;=HELPER!$B$8,1,MATCH(AV85,HELPER!$B$8:$B$48,-1)+1)),""))</f>
        <v/>
      </c>
      <c r="AX85" s="174" t="str">
        <f>IF(AW85="","",IFERROR(VLOOKUP(AW85,HELPER!$F$8:$G$48,2,FALSE),""))</f>
        <v/>
      </c>
      <c r="AY85" s="147"/>
      <c r="AZ85" s="91"/>
    </row>
    <row r="86" spans="1:52" ht="15" customHeight="1" x14ac:dyDescent="0.3">
      <c r="A86" s="147"/>
      <c r="B86" s="113">
        <v>17</v>
      </c>
      <c r="C86" s="227" t="str">
        <f>IF('INPUT DATA'!N27="","",'INPUT DATA'!N27)</f>
        <v/>
      </c>
      <c r="D86" s="228"/>
      <c r="E86" s="228"/>
      <c r="F86" s="131"/>
      <c r="G86" s="127"/>
      <c r="H86" s="127"/>
      <c r="I86" s="127"/>
      <c r="J86" s="132"/>
      <c r="K86" s="160" t="str">
        <f t="shared" si="38"/>
        <v/>
      </c>
      <c r="L86" s="185" t="str">
        <f t="shared" si="21"/>
        <v/>
      </c>
      <c r="M86" s="185" t="str">
        <f t="shared" si="39"/>
        <v/>
      </c>
      <c r="N86" s="131"/>
      <c r="O86" s="127"/>
      <c r="P86" s="127"/>
      <c r="Q86" s="127"/>
      <c r="R86" s="132"/>
      <c r="S86" s="160" t="str">
        <f t="shared" si="37"/>
        <v/>
      </c>
      <c r="T86" s="185" t="str">
        <f t="shared" si="22"/>
        <v/>
      </c>
      <c r="U86" s="185" t="str">
        <f t="shared" si="23"/>
        <v/>
      </c>
      <c r="V86" s="131"/>
      <c r="W86" s="127"/>
      <c r="X86" s="132"/>
      <c r="Y86" s="160" t="str">
        <f t="shared" si="24"/>
        <v/>
      </c>
      <c r="Z86" s="160" t="str">
        <f t="shared" si="25"/>
        <v/>
      </c>
      <c r="AA86" s="160" t="str">
        <f t="shared" si="40"/>
        <v/>
      </c>
      <c r="AB86" s="131"/>
      <c r="AC86" s="127"/>
      <c r="AD86" s="132"/>
      <c r="AE86" s="160" t="str">
        <f t="shared" si="26"/>
        <v/>
      </c>
      <c r="AF86" s="160" t="str">
        <f t="shared" si="27"/>
        <v/>
      </c>
      <c r="AG86" s="160" t="str">
        <f t="shared" si="41"/>
        <v/>
      </c>
      <c r="AH86" s="131"/>
      <c r="AI86" s="127"/>
      <c r="AJ86" s="132"/>
      <c r="AK86" s="177" t="str">
        <f t="shared" si="28"/>
        <v/>
      </c>
      <c r="AL86" s="160" t="str">
        <f t="shared" si="29"/>
        <v/>
      </c>
      <c r="AM86" s="160" t="str">
        <f t="shared" si="30"/>
        <v/>
      </c>
      <c r="AN86" s="131"/>
      <c r="AO86" s="127"/>
      <c r="AP86" s="132"/>
      <c r="AQ86" s="164" t="str">
        <f t="shared" si="31"/>
        <v/>
      </c>
      <c r="AR86" s="155" t="str">
        <f t="shared" si="32"/>
        <v/>
      </c>
      <c r="AS86" s="188" t="str">
        <f t="shared" si="33"/>
        <v/>
      </c>
      <c r="AT86" s="160" t="str">
        <f t="shared" si="34"/>
        <v/>
      </c>
      <c r="AU86" s="160" t="str">
        <f t="shared" si="35"/>
        <v/>
      </c>
      <c r="AV86" s="168" t="str">
        <f t="shared" si="36"/>
        <v/>
      </c>
      <c r="AW86" s="171" t="str">
        <f>IF(AV86="","",IFERROR(INDEX(HELPER!$D$8:$D$48,IF(AV86&gt;=HELPER!$B$8,1,MATCH(AV86,HELPER!$B$8:$B$48,-1)+1)),""))</f>
        <v/>
      </c>
      <c r="AX86" s="174" t="str">
        <f>IF(AW86="","",IFERROR(VLOOKUP(AW86,HELPER!$F$8:$G$48,2,FALSE),""))</f>
        <v/>
      </c>
      <c r="AY86" s="147"/>
      <c r="AZ86" s="91"/>
    </row>
    <row r="87" spans="1:52" ht="15" customHeight="1" x14ac:dyDescent="0.3">
      <c r="A87" s="147"/>
      <c r="B87" s="113">
        <v>18</v>
      </c>
      <c r="C87" s="227" t="str">
        <f>IF('INPUT DATA'!N28="","",'INPUT DATA'!N28)</f>
        <v/>
      </c>
      <c r="D87" s="228"/>
      <c r="E87" s="228"/>
      <c r="F87" s="131"/>
      <c r="G87" s="127"/>
      <c r="H87" s="127"/>
      <c r="I87" s="127"/>
      <c r="J87" s="132"/>
      <c r="K87" s="160" t="str">
        <f t="shared" si="38"/>
        <v/>
      </c>
      <c r="L87" s="185" t="str">
        <f t="shared" si="21"/>
        <v/>
      </c>
      <c r="M87" s="185" t="str">
        <f t="shared" si="39"/>
        <v/>
      </c>
      <c r="N87" s="131"/>
      <c r="O87" s="127"/>
      <c r="P87" s="127"/>
      <c r="Q87" s="127"/>
      <c r="R87" s="132"/>
      <c r="S87" s="160" t="str">
        <f t="shared" si="37"/>
        <v/>
      </c>
      <c r="T87" s="185" t="str">
        <f t="shared" si="22"/>
        <v/>
      </c>
      <c r="U87" s="185" t="str">
        <f t="shared" si="23"/>
        <v/>
      </c>
      <c r="V87" s="131"/>
      <c r="W87" s="127"/>
      <c r="X87" s="132"/>
      <c r="Y87" s="160" t="str">
        <f t="shared" si="24"/>
        <v/>
      </c>
      <c r="Z87" s="160" t="str">
        <f t="shared" si="25"/>
        <v/>
      </c>
      <c r="AA87" s="160" t="str">
        <f t="shared" si="40"/>
        <v/>
      </c>
      <c r="AB87" s="131"/>
      <c r="AC87" s="127"/>
      <c r="AD87" s="132"/>
      <c r="AE87" s="160" t="str">
        <f t="shared" si="26"/>
        <v/>
      </c>
      <c r="AF87" s="160" t="str">
        <f t="shared" si="27"/>
        <v/>
      </c>
      <c r="AG87" s="160" t="str">
        <f t="shared" si="41"/>
        <v/>
      </c>
      <c r="AH87" s="131"/>
      <c r="AI87" s="127"/>
      <c r="AJ87" s="132"/>
      <c r="AK87" s="177" t="str">
        <f t="shared" si="28"/>
        <v/>
      </c>
      <c r="AL87" s="160" t="str">
        <f t="shared" si="29"/>
        <v/>
      </c>
      <c r="AM87" s="160" t="str">
        <f t="shared" si="30"/>
        <v/>
      </c>
      <c r="AN87" s="131"/>
      <c r="AO87" s="127"/>
      <c r="AP87" s="132"/>
      <c r="AQ87" s="164" t="str">
        <f t="shared" si="31"/>
        <v/>
      </c>
      <c r="AR87" s="155" t="str">
        <f t="shared" si="32"/>
        <v/>
      </c>
      <c r="AS87" s="188" t="str">
        <f t="shared" si="33"/>
        <v/>
      </c>
      <c r="AT87" s="160" t="str">
        <f t="shared" si="34"/>
        <v/>
      </c>
      <c r="AU87" s="160" t="str">
        <f t="shared" si="35"/>
        <v/>
      </c>
      <c r="AV87" s="168" t="str">
        <f t="shared" si="36"/>
        <v/>
      </c>
      <c r="AW87" s="171" t="str">
        <f>IF(AV87="","",IFERROR(INDEX(HELPER!$D$8:$D$48,IF(AV87&gt;=HELPER!$B$8,1,MATCH(AV87,HELPER!$B$8:$B$48,-1)+1)),""))</f>
        <v/>
      </c>
      <c r="AX87" s="174" t="str">
        <f>IF(AW87="","",IFERROR(VLOOKUP(AW87,HELPER!$F$8:$G$48,2,FALSE),""))</f>
        <v/>
      </c>
      <c r="AY87" s="147"/>
      <c r="AZ87" s="91"/>
    </row>
    <row r="88" spans="1:52" ht="15" customHeight="1" x14ac:dyDescent="0.3">
      <c r="A88" s="147"/>
      <c r="B88" s="113">
        <v>19</v>
      </c>
      <c r="C88" s="227" t="str">
        <f>IF('INPUT DATA'!N29="","",'INPUT DATA'!N29)</f>
        <v/>
      </c>
      <c r="D88" s="228"/>
      <c r="E88" s="228"/>
      <c r="F88" s="131"/>
      <c r="G88" s="127"/>
      <c r="H88" s="127"/>
      <c r="I88" s="127"/>
      <c r="J88" s="132"/>
      <c r="K88" s="160" t="str">
        <f t="shared" si="38"/>
        <v/>
      </c>
      <c r="L88" s="185" t="str">
        <f t="shared" si="21"/>
        <v/>
      </c>
      <c r="M88" s="185" t="str">
        <f t="shared" si="39"/>
        <v/>
      </c>
      <c r="N88" s="131"/>
      <c r="O88" s="127"/>
      <c r="P88" s="127"/>
      <c r="Q88" s="127"/>
      <c r="R88" s="132"/>
      <c r="S88" s="160" t="str">
        <f t="shared" si="37"/>
        <v/>
      </c>
      <c r="T88" s="185" t="str">
        <f t="shared" si="22"/>
        <v/>
      </c>
      <c r="U88" s="185" t="str">
        <f t="shared" si="23"/>
        <v/>
      </c>
      <c r="V88" s="131"/>
      <c r="W88" s="127"/>
      <c r="X88" s="132"/>
      <c r="Y88" s="160" t="str">
        <f t="shared" si="24"/>
        <v/>
      </c>
      <c r="Z88" s="160" t="str">
        <f t="shared" si="25"/>
        <v/>
      </c>
      <c r="AA88" s="160" t="str">
        <f t="shared" si="40"/>
        <v/>
      </c>
      <c r="AB88" s="131"/>
      <c r="AC88" s="127"/>
      <c r="AD88" s="132"/>
      <c r="AE88" s="160" t="str">
        <f t="shared" si="26"/>
        <v/>
      </c>
      <c r="AF88" s="160" t="str">
        <f t="shared" si="27"/>
        <v/>
      </c>
      <c r="AG88" s="160" t="str">
        <f t="shared" si="41"/>
        <v/>
      </c>
      <c r="AH88" s="131"/>
      <c r="AI88" s="127"/>
      <c r="AJ88" s="132"/>
      <c r="AK88" s="177" t="str">
        <f t="shared" si="28"/>
        <v/>
      </c>
      <c r="AL88" s="160" t="str">
        <f t="shared" si="29"/>
        <v/>
      </c>
      <c r="AM88" s="160" t="str">
        <f t="shared" si="30"/>
        <v/>
      </c>
      <c r="AN88" s="131"/>
      <c r="AO88" s="127"/>
      <c r="AP88" s="132"/>
      <c r="AQ88" s="164" t="str">
        <f t="shared" si="31"/>
        <v/>
      </c>
      <c r="AR88" s="155" t="str">
        <f t="shared" si="32"/>
        <v/>
      </c>
      <c r="AS88" s="188" t="str">
        <f t="shared" si="33"/>
        <v/>
      </c>
      <c r="AT88" s="160" t="str">
        <f t="shared" si="34"/>
        <v/>
      </c>
      <c r="AU88" s="160" t="str">
        <f t="shared" si="35"/>
        <v/>
      </c>
      <c r="AV88" s="168" t="str">
        <f t="shared" si="36"/>
        <v/>
      </c>
      <c r="AW88" s="171" t="str">
        <f>IF(AV88="","",IFERROR(INDEX(HELPER!$D$8:$D$48,IF(AV88&gt;=HELPER!$B$8,1,MATCH(AV88,HELPER!$B$8:$B$48,-1)+1)),""))</f>
        <v/>
      </c>
      <c r="AX88" s="174" t="str">
        <f>IF(AW88="","",IFERROR(VLOOKUP(AW88,HELPER!$F$8:$G$48,2,FALSE),""))</f>
        <v/>
      </c>
      <c r="AY88" s="147"/>
      <c r="AZ88" s="91"/>
    </row>
    <row r="89" spans="1:52" ht="15" customHeight="1" x14ac:dyDescent="0.3">
      <c r="A89" s="147"/>
      <c r="B89" s="114">
        <v>20</v>
      </c>
      <c r="C89" s="227" t="str">
        <f>IF('INPUT DATA'!N30="","",'INPUT DATA'!N30)</f>
        <v/>
      </c>
      <c r="D89" s="228"/>
      <c r="E89" s="228"/>
      <c r="F89" s="131"/>
      <c r="G89" s="127"/>
      <c r="H89" s="127"/>
      <c r="I89" s="127"/>
      <c r="J89" s="132"/>
      <c r="K89" s="160" t="str">
        <f t="shared" si="38"/>
        <v/>
      </c>
      <c r="L89" s="185" t="str">
        <f t="shared" si="21"/>
        <v/>
      </c>
      <c r="M89" s="185" t="str">
        <f t="shared" si="39"/>
        <v/>
      </c>
      <c r="N89" s="131"/>
      <c r="O89" s="127"/>
      <c r="P89" s="127"/>
      <c r="Q89" s="127"/>
      <c r="R89" s="132"/>
      <c r="S89" s="160" t="str">
        <f t="shared" si="37"/>
        <v/>
      </c>
      <c r="T89" s="185" t="str">
        <f t="shared" si="22"/>
        <v/>
      </c>
      <c r="U89" s="185" t="str">
        <f t="shared" si="23"/>
        <v/>
      </c>
      <c r="V89" s="131"/>
      <c r="W89" s="127"/>
      <c r="X89" s="132"/>
      <c r="Y89" s="160" t="str">
        <f t="shared" si="24"/>
        <v/>
      </c>
      <c r="Z89" s="160" t="str">
        <f t="shared" si="25"/>
        <v/>
      </c>
      <c r="AA89" s="160" t="str">
        <f t="shared" si="40"/>
        <v/>
      </c>
      <c r="AB89" s="131"/>
      <c r="AC89" s="127"/>
      <c r="AD89" s="132"/>
      <c r="AE89" s="160" t="str">
        <f t="shared" si="26"/>
        <v/>
      </c>
      <c r="AF89" s="160" t="str">
        <f t="shared" si="27"/>
        <v/>
      </c>
      <c r="AG89" s="160" t="str">
        <f t="shared" si="41"/>
        <v/>
      </c>
      <c r="AH89" s="131"/>
      <c r="AI89" s="127"/>
      <c r="AJ89" s="132"/>
      <c r="AK89" s="177" t="str">
        <f t="shared" si="28"/>
        <v/>
      </c>
      <c r="AL89" s="160" t="str">
        <f t="shared" si="29"/>
        <v/>
      </c>
      <c r="AM89" s="160" t="str">
        <f t="shared" si="30"/>
        <v/>
      </c>
      <c r="AN89" s="131"/>
      <c r="AO89" s="127"/>
      <c r="AP89" s="132"/>
      <c r="AQ89" s="164" t="str">
        <f t="shared" si="31"/>
        <v/>
      </c>
      <c r="AR89" s="155" t="str">
        <f t="shared" si="32"/>
        <v/>
      </c>
      <c r="AS89" s="188" t="str">
        <f t="shared" si="33"/>
        <v/>
      </c>
      <c r="AT89" s="160" t="str">
        <f t="shared" si="34"/>
        <v/>
      </c>
      <c r="AU89" s="160" t="str">
        <f t="shared" si="35"/>
        <v/>
      </c>
      <c r="AV89" s="168" t="str">
        <f t="shared" si="36"/>
        <v/>
      </c>
      <c r="AW89" s="171" t="str">
        <f>IF(AV89="","",IFERROR(INDEX(HELPER!$D$8:$D$48,IF(AV89&gt;=HELPER!$B$8,1,MATCH(AV89,HELPER!$B$8:$B$48,-1)+1)),""))</f>
        <v/>
      </c>
      <c r="AX89" s="174" t="str">
        <f>IF(AW89="","",IFERROR(VLOOKUP(AW89,HELPER!$F$8:$G$48,2,FALSE),""))</f>
        <v/>
      </c>
      <c r="AY89" s="147"/>
      <c r="AZ89" s="91"/>
    </row>
    <row r="90" spans="1:52" ht="15" customHeight="1" x14ac:dyDescent="0.3">
      <c r="A90" s="147"/>
      <c r="B90" s="114">
        <v>21</v>
      </c>
      <c r="C90" s="227" t="str">
        <f>IF('INPUT DATA'!N31="","",'INPUT DATA'!N31)</f>
        <v/>
      </c>
      <c r="D90" s="228"/>
      <c r="E90" s="228"/>
      <c r="F90" s="131"/>
      <c r="G90" s="127"/>
      <c r="H90" s="127"/>
      <c r="I90" s="127"/>
      <c r="J90" s="132"/>
      <c r="K90" s="160" t="str">
        <f t="shared" si="38"/>
        <v/>
      </c>
      <c r="L90" s="185" t="str">
        <f t="shared" si="21"/>
        <v/>
      </c>
      <c r="M90" s="185" t="str">
        <f t="shared" si="39"/>
        <v/>
      </c>
      <c r="N90" s="131"/>
      <c r="O90" s="127"/>
      <c r="P90" s="127"/>
      <c r="Q90" s="127"/>
      <c r="R90" s="132"/>
      <c r="S90" s="160" t="str">
        <f t="shared" si="37"/>
        <v/>
      </c>
      <c r="T90" s="185" t="str">
        <f t="shared" si="22"/>
        <v/>
      </c>
      <c r="U90" s="185" t="str">
        <f t="shared" si="23"/>
        <v/>
      </c>
      <c r="V90" s="131"/>
      <c r="W90" s="127"/>
      <c r="X90" s="132"/>
      <c r="Y90" s="160" t="str">
        <f t="shared" si="24"/>
        <v/>
      </c>
      <c r="Z90" s="160" t="str">
        <f t="shared" si="25"/>
        <v/>
      </c>
      <c r="AA90" s="160" t="str">
        <f t="shared" si="40"/>
        <v/>
      </c>
      <c r="AB90" s="131"/>
      <c r="AC90" s="127"/>
      <c r="AD90" s="132"/>
      <c r="AE90" s="160" t="str">
        <f t="shared" si="26"/>
        <v/>
      </c>
      <c r="AF90" s="160" t="str">
        <f t="shared" si="27"/>
        <v/>
      </c>
      <c r="AG90" s="160" t="str">
        <f t="shared" si="41"/>
        <v/>
      </c>
      <c r="AH90" s="131"/>
      <c r="AI90" s="127"/>
      <c r="AJ90" s="132"/>
      <c r="AK90" s="177" t="str">
        <f t="shared" si="28"/>
        <v/>
      </c>
      <c r="AL90" s="160" t="str">
        <f t="shared" si="29"/>
        <v/>
      </c>
      <c r="AM90" s="160" t="str">
        <f t="shared" si="30"/>
        <v/>
      </c>
      <c r="AN90" s="131"/>
      <c r="AO90" s="127"/>
      <c r="AP90" s="132"/>
      <c r="AQ90" s="164" t="str">
        <f t="shared" si="31"/>
        <v/>
      </c>
      <c r="AR90" s="155" t="str">
        <f t="shared" si="32"/>
        <v/>
      </c>
      <c r="AS90" s="188" t="str">
        <f t="shared" si="33"/>
        <v/>
      </c>
      <c r="AT90" s="160" t="str">
        <f t="shared" si="34"/>
        <v/>
      </c>
      <c r="AU90" s="160" t="str">
        <f t="shared" si="35"/>
        <v/>
      </c>
      <c r="AV90" s="168" t="str">
        <f t="shared" si="36"/>
        <v/>
      </c>
      <c r="AW90" s="171" t="str">
        <f>IF(AV90="","",IFERROR(INDEX(HELPER!$D$8:$D$48,IF(AV90&gt;=HELPER!$B$8,1,MATCH(AV90,HELPER!$B$8:$B$48,-1)+1)),""))</f>
        <v/>
      </c>
      <c r="AX90" s="174" t="str">
        <f>IF(AW90="","",IFERROR(VLOOKUP(AW90,HELPER!$F$8:$G$48,2,FALSE),""))</f>
        <v/>
      </c>
      <c r="AY90" s="147"/>
      <c r="AZ90" s="91"/>
    </row>
    <row r="91" spans="1:52" ht="15" customHeight="1" x14ac:dyDescent="0.3">
      <c r="A91" s="147"/>
      <c r="B91" s="114">
        <v>22</v>
      </c>
      <c r="C91" s="227" t="str">
        <f>IF('INPUT DATA'!N32="","",'INPUT DATA'!N32)</f>
        <v/>
      </c>
      <c r="D91" s="228"/>
      <c r="E91" s="228"/>
      <c r="F91" s="131"/>
      <c r="G91" s="127"/>
      <c r="H91" s="127"/>
      <c r="I91" s="127"/>
      <c r="J91" s="132"/>
      <c r="K91" s="160" t="str">
        <f t="shared" si="38"/>
        <v/>
      </c>
      <c r="L91" s="185" t="str">
        <f t="shared" si="21"/>
        <v/>
      </c>
      <c r="M91" s="185" t="str">
        <f t="shared" si="39"/>
        <v/>
      </c>
      <c r="N91" s="131"/>
      <c r="O91" s="127"/>
      <c r="P91" s="127"/>
      <c r="Q91" s="127"/>
      <c r="R91" s="132"/>
      <c r="S91" s="160" t="str">
        <f t="shared" si="37"/>
        <v/>
      </c>
      <c r="T91" s="185" t="str">
        <f t="shared" si="22"/>
        <v/>
      </c>
      <c r="U91" s="185" t="str">
        <f t="shared" si="23"/>
        <v/>
      </c>
      <c r="V91" s="131"/>
      <c r="W91" s="127"/>
      <c r="X91" s="132"/>
      <c r="Y91" s="160" t="str">
        <f t="shared" si="24"/>
        <v/>
      </c>
      <c r="Z91" s="160" t="str">
        <f t="shared" si="25"/>
        <v/>
      </c>
      <c r="AA91" s="160" t="str">
        <f t="shared" si="40"/>
        <v/>
      </c>
      <c r="AB91" s="131"/>
      <c r="AC91" s="127"/>
      <c r="AD91" s="132"/>
      <c r="AE91" s="160" t="str">
        <f t="shared" si="26"/>
        <v/>
      </c>
      <c r="AF91" s="160" t="str">
        <f t="shared" si="27"/>
        <v/>
      </c>
      <c r="AG91" s="160" t="str">
        <f t="shared" si="41"/>
        <v/>
      </c>
      <c r="AH91" s="131"/>
      <c r="AI91" s="127"/>
      <c r="AJ91" s="132"/>
      <c r="AK91" s="177" t="str">
        <f t="shared" si="28"/>
        <v/>
      </c>
      <c r="AL91" s="160" t="str">
        <f t="shared" si="29"/>
        <v/>
      </c>
      <c r="AM91" s="160" t="str">
        <f t="shared" si="30"/>
        <v/>
      </c>
      <c r="AN91" s="131"/>
      <c r="AO91" s="127"/>
      <c r="AP91" s="132"/>
      <c r="AQ91" s="164" t="str">
        <f t="shared" si="31"/>
        <v/>
      </c>
      <c r="AR91" s="155" t="str">
        <f t="shared" si="32"/>
        <v/>
      </c>
      <c r="AS91" s="188" t="str">
        <f t="shared" si="33"/>
        <v/>
      </c>
      <c r="AT91" s="160" t="str">
        <f t="shared" si="34"/>
        <v/>
      </c>
      <c r="AU91" s="160" t="str">
        <f t="shared" si="35"/>
        <v/>
      </c>
      <c r="AV91" s="168" t="str">
        <f t="shared" si="36"/>
        <v/>
      </c>
      <c r="AW91" s="171" t="str">
        <f>IF(AV91="","",IFERROR(INDEX(HELPER!$D$8:$D$48,IF(AV91&gt;=HELPER!$B$8,1,MATCH(AV91,HELPER!$B$8:$B$48,-1)+1)),""))</f>
        <v/>
      </c>
      <c r="AX91" s="174" t="str">
        <f>IF(AW91="","",IFERROR(VLOOKUP(AW91,HELPER!$F$8:$G$48,2,FALSE),""))</f>
        <v/>
      </c>
      <c r="AY91" s="147"/>
      <c r="AZ91" s="91"/>
    </row>
    <row r="92" spans="1:52" ht="15" customHeight="1" x14ac:dyDescent="0.3">
      <c r="A92" s="147"/>
      <c r="B92" s="114">
        <v>23</v>
      </c>
      <c r="C92" s="227" t="str">
        <f>IF('INPUT DATA'!N33="","",'INPUT DATA'!N33)</f>
        <v/>
      </c>
      <c r="D92" s="228"/>
      <c r="E92" s="228"/>
      <c r="F92" s="131"/>
      <c r="G92" s="127"/>
      <c r="H92" s="127"/>
      <c r="I92" s="127"/>
      <c r="J92" s="132"/>
      <c r="K92" s="160" t="str">
        <f t="shared" si="38"/>
        <v/>
      </c>
      <c r="L92" s="185" t="str">
        <f t="shared" si="21"/>
        <v/>
      </c>
      <c r="M92" s="185" t="str">
        <f t="shared" si="39"/>
        <v/>
      </c>
      <c r="N92" s="131"/>
      <c r="O92" s="127"/>
      <c r="P92" s="127"/>
      <c r="Q92" s="127"/>
      <c r="R92" s="132"/>
      <c r="S92" s="160" t="str">
        <f t="shared" si="37"/>
        <v/>
      </c>
      <c r="T92" s="185" t="str">
        <f t="shared" si="22"/>
        <v/>
      </c>
      <c r="U92" s="185" t="str">
        <f t="shared" si="23"/>
        <v/>
      </c>
      <c r="V92" s="131"/>
      <c r="W92" s="127"/>
      <c r="X92" s="132"/>
      <c r="Y92" s="160" t="str">
        <f t="shared" si="24"/>
        <v/>
      </c>
      <c r="Z92" s="160" t="str">
        <f t="shared" si="25"/>
        <v/>
      </c>
      <c r="AA92" s="160" t="str">
        <f t="shared" si="40"/>
        <v/>
      </c>
      <c r="AB92" s="131"/>
      <c r="AC92" s="127"/>
      <c r="AD92" s="132"/>
      <c r="AE92" s="160" t="str">
        <f t="shared" si="26"/>
        <v/>
      </c>
      <c r="AF92" s="160" t="str">
        <f t="shared" si="27"/>
        <v/>
      </c>
      <c r="AG92" s="160" t="str">
        <f t="shared" si="41"/>
        <v/>
      </c>
      <c r="AH92" s="131"/>
      <c r="AI92" s="127"/>
      <c r="AJ92" s="132"/>
      <c r="AK92" s="177" t="str">
        <f t="shared" si="28"/>
        <v/>
      </c>
      <c r="AL92" s="160" t="str">
        <f t="shared" si="29"/>
        <v/>
      </c>
      <c r="AM92" s="160" t="str">
        <f t="shared" si="30"/>
        <v/>
      </c>
      <c r="AN92" s="131"/>
      <c r="AO92" s="127"/>
      <c r="AP92" s="132"/>
      <c r="AQ92" s="164" t="str">
        <f t="shared" si="31"/>
        <v/>
      </c>
      <c r="AR92" s="155" t="str">
        <f t="shared" si="32"/>
        <v/>
      </c>
      <c r="AS92" s="188" t="str">
        <f t="shared" si="33"/>
        <v/>
      </c>
      <c r="AT92" s="160" t="str">
        <f t="shared" si="34"/>
        <v/>
      </c>
      <c r="AU92" s="160" t="str">
        <f t="shared" si="35"/>
        <v/>
      </c>
      <c r="AV92" s="168" t="str">
        <f t="shared" si="36"/>
        <v/>
      </c>
      <c r="AW92" s="171" t="str">
        <f>IF(AV92="","",IFERROR(INDEX(HELPER!$D$8:$D$48,IF(AV92&gt;=HELPER!$B$8,1,MATCH(AV92,HELPER!$B$8:$B$48,-1)+1)),""))</f>
        <v/>
      </c>
      <c r="AX92" s="174" t="str">
        <f>IF(AW92="","",IFERROR(VLOOKUP(AW92,HELPER!$F$8:$G$48,2,FALSE),""))</f>
        <v/>
      </c>
      <c r="AY92" s="147"/>
      <c r="AZ92" s="91"/>
    </row>
    <row r="93" spans="1:52" ht="15" customHeight="1" x14ac:dyDescent="0.3">
      <c r="A93" s="147"/>
      <c r="B93" s="114">
        <v>24</v>
      </c>
      <c r="C93" s="227" t="str">
        <f>IF('INPUT DATA'!N34="","",'INPUT DATA'!N34)</f>
        <v/>
      </c>
      <c r="D93" s="228"/>
      <c r="E93" s="228"/>
      <c r="F93" s="131"/>
      <c r="G93" s="127"/>
      <c r="H93" s="127"/>
      <c r="I93" s="127"/>
      <c r="J93" s="132"/>
      <c r="K93" s="160" t="str">
        <f t="shared" si="38"/>
        <v/>
      </c>
      <c r="L93" s="185" t="str">
        <f t="shared" si="21"/>
        <v/>
      </c>
      <c r="M93" s="185" t="str">
        <f t="shared" si="39"/>
        <v/>
      </c>
      <c r="N93" s="131"/>
      <c r="O93" s="127"/>
      <c r="P93" s="127"/>
      <c r="Q93" s="127"/>
      <c r="R93" s="132"/>
      <c r="S93" s="160" t="str">
        <f t="shared" si="37"/>
        <v/>
      </c>
      <c r="T93" s="185" t="str">
        <f t="shared" si="22"/>
        <v/>
      </c>
      <c r="U93" s="185" t="str">
        <f t="shared" si="23"/>
        <v/>
      </c>
      <c r="V93" s="131"/>
      <c r="W93" s="127"/>
      <c r="X93" s="132"/>
      <c r="Y93" s="160" t="str">
        <f t="shared" si="24"/>
        <v/>
      </c>
      <c r="Z93" s="160" t="str">
        <f t="shared" si="25"/>
        <v/>
      </c>
      <c r="AA93" s="160" t="str">
        <f t="shared" si="40"/>
        <v/>
      </c>
      <c r="AB93" s="131"/>
      <c r="AC93" s="127"/>
      <c r="AD93" s="132"/>
      <c r="AE93" s="160" t="str">
        <f t="shared" si="26"/>
        <v/>
      </c>
      <c r="AF93" s="160" t="str">
        <f t="shared" si="27"/>
        <v/>
      </c>
      <c r="AG93" s="160" t="str">
        <f t="shared" si="41"/>
        <v/>
      </c>
      <c r="AH93" s="131"/>
      <c r="AI93" s="127"/>
      <c r="AJ93" s="132"/>
      <c r="AK93" s="177" t="str">
        <f t="shared" si="28"/>
        <v/>
      </c>
      <c r="AL93" s="160" t="str">
        <f t="shared" si="29"/>
        <v/>
      </c>
      <c r="AM93" s="160" t="str">
        <f t="shared" si="30"/>
        <v/>
      </c>
      <c r="AN93" s="131"/>
      <c r="AO93" s="127"/>
      <c r="AP93" s="132"/>
      <c r="AQ93" s="164" t="str">
        <f t="shared" si="31"/>
        <v/>
      </c>
      <c r="AR93" s="155" t="str">
        <f t="shared" si="32"/>
        <v/>
      </c>
      <c r="AS93" s="188" t="str">
        <f t="shared" si="33"/>
        <v/>
      </c>
      <c r="AT93" s="160" t="str">
        <f t="shared" si="34"/>
        <v/>
      </c>
      <c r="AU93" s="160" t="str">
        <f t="shared" si="35"/>
        <v/>
      </c>
      <c r="AV93" s="168" t="str">
        <f t="shared" si="36"/>
        <v/>
      </c>
      <c r="AW93" s="171" t="str">
        <f>IF(AV93="","",IFERROR(INDEX(HELPER!$D$8:$D$48,IF(AV93&gt;=HELPER!$B$8,1,MATCH(AV93,HELPER!$B$8:$B$48,-1)+1)),""))</f>
        <v/>
      </c>
      <c r="AX93" s="174" t="str">
        <f>IF(AW93="","",IFERROR(VLOOKUP(AW93,HELPER!$F$8:$G$48,2,FALSE),""))</f>
        <v/>
      </c>
      <c r="AY93" s="147"/>
      <c r="AZ93" s="91"/>
    </row>
    <row r="94" spans="1:52" ht="15" customHeight="1" x14ac:dyDescent="0.3">
      <c r="A94" s="147"/>
      <c r="B94" s="114">
        <v>25</v>
      </c>
      <c r="C94" s="227" t="str">
        <f>IF('INPUT DATA'!N35="","",'INPUT DATA'!N35)</f>
        <v/>
      </c>
      <c r="D94" s="228"/>
      <c r="E94" s="228"/>
      <c r="F94" s="131"/>
      <c r="G94" s="127"/>
      <c r="H94" s="127"/>
      <c r="I94" s="127"/>
      <c r="J94" s="132"/>
      <c r="K94" s="160" t="str">
        <f t="shared" si="38"/>
        <v/>
      </c>
      <c r="L94" s="185" t="str">
        <f t="shared" si="21"/>
        <v/>
      </c>
      <c r="M94" s="185" t="str">
        <f t="shared" si="39"/>
        <v/>
      </c>
      <c r="N94" s="131"/>
      <c r="O94" s="127"/>
      <c r="P94" s="127"/>
      <c r="Q94" s="127"/>
      <c r="R94" s="132"/>
      <c r="S94" s="160" t="str">
        <f t="shared" si="37"/>
        <v/>
      </c>
      <c r="T94" s="185" t="str">
        <f t="shared" si="22"/>
        <v/>
      </c>
      <c r="U94" s="185" t="str">
        <f t="shared" si="23"/>
        <v/>
      </c>
      <c r="V94" s="131"/>
      <c r="W94" s="127"/>
      <c r="X94" s="132"/>
      <c r="Y94" s="160" t="str">
        <f t="shared" si="24"/>
        <v/>
      </c>
      <c r="Z94" s="160" t="str">
        <f t="shared" si="25"/>
        <v/>
      </c>
      <c r="AA94" s="160" t="str">
        <f t="shared" si="40"/>
        <v/>
      </c>
      <c r="AB94" s="131"/>
      <c r="AC94" s="127"/>
      <c r="AD94" s="132"/>
      <c r="AE94" s="160" t="str">
        <f t="shared" si="26"/>
        <v/>
      </c>
      <c r="AF94" s="160" t="str">
        <f t="shared" si="27"/>
        <v/>
      </c>
      <c r="AG94" s="160" t="str">
        <f t="shared" si="41"/>
        <v/>
      </c>
      <c r="AH94" s="131"/>
      <c r="AI94" s="127"/>
      <c r="AJ94" s="132"/>
      <c r="AK94" s="177" t="str">
        <f t="shared" si="28"/>
        <v/>
      </c>
      <c r="AL94" s="160" t="str">
        <f t="shared" si="29"/>
        <v/>
      </c>
      <c r="AM94" s="160" t="str">
        <f t="shared" si="30"/>
        <v/>
      </c>
      <c r="AN94" s="131"/>
      <c r="AO94" s="127"/>
      <c r="AP94" s="132"/>
      <c r="AQ94" s="164" t="str">
        <f t="shared" si="31"/>
        <v/>
      </c>
      <c r="AR94" s="155" t="str">
        <f t="shared" si="32"/>
        <v/>
      </c>
      <c r="AS94" s="188" t="str">
        <f t="shared" si="33"/>
        <v/>
      </c>
      <c r="AT94" s="160" t="str">
        <f t="shared" si="34"/>
        <v/>
      </c>
      <c r="AU94" s="160" t="str">
        <f t="shared" si="35"/>
        <v/>
      </c>
      <c r="AV94" s="168" t="str">
        <f t="shared" si="36"/>
        <v/>
      </c>
      <c r="AW94" s="171" t="str">
        <f>IF(AV94="","",IFERROR(INDEX(HELPER!$D$8:$D$48,IF(AV94&gt;=HELPER!$B$8,1,MATCH(AV94,HELPER!$B$8:$B$48,-1)+1)),""))</f>
        <v/>
      </c>
      <c r="AX94" s="174" t="str">
        <f>IF(AW94="","",IFERROR(VLOOKUP(AW94,HELPER!$F$8:$G$48,2,FALSE),""))</f>
        <v/>
      </c>
      <c r="AY94" s="147"/>
      <c r="AZ94" s="91"/>
    </row>
    <row r="95" spans="1:52" ht="15" customHeight="1" x14ac:dyDescent="0.3">
      <c r="A95" s="147"/>
      <c r="B95" s="114">
        <v>26</v>
      </c>
      <c r="C95" s="227" t="str">
        <f>IF('INPUT DATA'!N36="","",'INPUT DATA'!N36)</f>
        <v/>
      </c>
      <c r="D95" s="228"/>
      <c r="E95" s="228"/>
      <c r="F95" s="131"/>
      <c r="G95" s="127"/>
      <c r="H95" s="127"/>
      <c r="I95" s="127"/>
      <c r="J95" s="132"/>
      <c r="K95" s="160" t="str">
        <f t="shared" si="38"/>
        <v/>
      </c>
      <c r="L95" s="185" t="str">
        <f t="shared" si="21"/>
        <v/>
      </c>
      <c r="M95" s="185" t="str">
        <f t="shared" si="39"/>
        <v/>
      </c>
      <c r="N95" s="131"/>
      <c r="O95" s="127"/>
      <c r="P95" s="127"/>
      <c r="Q95" s="127"/>
      <c r="R95" s="132"/>
      <c r="S95" s="160" t="str">
        <f t="shared" si="37"/>
        <v/>
      </c>
      <c r="T95" s="185" t="str">
        <f t="shared" si="22"/>
        <v/>
      </c>
      <c r="U95" s="185" t="str">
        <f t="shared" si="23"/>
        <v/>
      </c>
      <c r="V95" s="131"/>
      <c r="W95" s="127"/>
      <c r="X95" s="132"/>
      <c r="Y95" s="160" t="str">
        <f t="shared" si="24"/>
        <v/>
      </c>
      <c r="Z95" s="160" t="str">
        <f t="shared" si="25"/>
        <v/>
      </c>
      <c r="AA95" s="160" t="str">
        <f t="shared" si="40"/>
        <v/>
      </c>
      <c r="AB95" s="131"/>
      <c r="AC95" s="127"/>
      <c r="AD95" s="132"/>
      <c r="AE95" s="160" t="str">
        <f t="shared" si="26"/>
        <v/>
      </c>
      <c r="AF95" s="160" t="str">
        <f t="shared" si="27"/>
        <v/>
      </c>
      <c r="AG95" s="160" t="str">
        <f t="shared" si="41"/>
        <v/>
      </c>
      <c r="AH95" s="131"/>
      <c r="AI95" s="127"/>
      <c r="AJ95" s="132"/>
      <c r="AK95" s="177" t="str">
        <f t="shared" si="28"/>
        <v/>
      </c>
      <c r="AL95" s="160" t="str">
        <f t="shared" si="29"/>
        <v/>
      </c>
      <c r="AM95" s="160" t="str">
        <f t="shared" si="30"/>
        <v/>
      </c>
      <c r="AN95" s="131"/>
      <c r="AO95" s="127"/>
      <c r="AP95" s="132"/>
      <c r="AQ95" s="164" t="str">
        <f t="shared" si="31"/>
        <v/>
      </c>
      <c r="AR95" s="155" t="str">
        <f t="shared" si="32"/>
        <v/>
      </c>
      <c r="AS95" s="188" t="str">
        <f t="shared" si="33"/>
        <v/>
      </c>
      <c r="AT95" s="160" t="str">
        <f t="shared" si="34"/>
        <v/>
      </c>
      <c r="AU95" s="160" t="str">
        <f t="shared" si="35"/>
        <v/>
      </c>
      <c r="AV95" s="168" t="str">
        <f t="shared" si="36"/>
        <v/>
      </c>
      <c r="AW95" s="171" t="str">
        <f>IF(AV95="","",IFERROR(INDEX(HELPER!$D$8:$D$48,IF(AV95&gt;=HELPER!$B$8,1,MATCH(AV95,HELPER!$B$8:$B$48,-1)+1)),""))</f>
        <v/>
      </c>
      <c r="AX95" s="174" t="str">
        <f>IF(AW95="","",IFERROR(VLOOKUP(AW95,HELPER!$F$8:$G$48,2,FALSE),""))</f>
        <v/>
      </c>
      <c r="AY95" s="147"/>
      <c r="AZ95" s="91"/>
    </row>
    <row r="96" spans="1:52" ht="15" customHeight="1" x14ac:dyDescent="0.3">
      <c r="A96" s="147"/>
      <c r="B96" s="114">
        <v>27</v>
      </c>
      <c r="C96" s="227" t="str">
        <f>IF('INPUT DATA'!N37="","",'INPUT DATA'!N37)</f>
        <v/>
      </c>
      <c r="D96" s="228"/>
      <c r="E96" s="228"/>
      <c r="F96" s="131"/>
      <c r="G96" s="127"/>
      <c r="H96" s="127"/>
      <c r="I96" s="127"/>
      <c r="J96" s="132"/>
      <c r="K96" s="160" t="str">
        <f t="shared" si="38"/>
        <v/>
      </c>
      <c r="L96" s="185" t="str">
        <f t="shared" si="21"/>
        <v/>
      </c>
      <c r="M96" s="185" t="str">
        <f t="shared" si="39"/>
        <v/>
      </c>
      <c r="N96" s="131"/>
      <c r="O96" s="127"/>
      <c r="P96" s="127"/>
      <c r="Q96" s="127"/>
      <c r="R96" s="132"/>
      <c r="S96" s="160" t="str">
        <f t="shared" si="37"/>
        <v/>
      </c>
      <c r="T96" s="185" t="str">
        <f t="shared" si="22"/>
        <v/>
      </c>
      <c r="U96" s="185" t="str">
        <f t="shared" si="23"/>
        <v/>
      </c>
      <c r="V96" s="131"/>
      <c r="W96" s="127"/>
      <c r="X96" s="132"/>
      <c r="Y96" s="160" t="str">
        <f t="shared" si="24"/>
        <v/>
      </c>
      <c r="Z96" s="160" t="str">
        <f t="shared" si="25"/>
        <v/>
      </c>
      <c r="AA96" s="160" t="str">
        <f t="shared" si="40"/>
        <v/>
      </c>
      <c r="AB96" s="131"/>
      <c r="AC96" s="127"/>
      <c r="AD96" s="132"/>
      <c r="AE96" s="160" t="str">
        <f t="shared" si="26"/>
        <v/>
      </c>
      <c r="AF96" s="160" t="str">
        <f t="shared" si="27"/>
        <v/>
      </c>
      <c r="AG96" s="160" t="str">
        <f t="shared" si="41"/>
        <v/>
      </c>
      <c r="AH96" s="131"/>
      <c r="AI96" s="127"/>
      <c r="AJ96" s="132"/>
      <c r="AK96" s="177" t="str">
        <f t="shared" si="28"/>
        <v/>
      </c>
      <c r="AL96" s="160" t="str">
        <f t="shared" si="29"/>
        <v/>
      </c>
      <c r="AM96" s="160" t="str">
        <f t="shared" si="30"/>
        <v/>
      </c>
      <c r="AN96" s="131"/>
      <c r="AO96" s="127"/>
      <c r="AP96" s="132"/>
      <c r="AQ96" s="164" t="str">
        <f t="shared" si="31"/>
        <v/>
      </c>
      <c r="AR96" s="155" t="str">
        <f t="shared" si="32"/>
        <v/>
      </c>
      <c r="AS96" s="188" t="str">
        <f t="shared" si="33"/>
        <v/>
      </c>
      <c r="AT96" s="160" t="str">
        <f t="shared" si="34"/>
        <v/>
      </c>
      <c r="AU96" s="160" t="str">
        <f t="shared" si="35"/>
        <v/>
      </c>
      <c r="AV96" s="168" t="str">
        <f t="shared" si="36"/>
        <v/>
      </c>
      <c r="AW96" s="171" t="str">
        <f>IF(AV96="","",IFERROR(INDEX(HELPER!$D$8:$D$48,IF(AV96&gt;=HELPER!$B$8,1,MATCH(AV96,HELPER!$B$8:$B$48,-1)+1)),""))</f>
        <v/>
      </c>
      <c r="AX96" s="174" t="str">
        <f>IF(AW96="","",IFERROR(VLOOKUP(AW96,HELPER!$F$8:$G$48,2,FALSE),""))</f>
        <v/>
      </c>
      <c r="AY96" s="147"/>
      <c r="AZ96" s="91"/>
    </row>
    <row r="97" spans="1:52" ht="15" customHeight="1" x14ac:dyDescent="0.3">
      <c r="A97" s="147"/>
      <c r="B97" s="114">
        <v>28</v>
      </c>
      <c r="C97" s="227" t="str">
        <f>IF('INPUT DATA'!N38="","",'INPUT DATA'!N38)</f>
        <v/>
      </c>
      <c r="D97" s="228"/>
      <c r="E97" s="228"/>
      <c r="F97" s="131"/>
      <c r="G97" s="127"/>
      <c r="H97" s="127"/>
      <c r="I97" s="127"/>
      <c r="J97" s="132"/>
      <c r="K97" s="160" t="str">
        <f t="shared" si="38"/>
        <v/>
      </c>
      <c r="L97" s="185" t="str">
        <f t="shared" si="21"/>
        <v/>
      </c>
      <c r="M97" s="185" t="str">
        <f t="shared" si="39"/>
        <v/>
      </c>
      <c r="N97" s="131"/>
      <c r="O97" s="127"/>
      <c r="P97" s="127"/>
      <c r="Q97" s="127"/>
      <c r="R97" s="132"/>
      <c r="S97" s="160" t="str">
        <f t="shared" si="37"/>
        <v/>
      </c>
      <c r="T97" s="185" t="str">
        <f t="shared" si="22"/>
        <v/>
      </c>
      <c r="U97" s="185" t="str">
        <f t="shared" si="23"/>
        <v/>
      </c>
      <c r="V97" s="131"/>
      <c r="W97" s="127"/>
      <c r="X97" s="132"/>
      <c r="Y97" s="160" t="str">
        <f t="shared" si="24"/>
        <v/>
      </c>
      <c r="Z97" s="160" t="str">
        <f t="shared" si="25"/>
        <v/>
      </c>
      <c r="AA97" s="160" t="str">
        <f t="shared" si="40"/>
        <v/>
      </c>
      <c r="AB97" s="131"/>
      <c r="AC97" s="127"/>
      <c r="AD97" s="132"/>
      <c r="AE97" s="160" t="str">
        <f t="shared" si="26"/>
        <v/>
      </c>
      <c r="AF97" s="160" t="str">
        <f t="shared" si="27"/>
        <v/>
      </c>
      <c r="AG97" s="160" t="str">
        <f t="shared" si="41"/>
        <v/>
      </c>
      <c r="AH97" s="131"/>
      <c r="AI97" s="127"/>
      <c r="AJ97" s="132"/>
      <c r="AK97" s="177" t="str">
        <f t="shared" si="28"/>
        <v/>
      </c>
      <c r="AL97" s="160" t="str">
        <f t="shared" si="29"/>
        <v/>
      </c>
      <c r="AM97" s="160" t="str">
        <f t="shared" si="30"/>
        <v/>
      </c>
      <c r="AN97" s="131"/>
      <c r="AO97" s="127"/>
      <c r="AP97" s="132"/>
      <c r="AQ97" s="164" t="str">
        <f t="shared" si="31"/>
        <v/>
      </c>
      <c r="AR97" s="155" t="str">
        <f t="shared" si="32"/>
        <v/>
      </c>
      <c r="AS97" s="188" t="str">
        <f t="shared" si="33"/>
        <v/>
      </c>
      <c r="AT97" s="160" t="str">
        <f t="shared" si="34"/>
        <v/>
      </c>
      <c r="AU97" s="160" t="str">
        <f t="shared" si="35"/>
        <v/>
      </c>
      <c r="AV97" s="168" t="str">
        <f t="shared" si="36"/>
        <v/>
      </c>
      <c r="AW97" s="171" t="str">
        <f>IF(AV97="","",IFERROR(INDEX(HELPER!$D$8:$D$48,IF(AV97&gt;=HELPER!$B$8,1,MATCH(AV97,HELPER!$B$8:$B$48,-1)+1)),""))</f>
        <v/>
      </c>
      <c r="AX97" s="174" t="str">
        <f>IF(AW97="","",IFERROR(VLOOKUP(AW97,HELPER!$F$8:$G$48,2,FALSE),""))</f>
        <v/>
      </c>
      <c r="AY97" s="147"/>
      <c r="AZ97" s="91"/>
    </row>
    <row r="98" spans="1:52" ht="15" customHeight="1" x14ac:dyDescent="0.3">
      <c r="A98" s="147"/>
      <c r="B98" s="114">
        <v>29</v>
      </c>
      <c r="C98" s="227" t="str">
        <f>IF('INPUT DATA'!N39="","",'INPUT DATA'!N39)</f>
        <v/>
      </c>
      <c r="D98" s="228"/>
      <c r="E98" s="228"/>
      <c r="F98" s="131"/>
      <c r="G98" s="127"/>
      <c r="H98" s="127"/>
      <c r="I98" s="127"/>
      <c r="J98" s="132"/>
      <c r="K98" s="160" t="str">
        <f t="shared" si="38"/>
        <v/>
      </c>
      <c r="L98" s="185" t="str">
        <f t="shared" si="21"/>
        <v/>
      </c>
      <c r="M98" s="185" t="str">
        <f t="shared" si="39"/>
        <v/>
      </c>
      <c r="N98" s="131"/>
      <c r="O98" s="127"/>
      <c r="P98" s="127"/>
      <c r="Q98" s="127"/>
      <c r="R98" s="132"/>
      <c r="S98" s="160" t="str">
        <f t="shared" si="37"/>
        <v/>
      </c>
      <c r="T98" s="185" t="str">
        <f t="shared" si="22"/>
        <v/>
      </c>
      <c r="U98" s="185" t="str">
        <f t="shared" si="23"/>
        <v/>
      </c>
      <c r="V98" s="131"/>
      <c r="W98" s="127"/>
      <c r="X98" s="132"/>
      <c r="Y98" s="160" t="str">
        <f t="shared" si="24"/>
        <v/>
      </c>
      <c r="Z98" s="160" t="str">
        <f t="shared" si="25"/>
        <v/>
      </c>
      <c r="AA98" s="160" t="str">
        <f t="shared" si="40"/>
        <v/>
      </c>
      <c r="AB98" s="131"/>
      <c r="AC98" s="127"/>
      <c r="AD98" s="132"/>
      <c r="AE98" s="160" t="str">
        <f t="shared" si="26"/>
        <v/>
      </c>
      <c r="AF98" s="160" t="str">
        <f t="shared" si="27"/>
        <v/>
      </c>
      <c r="AG98" s="160" t="str">
        <f t="shared" si="41"/>
        <v/>
      </c>
      <c r="AH98" s="131"/>
      <c r="AI98" s="127"/>
      <c r="AJ98" s="132"/>
      <c r="AK98" s="177" t="str">
        <f t="shared" si="28"/>
        <v/>
      </c>
      <c r="AL98" s="160" t="str">
        <f t="shared" si="29"/>
        <v/>
      </c>
      <c r="AM98" s="160" t="str">
        <f t="shared" si="30"/>
        <v/>
      </c>
      <c r="AN98" s="131"/>
      <c r="AO98" s="127"/>
      <c r="AP98" s="132"/>
      <c r="AQ98" s="164" t="str">
        <f t="shared" si="31"/>
        <v/>
      </c>
      <c r="AR98" s="155" t="str">
        <f t="shared" si="32"/>
        <v/>
      </c>
      <c r="AS98" s="188" t="str">
        <f t="shared" si="33"/>
        <v/>
      </c>
      <c r="AT98" s="160" t="str">
        <f t="shared" si="34"/>
        <v/>
      </c>
      <c r="AU98" s="160" t="str">
        <f t="shared" si="35"/>
        <v/>
      </c>
      <c r="AV98" s="168" t="str">
        <f t="shared" si="36"/>
        <v/>
      </c>
      <c r="AW98" s="171" t="str">
        <f>IF(AV98="","",IFERROR(INDEX(HELPER!$D$8:$D$48,IF(AV98&gt;=HELPER!$B$8,1,MATCH(AV98,HELPER!$B$8:$B$48,-1)+1)),""))</f>
        <v/>
      </c>
      <c r="AX98" s="174" t="str">
        <f>IF(AW98="","",IFERROR(VLOOKUP(AW98,HELPER!$F$8:$G$48,2,FALSE),""))</f>
        <v/>
      </c>
      <c r="AY98" s="147"/>
      <c r="AZ98" s="91"/>
    </row>
    <row r="99" spans="1:52" ht="15" customHeight="1" x14ac:dyDescent="0.3">
      <c r="A99" s="147"/>
      <c r="B99" s="114">
        <v>30</v>
      </c>
      <c r="C99" s="227" t="str">
        <f>IF('INPUT DATA'!N40="","",'INPUT DATA'!N40)</f>
        <v/>
      </c>
      <c r="D99" s="228"/>
      <c r="E99" s="228"/>
      <c r="F99" s="131"/>
      <c r="G99" s="127"/>
      <c r="H99" s="127"/>
      <c r="I99" s="127"/>
      <c r="J99" s="132"/>
      <c r="K99" s="160" t="str">
        <f t="shared" si="38"/>
        <v/>
      </c>
      <c r="L99" s="185" t="str">
        <f t="shared" si="21"/>
        <v/>
      </c>
      <c r="M99" s="185" t="str">
        <f t="shared" si="39"/>
        <v/>
      </c>
      <c r="N99" s="131"/>
      <c r="O99" s="127"/>
      <c r="P99" s="127"/>
      <c r="Q99" s="127"/>
      <c r="R99" s="132"/>
      <c r="S99" s="160" t="str">
        <f t="shared" si="37"/>
        <v/>
      </c>
      <c r="T99" s="185" t="str">
        <f t="shared" si="22"/>
        <v/>
      </c>
      <c r="U99" s="185" t="str">
        <f t="shared" si="23"/>
        <v/>
      </c>
      <c r="V99" s="131"/>
      <c r="W99" s="127"/>
      <c r="X99" s="132"/>
      <c r="Y99" s="160" t="str">
        <f t="shared" si="24"/>
        <v/>
      </c>
      <c r="Z99" s="160" t="str">
        <f t="shared" si="25"/>
        <v/>
      </c>
      <c r="AA99" s="160" t="str">
        <f t="shared" si="40"/>
        <v/>
      </c>
      <c r="AB99" s="131"/>
      <c r="AC99" s="127"/>
      <c r="AD99" s="132"/>
      <c r="AE99" s="160" t="str">
        <f t="shared" si="26"/>
        <v/>
      </c>
      <c r="AF99" s="160" t="str">
        <f t="shared" si="27"/>
        <v/>
      </c>
      <c r="AG99" s="160" t="str">
        <f t="shared" si="41"/>
        <v/>
      </c>
      <c r="AH99" s="131"/>
      <c r="AI99" s="127"/>
      <c r="AJ99" s="132"/>
      <c r="AK99" s="177" t="str">
        <f t="shared" si="28"/>
        <v/>
      </c>
      <c r="AL99" s="160" t="str">
        <f t="shared" si="29"/>
        <v/>
      </c>
      <c r="AM99" s="160" t="str">
        <f t="shared" si="30"/>
        <v/>
      </c>
      <c r="AN99" s="131"/>
      <c r="AO99" s="127"/>
      <c r="AP99" s="132"/>
      <c r="AQ99" s="164" t="str">
        <f t="shared" si="31"/>
        <v/>
      </c>
      <c r="AR99" s="155" t="str">
        <f t="shared" si="32"/>
        <v/>
      </c>
      <c r="AS99" s="188" t="str">
        <f t="shared" si="33"/>
        <v/>
      </c>
      <c r="AT99" s="160" t="str">
        <f t="shared" si="34"/>
        <v/>
      </c>
      <c r="AU99" s="160" t="str">
        <f t="shared" si="35"/>
        <v/>
      </c>
      <c r="AV99" s="168" t="str">
        <f t="shared" si="36"/>
        <v/>
      </c>
      <c r="AW99" s="171" t="str">
        <f>IF(AV99="","",IFERROR(INDEX(HELPER!$D$8:$D$48,IF(AV99&gt;=HELPER!$B$8,1,MATCH(AV99,HELPER!$B$8:$B$48,-1)+1)),""))</f>
        <v/>
      </c>
      <c r="AX99" s="174" t="str">
        <f>IF(AW99="","",IFERROR(VLOOKUP(AW99,HELPER!$F$8:$G$48,2,FALSE),""))</f>
        <v/>
      </c>
      <c r="AY99" s="147"/>
      <c r="AZ99" s="91"/>
    </row>
    <row r="100" spans="1:52" ht="15" customHeight="1" x14ac:dyDescent="0.3">
      <c r="A100" s="147"/>
      <c r="B100" s="114">
        <v>31</v>
      </c>
      <c r="C100" s="227" t="str">
        <f>IF('INPUT DATA'!N41="","",'INPUT DATA'!N41)</f>
        <v/>
      </c>
      <c r="D100" s="228"/>
      <c r="E100" s="228"/>
      <c r="F100" s="131"/>
      <c r="G100" s="127"/>
      <c r="H100" s="127"/>
      <c r="I100" s="127"/>
      <c r="J100" s="132"/>
      <c r="K100" s="160" t="str">
        <f t="shared" si="38"/>
        <v/>
      </c>
      <c r="L100" s="185" t="str">
        <f t="shared" si="21"/>
        <v/>
      </c>
      <c r="M100" s="185" t="str">
        <f t="shared" si="39"/>
        <v/>
      </c>
      <c r="N100" s="131"/>
      <c r="O100" s="127"/>
      <c r="P100" s="127"/>
      <c r="Q100" s="127"/>
      <c r="R100" s="132"/>
      <c r="S100" s="160" t="str">
        <f t="shared" si="37"/>
        <v/>
      </c>
      <c r="T100" s="185" t="str">
        <f t="shared" si="22"/>
        <v/>
      </c>
      <c r="U100" s="185" t="str">
        <f t="shared" si="23"/>
        <v/>
      </c>
      <c r="V100" s="131"/>
      <c r="W100" s="127"/>
      <c r="X100" s="132"/>
      <c r="Y100" s="160" t="str">
        <f t="shared" si="24"/>
        <v/>
      </c>
      <c r="Z100" s="160" t="str">
        <f t="shared" si="25"/>
        <v/>
      </c>
      <c r="AA100" s="160" t="str">
        <f t="shared" si="40"/>
        <v/>
      </c>
      <c r="AB100" s="131"/>
      <c r="AC100" s="127"/>
      <c r="AD100" s="132"/>
      <c r="AE100" s="160" t="str">
        <f t="shared" si="26"/>
        <v/>
      </c>
      <c r="AF100" s="160" t="str">
        <f t="shared" si="27"/>
        <v/>
      </c>
      <c r="AG100" s="160" t="str">
        <f t="shared" si="41"/>
        <v/>
      </c>
      <c r="AH100" s="131"/>
      <c r="AI100" s="127"/>
      <c r="AJ100" s="132"/>
      <c r="AK100" s="177" t="str">
        <f t="shared" si="28"/>
        <v/>
      </c>
      <c r="AL100" s="160" t="str">
        <f t="shared" si="29"/>
        <v/>
      </c>
      <c r="AM100" s="160" t="str">
        <f t="shared" si="30"/>
        <v/>
      </c>
      <c r="AN100" s="131"/>
      <c r="AO100" s="127"/>
      <c r="AP100" s="132"/>
      <c r="AQ100" s="164" t="str">
        <f t="shared" si="31"/>
        <v/>
      </c>
      <c r="AR100" s="155" t="str">
        <f t="shared" si="32"/>
        <v/>
      </c>
      <c r="AS100" s="188" t="str">
        <f t="shared" si="33"/>
        <v/>
      </c>
      <c r="AT100" s="160" t="str">
        <f t="shared" si="34"/>
        <v/>
      </c>
      <c r="AU100" s="160" t="str">
        <f t="shared" si="35"/>
        <v/>
      </c>
      <c r="AV100" s="168" t="str">
        <f t="shared" si="36"/>
        <v/>
      </c>
      <c r="AW100" s="171" t="str">
        <f>IF(AV100="","",IFERROR(INDEX(HELPER!$D$8:$D$48,IF(AV100&gt;=HELPER!$B$8,1,MATCH(AV100,HELPER!$B$8:$B$48,-1)+1)),""))</f>
        <v/>
      </c>
      <c r="AX100" s="174" t="str">
        <f>IF(AW100="","",IFERROR(VLOOKUP(AW100,HELPER!$F$8:$G$48,2,FALSE),""))</f>
        <v/>
      </c>
      <c r="AY100" s="147"/>
      <c r="AZ100" s="91"/>
    </row>
    <row r="101" spans="1:52" ht="15" customHeight="1" x14ac:dyDescent="0.3">
      <c r="A101" s="147"/>
      <c r="B101" s="114">
        <v>32</v>
      </c>
      <c r="C101" s="227" t="str">
        <f>IF('INPUT DATA'!N42="","",'INPUT DATA'!N42)</f>
        <v/>
      </c>
      <c r="D101" s="228"/>
      <c r="E101" s="228"/>
      <c r="F101" s="131"/>
      <c r="G101" s="127"/>
      <c r="H101" s="127"/>
      <c r="I101" s="127"/>
      <c r="J101" s="132"/>
      <c r="K101" s="160" t="str">
        <f t="shared" si="38"/>
        <v/>
      </c>
      <c r="L101" s="185" t="str">
        <f t="shared" si="21"/>
        <v/>
      </c>
      <c r="M101" s="185" t="str">
        <f t="shared" si="39"/>
        <v/>
      </c>
      <c r="N101" s="131"/>
      <c r="O101" s="127"/>
      <c r="P101" s="127"/>
      <c r="Q101" s="127"/>
      <c r="R101" s="132"/>
      <c r="S101" s="160" t="str">
        <f t="shared" si="37"/>
        <v/>
      </c>
      <c r="T101" s="185" t="str">
        <f t="shared" si="22"/>
        <v/>
      </c>
      <c r="U101" s="185" t="str">
        <f t="shared" si="23"/>
        <v/>
      </c>
      <c r="V101" s="131"/>
      <c r="W101" s="127"/>
      <c r="X101" s="132"/>
      <c r="Y101" s="160" t="str">
        <f t="shared" si="24"/>
        <v/>
      </c>
      <c r="Z101" s="160" t="str">
        <f t="shared" si="25"/>
        <v/>
      </c>
      <c r="AA101" s="160" t="str">
        <f t="shared" si="40"/>
        <v/>
      </c>
      <c r="AB101" s="131"/>
      <c r="AC101" s="127"/>
      <c r="AD101" s="132"/>
      <c r="AE101" s="160" t="str">
        <f t="shared" si="26"/>
        <v/>
      </c>
      <c r="AF101" s="160" t="str">
        <f t="shared" si="27"/>
        <v/>
      </c>
      <c r="AG101" s="160" t="str">
        <f t="shared" si="41"/>
        <v/>
      </c>
      <c r="AH101" s="131"/>
      <c r="AI101" s="127"/>
      <c r="AJ101" s="132"/>
      <c r="AK101" s="177" t="str">
        <f t="shared" si="28"/>
        <v/>
      </c>
      <c r="AL101" s="160" t="str">
        <f t="shared" si="29"/>
        <v/>
      </c>
      <c r="AM101" s="160" t="str">
        <f t="shared" si="30"/>
        <v/>
      </c>
      <c r="AN101" s="131"/>
      <c r="AO101" s="127"/>
      <c r="AP101" s="132"/>
      <c r="AQ101" s="164" t="str">
        <f t="shared" si="31"/>
        <v/>
      </c>
      <c r="AR101" s="155" t="str">
        <f t="shared" si="32"/>
        <v/>
      </c>
      <c r="AS101" s="188" t="str">
        <f t="shared" si="33"/>
        <v/>
      </c>
      <c r="AT101" s="160" t="str">
        <f t="shared" si="34"/>
        <v/>
      </c>
      <c r="AU101" s="160" t="str">
        <f t="shared" si="35"/>
        <v/>
      </c>
      <c r="AV101" s="168" t="str">
        <f t="shared" si="36"/>
        <v/>
      </c>
      <c r="AW101" s="171" t="str">
        <f>IF(AV101="","",IFERROR(INDEX(HELPER!$D$8:$D$48,IF(AV101&gt;=HELPER!$B$8,1,MATCH(AV101,HELPER!$B$8:$B$48,-1)+1)),""))</f>
        <v/>
      </c>
      <c r="AX101" s="174" t="str">
        <f>IF(AW101="","",IFERROR(VLOOKUP(AW101,HELPER!$F$8:$G$48,2,FALSE),""))</f>
        <v/>
      </c>
      <c r="AY101" s="147"/>
      <c r="AZ101" s="91"/>
    </row>
    <row r="102" spans="1:52" ht="15" customHeight="1" x14ac:dyDescent="0.3">
      <c r="A102" s="147"/>
      <c r="B102" s="114">
        <v>33</v>
      </c>
      <c r="C102" s="227" t="str">
        <f>IF('INPUT DATA'!N43="","",'INPUT DATA'!N43)</f>
        <v/>
      </c>
      <c r="D102" s="228"/>
      <c r="E102" s="228"/>
      <c r="F102" s="131"/>
      <c r="G102" s="127"/>
      <c r="H102" s="127"/>
      <c r="I102" s="127"/>
      <c r="J102" s="132"/>
      <c r="K102" s="160" t="str">
        <f t="shared" si="38"/>
        <v/>
      </c>
      <c r="L102" s="185" t="str">
        <f t="shared" si="21"/>
        <v/>
      </c>
      <c r="M102" s="185" t="str">
        <f t="shared" si="39"/>
        <v/>
      </c>
      <c r="N102" s="131"/>
      <c r="O102" s="127"/>
      <c r="P102" s="127"/>
      <c r="Q102" s="127"/>
      <c r="R102" s="132"/>
      <c r="S102" s="160" t="str">
        <f t="shared" si="37"/>
        <v/>
      </c>
      <c r="T102" s="185" t="str">
        <f t="shared" si="22"/>
        <v/>
      </c>
      <c r="U102" s="185" t="str">
        <f t="shared" si="23"/>
        <v/>
      </c>
      <c r="V102" s="131"/>
      <c r="W102" s="127"/>
      <c r="X102" s="132"/>
      <c r="Y102" s="160" t="str">
        <f t="shared" si="24"/>
        <v/>
      </c>
      <c r="Z102" s="160" t="str">
        <f t="shared" si="25"/>
        <v/>
      </c>
      <c r="AA102" s="160" t="str">
        <f t="shared" si="40"/>
        <v/>
      </c>
      <c r="AB102" s="131"/>
      <c r="AC102" s="127"/>
      <c r="AD102" s="132"/>
      <c r="AE102" s="160" t="str">
        <f t="shared" si="26"/>
        <v/>
      </c>
      <c r="AF102" s="160" t="str">
        <f t="shared" si="27"/>
        <v/>
      </c>
      <c r="AG102" s="160" t="str">
        <f t="shared" si="41"/>
        <v/>
      </c>
      <c r="AH102" s="131"/>
      <c r="AI102" s="127"/>
      <c r="AJ102" s="132"/>
      <c r="AK102" s="177" t="str">
        <f t="shared" si="28"/>
        <v/>
      </c>
      <c r="AL102" s="160" t="str">
        <f t="shared" si="29"/>
        <v/>
      </c>
      <c r="AM102" s="160" t="str">
        <f t="shared" si="30"/>
        <v/>
      </c>
      <c r="AN102" s="131"/>
      <c r="AO102" s="127"/>
      <c r="AP102" s="132"/>
      <c r="AQ102" s="164" t="str">
        <f t="shared" si="31"/>
        <v/>
      </c>
      <c r="AR102" s="155" t="str">
        <f t="shared" si="32"/>
        <v/>
      </c>
      <c r="AS102" s="188" t="str">
        <f t="shared" si="33"/>
        <v/>
      </c>
      <c r="AT102" s="160" t="str">
        <f t="shared" si="34"/>
        <v/>
      </c>
      <c r="AU102" s="160" t="str">
        <f t="shared" si="35"/>
        <v/>
      </c>
      <c r="AV102" s="168" t="str">
        <f t="shared" si="36"/>
        <v/>
      </c>
      <c r="AW102" s="171" t="str">
        <f>IF(AV102="","",IFERROR(INDEX(HELPER!$D$8:$D$48,IF(AV102&gt;=HELPER!$B$8,1,MATCH(AV102,HELPER!$B$8:$B$48,-1)+1)),""))</f>
        <v/>
      </c>
      <c r="AX102" s="174" t="str">
        <f>IF(AW102="","",IFERROR(VLOOKUP(AW102,HELPER!$F$8:$G$48,2,FALSE),""))</f>
        <v/>
      </c>
      <c r="AY102" s="147"/>
      <c r="AZ102" s="91"/>
    </row>
    <row r="103" spans="1:52" ht="15" customHeight="1" x14ac:dyDescent="0.3">
      <c r="A103" s="147"/>
      <c r="B103" s="114">
        <v>34</v>
      </c>
      <c r="C103" s="227" t="str">
        <f>IF('INPUT DATA'!N44="","",'INPUT DATA'!N44)</f>
        <v/>
      </c>
      <c r="D103" s="228"/>
      <c r="E103" s="228"/>
      <c r="F103" s="131"/>
      <c r="G103" s="127"/>
      <c r="H103" s="127"/>
      <c r="I103" s="127"/>
      <c r="J103" s="132"/>
      <c r="K103" s="160" t="str">
        <f t="shared" si="38"/>
        <v/>
      </c>
      <c r="L103" s="185" t="str">
        <f t="shared" si="21"/>
        <v/>
      </c>
      <c r="M103" s="185" t="str">
        <f t="shared" si="39"/>
        <v/>
      </c>
      <c r="N103" s="131"/>
      <c r="O103" s="127"/>
      <c r="P103" s="127"/>
      <c r="Q103" s="127"/>
      <c r="R103" s="132"/>
      <c r="S103" s="160" t="str">
        <f t="shared" si="37"/>
        <v/>
      </c>
      <c r="T103" s="185" t="str">
        <f t="shared" si="22"/>
        <v/>
      </c>
      <c r="U103" s="185" t="str">
        <f t="shared" si="23"/>
        <v/>
      </c>
      <c r="V103" s="131"/>
      <c r="W103" s="127"/>
      <c r="X103" s="132"/>
      <c r="Y103" s="160" t="str">
        <f t="shared" si="24"/>
        <v/>
      </c>
      <c r="Z103" s="160" t="str">
        <f t="shared" si="25"/>
        <v/>
      </c>
      <c r="AA103" s="160" t="str">
        <f t="shared" si="40"/>
        <v/>
      </c>
      <c r="AB103" s="131"/>
      <c r="AC103" s="127"/>
      <c r="AD103" s="132"/>
      <c r="AE103" s="160" t="str">
        <f t="shared" si="26"/>
        <v/>
      </c>
      <c r="AF103" s="160" t="str">
        <f t="shared" si="27"/>
        <v/>
      </c>
      <c r="AG103" s="160" t="str">
        <f t="shared" si="41"/>
        <v/>
      </c>
      <c r="AH103" s="131"/>
      <c r="AI103" s="127"/>
      <c r="AJ103" s="132"/>
      <c r="AK103" s="177" t="str">
        <f t="shared" si="28"/>
        <v/>
      </c>
      <c r="AL103" s="160" t="str">
        <f t="shared" si="29"/>
        <v/>
      </c>
      <c r="AM103" s="160" t="str">
        <f t="shared" si="30"/>
        <v/>
      </c>
      <c r="AN103" s="131"/>
      <c r="AO103" s="127"/>
      <c r="AP103" s="132"/>
      <c r="AQ103" s="164" t="str">
        <f t="shared" si="31"/>
        <v/>
      </c>
      <c r="AR103" s="155" t="str">
        <f t="shared" si="32"/>
        <v/>
      </c>
      <c r="AS103" s="188" t="str">
        <f t="shared" si="33"/>
        <v/>
      </c>
      <c r="AT103" s="160" t="str">
        <f t="shared" si="34"/>
        <v/>
      </c>
      <c r="AU103" s="160" t="str">
        <f t="shared" si="35"/>
        <v/>
      </c>
      <c r="AV103" s="168" t="str">
        <f t="shared" si="36"/>
        <v/>
      </c>
      <c r="AW103" s="171" t="str">
        <f>IF(AV103="","",IFERROR(INDEX(HELPER!$D$8:$D$48,IF(AV103&gt;=HELPER!$B$8,1,MATCH(AV103,HELPER!$B$8:$B$48,-1)+1)),""))</f>
        <v/>
      </c>
      <c r="AX103" s="174" t="str">
        <f>IF(AW103="","",IFERROR(VLOOKUP(AW103,HELPER!$F$8:$G$48,2,FALSE),""))</f>
        <v/>
      </c>
      <c r="AY103" s="147"/>
      <c r="AZ103" s="91"/>
    </row>
    <row r="104" spans="1:52" ht="15" customHeight="1" x14ac:dyDescent="0.3">
      <c r="A104" s="147"/>
      <c r="B104" s="114">
        <v>35</v>
      </c>
      <c r="C104" s="227" t="str">
        <f>IF('INPUT DATA'!N45="","",'INPUT DATA'!N45)</f>
        <v/>
      </c>
      <c r="D104" s="228"/>
      <c r="E104" s="228"/>
      <c r="F104" s="131"/>
      <c r="G104" s="127"/>
      <c r="H104" s="127"/>
      <c r="I104" s="127"/>
      <c r="J104" s="132"/>
      <c r="K104" s="160" t="str">
        <f t="shared" si="38"/>
        <v/>
      </c>
      <c r="L104" s="185" t="str">
        <f t="shared" si="21"/>
        <v/>
      </c>
      <c r="M104" s="185" t="str">
        <f t="shared" si="39"/>
        <v/>
      </c>
      <c r="N104" s="131"/>
      <c r="O104" s="127"/>
      <c r="P104" s="127"/>
      <c r="Q104" s="127"/>
      <c r="R104" s="132"/>
      <c r="S104" s="160" t="str">
        <f t="shared" si="37"/>
        <v/>
      </c>
      <c r="T104" s="185" t="str">
        <f t="shared" si="22"/>
        <v/>
      </c>
      <c r="U104" s="185" t="str">
        <f t="shared" si="23"/>
        <v/>
      </c>
      <c r="V104" s="131"/>
      <c r="W104" s="127"/>
      <c r="X104" s="132"/>
      <c r="Y104" s="160" t="str">
        <f t="shared" si="24"/>
        <v/>
      </c>
      <c r="Z104" s="160" t="str">
        <f t="shared" si="25"/>
        <v/>
      </c>
      <c r="AA104" s="160" t="str">
        <f t="shared" si="40"/>
        <v/>
      </c>
      <c r="AB104" s="131"/>
      <c r="AC104" s="127"/>
      <c r="AD104" s="132"/>
      <c r="AE104" s="160" t="str">
        <f t="shared" si="26"/>
        <v/>
      </c>
      <c r="AF104" s="160" t="str">
        <f t="shared" si="27"/>
        <v/>
      </c>
      <c r="AG104" s="160" t="str">
        <f t="shared" si="41"/>
        <v/>
      </c>
      <c r="AH104" s="131"/>
      <c r="AI104" s="127"/>
      <c r="AJ104" s="132"/>
      <c r="AK104" s="177" t="str">
        <f t="shared" si="28"/>
        <v/>
      </c>
      <c r="AL104" s="160" t="str">
        <f t="shared" si="29"/>
        <v/>
      </c>
      <c r="AM104" s="160" t="str">
        <f t="shared" si="30"/>
        <v/>
      </c>
      <c r="AN104" s="131"/>
      <c r="AO104" s="127"/>
      <c r="AP104" s="132"/>
      <c r="AQ104" s="164" t="str">
        <f t="shared" si="31"/>
        <v/>
      </c>
      <c r="AR104" s="155" t="str">
        <f t="shared" si="32"/>
        <v/>
      </c>
      <c r="AS104" s="188" t="str">
        <f t="shared" si="33"/>
        <v/>
      </c>
      <c r="AT104" s="160" t="str">
        <f t="shared" si="34"/>
        <v/>
      </c>
      <c r="AU104" s="160" t="str">
        <f t="shared" si="35"/>
        <v/>
      </c>
      <c r="AV104" s="168" t="str">
        <f t="shared" si="36"/>
        <v/>
      </c>
      <c r="AW104" s="171" t="str">
        <f>IF(AV104="","",IFERROR(INDEX(HELPER!$D$8:$D$48,IF(AV104&gt;=HELPER!$B$8,1,MATCH(AV104,HELPER!$B$8:$B$48,-1)+1)),""))</f>
        <v/>
      </c>
      <c r="AX104" s="174" t="str">
        <f>IF(AW104="","",IFERROR(VLOOKUP(AW104,HELPER!$F$8:$G$48,2,FALSE),""))</f>
        <v/>
      </c>
      <c r="AY104" s="147"/>
      <c r="AZ104" s="91"/>
    </row>
    <row r="105" spans="1:52" ht="15" customHeight="1" x14ac:dyDescent="0.3">
      <c r="A105" s="147"/>
      <c r="B105" s="114">
        <v>36</v>
      </c>
      <c r="C105" s="227" t="str">
        <f>IF('INPUT DATA'!N46="","",'INPUT DATA'!N46)</f>
        <v/>
      </c>
      <c r="D105" s="228"/>
      <c r="E105" s="228"/>
      <c r="F105" s="131"/>
      <c r="G105" s="127"/>
      <c r="H105" s="127"/>
      <c r="I105" s="127"/>
      <c r="J105" s="132"/>
      <c r="K105" s="160" t="str">
        <f t="shared" si="38"/>
        <v/>
      </c>
      <c r="L105" s="185" t="str">
        <f t="shared" si="21"/>
        <v/>
      </c>
      <c r="M105" s="185" t="str">
        <f t="shared" si="39"/>
        <v/>
      </c>
      <c r="N105" s="131"/>
      <c r="O105" s="127"/>
      <c r="P105" s="127"/>
      <c r="Q105" s="127"/>
      <c r="R105" s="132"/>
      <c r="S105" s="160" t="str">
        <f t="shared" si="37"/>
        <v/>
      </c>
      <c r="T105" s="185" t="str">
        <f t="shared" si="22"/>
        <v/>
      </c>
      <c r="U105" s="185" t="str">
        <f t="shared" si="23"/>
        <v/>
      </c>
      <c r="V105" s="131"/>
      <c r="W105" s="127"/>
      <c r="X105" s="132"/>
      <c r="Y105" s="160" t="str">
        <f t="shared" si="24"/>
        <v/>
      </c>
      <c r="Z105" s="160" t="str">
        <f t="shared" si="25"/>
        <v/>
      </c>
      <c r="AA105" s="160" t="str">
        <f t="shared" si="40"/>
        <v/>
      </c>
      <c r="AB105" s="131"/>
      <c r="AC105" s="127"/>
      <c r="AD105" s="132"/>
      <c r="AE105" s="160" t="str">
        <f t="shared" si="26"/>
        <v/>
      </c>
      <c r="AF105" s="160" t="str">
        <f t="shared" si="27"/>
        <v/>
      </c>
      <c r="AG105" s="160" t="str">
        <f t="shared" si="41"/>
        <v/>
      </c>
      <c r="AH105" s="131"/>
      <c r="AI105" s="127"/>
      <c r="AJ105" s="132"/>
      <c r="AK105" s="177" t="str">
        <f t="shared" si="28"/>
        <v/>
      </c>
      <c r="AL105" s="160" t="str">
        <f t="shared" si="29"/>
        <v/>
      </c>
      <c r="AM105" s="160" t="str">
        <f t="shared" si="30"/>
        <v/>
      </c>
      <c r="AN105" s="131"/>
      <c r="AO105" s="127"/>
      <c r="AP105" s="132"/>
      <c r="AQ105" s="164" t="str">
        <f t="shared" si="31"/>
        <v/>
      </c>
      <c r="AR105" s="155" t="str">
        <f t="shared" si="32"/>
        <v/>
      </c>
      <c r="AS105" s="188" t="str">
        <f t="shared" si="33"/>
        <v/>
      </c>
      <c r="AT105" s="160" t="str">
        <f t="shared" si="34"/>
        <v/>
      </c>
      <c r="AU105" s="160" t="str">
        <f t="shared" si="35"/>
        <v/>
      </c>
      <c r="AV105" s="168" t="str">
        <f t="shared" si="36"/>
        <v/>
      </c>
      <c r="AW105" s="171" t="str">
        <f>IF(AV105="","",IFERROR(INDEX(HELPER!$D$8:$D$48,IF(AV105&gt;=HELPER!$B$8,1,MATCH(AV105,HELPER!$B$8:$B$48,-1)+1)),""))</f>
        <v/>
      </c>
      <c r="AX105" s="174" t="str">
        <f>IF(AW105="","",IFERROR(VLOOKUP(AW105,HELPER!$F$8:$G$48,2,FALSE),""))</f>
        <v/>
      </c>
      <c r="AY105" s="147"/>
      <c r="AZ105" s="91"/>
    </row>
    <row r="106" spans="1:52" ht="15" customHeight="1" x14ac:dyDescent="0.3">
      <c r="A106" s="147"/>
      <c r="B106" s="114">
        <v>37</v>
      </c>
      <c r="C106" s="227" t="str">
        <f>IF('INPUT DATA'!N47="","",'INPUT DATA'!N47)</f>
        <v/>
      </c>
      <c r="D106" s="228"/>
      <c r="E106" s="228"/>
      <c r="F106" s="131"/>
      <c r="G106" s="127"/>
      <c r="H106" s="127"/>
      <c r="I106" s="127"/>
      <c r="J106" s="132"/>
      <c r="K106" s="160" t="str">
        <f t="shared" si="38"/>
        <v/>
      </c>
      <c r="L106" s="185" t="str">
        <f t="shared" si="21"/>
        <v/>
      </c>
      <c r="M106" s="185" t="str">
        <f t="shared" si="39"/>
        <v/>
      </c>
      <c r="N106" s="131"/>
      <c r="O106" s="127"/>
      <c r="P106" s="127"/>
      <c r="Q106" s="127"/>
      <c r="R106" s="132"/>
      <c r="S106" s="160" t="str">
        <f t="shared" si="37"/>
        <v/>
      </c>
      <c r="T106" s="185" t="str">
        <f t="shared" si="22"/>
        <v/>
      </c>
      <c r="U106" s="185" t="str">
        <f t="shared" si="23"/>
        <v/>
      </c>
      <c r="V106" s="131"/>
      <c r="W106" s="127"/>
      <c r="X106" s="132"/>
      <c r="Y106" s="160" t="str">
        <f t="shared" si="24"/>
        <v/>
      </c>
      <c r="Z106" s="160" t="str">
        <f t="shared" si="25"/>
        <v/>
      </c>
      <c r="AA106" s="160" t="str">
        <f t="shared" si="40"/>
        <v/>
      </c>
      <c r="AB106" s="131"/>
      <c r="AC106" s="127"/>
      <c r="AD106" s="132"/>
      <c r="AE106" s="160" t="str">
        <f t="shared" si="26"/>
        <v/>
      </c>
      <c r="AF106" s="160" t="str">
        <f t="shared" si="27"/>
        <v/>
      </c>
      <c r="AG106" s="160" t="str">
        <f t="shared" si="41"/>
        <v/>
      </c>
      <c r="AH106" s="131"/>
      <c r="AI106" s="127"/>
      <c r="AJ106" s="132"/>
      <c r="AK106" s="177" t="str">
        <f t="shared" si="28"/>
        <v/>
      </c>
      <c r="AL106" s="160" t="str">
        <f t="shared" si="29"/>
        <v/>
      </c>
      <c r="AM106" s="160" t="str">
        <f t="shared" si="30"/>
        <v/>
      </c>
      <c r="AN106" s="131"/>
      <c r="AO106" s="127"/>
      <c r="AP106" s="132"/>
      <c r="AQ106" s="164" t="str">
        <f t="shared" si="31"/>
        <v/>
      </c>
      <c r="AR106" s="155" t="str">
        <f t="shared" si="32"/>
        <v/>
      </c>
      <c r="AS106" s="188" t="str">
        <f t="shared" si="33"/>
        <v/>
      </c>
      <c r="AT106" s="160" t="str">
        <f t="shared" si="34"/>
        <v/>
      </c>
      <c r="AU106" s="160" t="str">
        <f t="shared" si="35"/>
        <v/>
      </c>
      <c r="AV106" s="168" t="str">
        <f t="shared" si="36"/>
        <v/>
      </c>
      <c r="AW106" s="171" t="str">
        <f>IF(AV106="","",IFERROR(INDEX(HELPER!$D$8:$D$48,IF(AV106&gt;=HELPER!$B$8,1,MATCH(AV106,HELPER!$B$8:$B$48,-1)+1)),""))</f>
        <v/>
      </c>
      <c r="AX106" s="174" t="str">
        <f>IF(AW106="","",IFERROR(VLOOKUP(AW106,HELPER!$F$8:$G$48,2,FALSE),""))</f>
        <v/>
      </c>
      <c r="AY106" s="147"/>
      <c r="AZ106" s="91"/>
    </row>
    <row r="107" spans="1:52" ht="15" customHeight="1" x14ac:dyDescent="0.3">
      <c r="A107" s="147"/>
      <c r="B107" s="114">
        <v>38</v>
      </c>
      <c r="C107" s="227" t="str">
        <f>IF('INPUT DATA'!N48="","",'INPUT DATA'!N48)</f>
        <v/>
      </c>
      <c r="D107" s="228"/>
      <c r="E107" s="228"/>
      <c r="F107" s="131"/>
      <c r="G107" s="127"/>
      <c r="H107" s="127"/>
      <c r="I107" s="127"/>
      <c r="J107" s="132"/>
      <c r="K107" s="160" t="str">
        <f t="shared" si="38"/>
        <v/>
      </c>
      <c r="L107" s="185" t="str">
        <f t="shared" si="21"/>
        <v/>
      </c>
      <c r="M107" s="185" t="str">
        <f t="shared" si="39"/>
        <v/>
      </c>
      <c r="N107" s="131"/>
      <c r="O107" s="127"/>
      <c r="P107" s="127"/>
      <c r="Q107" s="127"/>
      <c r="R107" s="132"/>
      <c r="S107" s="160" t="str">
        <f t="shared" si="37"/>
        <v/>
      </c>
      <c r="T107" s="185" t="str">
        <f t="shared" si="22"/>
        <v/>
      </c>
      <c r="U107" s="185" t="str">
        <f t="shared" si="23"/>
        <v/>
      </c>
      <c r="V107" s="131"/>
      <c r="W107" s="127"/>
      <c r="X107" s="132"/>
      <c r="Y107" s="160" t="str">
        <f t="shared" si="24"/>
        <v/>
      </c>
      <c r="Z107" s="160" t="str">
        <f t="shared" si="25"/>
        <v/>
      </c>
      <c r="AA107" s="160" t="str">
        <f t="shared" si="40"/>
        <v/>
      </c>
      <c r="AB107" s="131"/>
      <c r="AC107" s="127"/>
      <c r="AD107" s="132"/>
      <c r="AE107" s="160" t="str">
        <f t="shared" si="26"/>
        <v/>
      </c>
      <c r="AF107" s="160" t="str">
        <f t="shared" si="27"/>
        <v/>
      </c>
      <c r="AG107" s="160" t="str">
        <f t="shared" si="41"/>
        <v/>
      </c>
      <c r="AH107" s="131"/>
      <c r="AI107" s="127"/>
      <c r="AJ107" s="132"/>
      <c r="AK107" s="177" t="str">
        <f t="shared" si="28"/>
        <v/>
      </c>
      <c r="AL107" s="160" t="str">
        <f t="shared" si="29"/>
        <v/>
      </c>
      <c r="AM107" s="160" t="str">
        <f t="shared" si="30"/>
        <v/>
      </c>
      <c r="AN107" s="131"/>
      <c r="AO107" s="127"/>
      <c r="AP107" s="132"/>
      <c r="AQ107" s="164" t="str">
        <f t="shared" si="31"/>
        <v/>
      </c>
      <c r="AR107" s="155" t="str">
        <f t="shared" si="32"/>
        <v/>
      </c>
      <c r="AS107" s="188" t="str">
        <f t="shared" si="33"/>
        <v/>
      </c>
      <c r="AT107" s="160" t="str">
        <f t="shared" si="34"/>
        <v/>
      </c>
      <c r="AU107" s="160" t="str">
        <f t="shared" si="35"/>
        <v/>
      </c>
      <c r="AV107" s="168" t="str">
        <f t="shared" si="36"/>
        <v/>
      </c>
      <c r="AW107" s="171" t="str">
        <f>IF(AV107="","",IFERROR(INDEX(HELPER!$D$8:$D$48,IF(AV107&gt;=HELPER!$B$8,1,MATCH(AV107,HELPER!$B$8:$B$48,-1)+1)),""))</f>
        <v/>
      </c>
      <c r="AX107" s="174" t="str">
        <f>IF(AW107="","",IFERROR(VLOOKUP(AW107,HELPER!$F$8:$G$48,2,FALSE),""))</f>
        <v/>
      </c>
      <c r="AY107" s="147"/>
      <c r="AZ107" s="91"/>
    </row>
    <row r="108" spans="1:52" ht="15" customHeight="1" x14ac:dyDescent="0.3">
      <c r="A108" s="147"/>
      <c r="B108" s="114">
        <v>39</v>
      </c>
      <c r="C108" s="227" t="str">
        <f>IF('INPUT DATA'!N49="","",'INPUT DATA'!N49)</f>
        <v/>
      </c>
      <c r="D108" s="228"/>
      <c r="E108" s="228"/>
      <c r="F108" s="131"/>
      <c r="G108" s="127"/>
      <c r="H108" s="127"/>
      <c r="I108" s="127"/>
      <c r="J108" s="132"/>
      <c r="K108" s="160" t="str">
        <f t="shared" si="38"/>
        <v/>
      </c>
      <c r="L108" s="185" t="str">
        <f t="shared" si="21"/>
        <v/>
      </c>
      <c r="M108" s="185" t="str">
        <f t="shared" si="39"/>
        <v/>
      </c>
      <c r="N108" s="131"/>
      <c r="O108" s="127"/>
      <c r="P108" s="127"/>
      <c r="Q108" s="127"/>
      <c r="R108" s="132"/>
      <c r="S108" s="160" t="str">
        <f t="shared" si="37"/>
        <v/>
      </c>
      <c r="T108" s="185" t="str">
        <f t="shared" si="22"/>
        <v/>
      </c>
      <c r="U108" s="185" t="str">
        <f t="shared" si="23"/>
        <v/>
      </c>
      <c r="V108" s="131"/>
      <c r="W108" s="127"/>
      <c r="X108" s="132"/>
      <c r="Y108" s="160" t="str">
        <f t="shared" si="24"/>
        <v/>
      </c>
      <c r="Z108" s="160" t="str">
        <f t="shared" si="25"/>
        <v/>
      </c>
      <c r="AA108" s="160" t="str">
        <f t="shared" si="40"/>
        <v/>
      </c>
      <c r="AB108" s="131"/>
      <c r="AC108" s="127"/>
      <c r="AD108" s="132"/>
      <c r="AE108" s="160" t="str">
        <f t="shared" si="26"/>
        <v/>
      </c>
      <c r="AF108" s="160" t="str">
        <f t="shared" si="27"/>
        <v/>
      </c>
      <c r="AG108" s="160" t="str">
        <f t="shared" si="41"/>
        <v/>
      </c>
      <c r="AH108" s="131"/>
      <c r="AI108" s="127"/>
      <c r="AJ108" s="132"/>
      <c r="AK108" s="177" t="str">
        <f t="shared" si="28"/>
        <v/>
      </c>
      <c r="AL108" s="160" t="str">
        <f t="shared" si="29"/>
        <v/>
      </c>
      <c r="AM108" s="160" t="str">
        <f t="shared" si="30"/>
        <v/>
      </c>
      <c r="AN108" s="131"/>
      <c r="AO108" s="127"/>
      <c r="AP108" s="132"/>
      <c r="AQ108" s="164" t="str">
        <f t="shared" si="31"/>
        <v/>
      </c>
      <c r="AR108" s="155" t="str">
        <f t="shared" si="32"/>
        <v/>
      </c>
      <c r="AS108" s="188" t="str">
        <f t="shared" si="33"/>
        <v/>
      </c>
      <c r="AT108" s="160" t="str">
        <f t="shared" si="34"/>
        <v/>
      </c>
      <c r="AU108" s="160" t="str">
        <f t="shared" si="35"/>
        <v/>
      </c>
      <c r="AV108" s="168" t="str">
        <f t="shared" si="36"/>
        <v/>
      </c>
      <c r="AW108" s="171" t="str">
        <f>IF(AV108="","",IFERROR(INDEX(HELPER!$D$8:$D$48,IF(AV108&gt;=HELPER!$B$8,1,MATCH(AV108,HELPER!$B$8:$B$48,-1)+1)),""))</f>
        <v/>
      </c>
      <c r="AX108" s="174" t="str">
        <f>IF(AW108="","",IFERROR(VLOOKUP(AW108,HELPER!$F$8:$G$48,2,FALSE),""))</f>
        <v/>
      </c>
      <c r="AY108" s="147"/>
      <c r="AZ108" s="91"/>
    </row>
    <row r="109" spans="1:52" ht="15" customHeight="1" x14ac:dyDescent="0.3">
      <c r="A109" s="147"/>
      <c r="B109" s="114">
        <v>40</v>
      </c>
      <c r="C109" s="227" t="str">
        <f>IF('INPUT DATA'!N50="","",'INPUT DATA'!N50)</f>
        <v/>
      </c>
      <c r="D109" s="228"/>
      <c r="E109" s="228"/>
      <c r="F109" s="131"/>
      <c r="G109" s="127"/>
      <c r="H109" s="127"/>
      <c r="I109" s="127"/>
      <c r="J109" s="132"/>
      <c r="K109" s="160" t="str">
        <f t="shared" si="38"/>
        <v/>
      </c>
      <c r="L109" s="185" t="str">
        <f t="shared" si="21"/>
        <v/>
      </c>
      <c r="M109" s="185" t="str">
        <f t="shared" si="39"/>
        <v/>
      </c>
      <c r="N109" s="131"/>
      <c r="O109" s="127"/>
      <c r="P109" s="127"/>
      <c r="Q109" s="127"/>
      <c r="R109" s="132"/>
      <c r="S109" s="160" t="str">
        <f t="shared" si="37"/>
        <v/>
      </c>
      <c r="T109" s="185" t="str">
        <f t="shared" si="22"/>
        <v/>
      </c>
      <c r="U109" s="185" t="str">
        <f t="shared" si="23"/>
        <v/>
      </c>
      <c r="V109" s="131"/>
      <c r="W109" s="127"/>
      <c r="X109" s="132"/>
      <c r="Y109" s="160" t="str">
        <f t="shared" si="24"/>
        <v/>
      </c>
      <c r="Z109" s="160" t="str">
        <f t="shared" si="25"/>
        <v/>
      </c>
      <c r="AA109" s="160" t="str">
        <f t="shared" si="40"/>
        <v/>
      </c>
      <c r="AB109" s="131"/>
      <c r="AC109" s="127"/>
      <c r="AD109" s="132"/>
      <c r="AE109" s="160" t="str">
        <f t="shared" si="26"/>
        <v/>
      </c>
      <c r="AF109" s="160" t="str">
        <f t="shared" si="27"/>
        <v/>
      </c>
      <c r="AG109" s="160" t="str">
        <f t="shared" si="41"/>
        <v/>
      </c>
      <c r="AH109" s="131"/>
      <c r="AI109" s="127"/>
      <c r="AJ109" s="132"/>
      <c r="AK109" s="177" t="str">
        <f t="shared" si="28"/>
        <v/>
      </c>
      <c r="AL109" s="160" t="str">
        <f t="shared" si="29"/>
        <v/>
      </c>
      <c r="AM109" s="160" t="str">
        <f t="shared" si="30"/>
        <v/>
      </c>
      <c r="AN109" s="131"/>
      <c r="AO109" s="127"/>
      <c r="AP109" s="132"/>
      <c r="AQ109" s="164" t="str">
        <f t="shared" si="31"/>
        <v/>
      </c>
      <c r="AR109" s="155" t="str">
        <f t="shared" si="32"/>
        <v/>
      </c>
      <c r="AS109" s="188" t="str">
        <f t="shared" si="33"/>
        <v/>
      </c>
      <c r="AT109" s="160" t="str">
        <f t="shared" si="34"/>
        <v/>
      </c>
      <c r="AU109" s="160" t="str">
        <f t="shared" si="35"/>
        <v/>
      </c>
      <c r="AV109" s="168" t="str">
        <f t="shared" si="36"/>
        <v/>
      </c>
      <c r="AW109" s="171" t="str">
        <f>IF(AV109="","",IFERROR(INDEX(HELPER!$D$8:$D$48,IF(AV109&gt;=HELPER!$B$8,1,MATCH(AV109,HELPER!$B$8:$B$48,-1)+1)),""))</f>
        <v/>
      </c>
      <c r="AX109" s="174" t="str">
        <f>IF(AW109="","",IFERROR(VLOOKUP(AW109,HELPER!$F$8:$G$48,2,FALSE),""))</f>
        <v/>
      </c>
      <c r="AY109" s="147"/>
      <c r="AZ109" s="91"/>
    </row>
    <row r="110" spans="1:52" ht="15" customHeight="1" x14ac:dyDescent="0.3">
      <c r="A110" s="147"/>
      <c r="B110" s="114">
        <v>41</v>
      </c>
      <c r="C110" s="227" t="str">
        <f>IF('INPUT DATA'!N51="","",'INPUT DATA'!N51)</f>
        <v/>
      </c>
      <c r="D110" s="228"/>
      <c r="E110" s="228"/>
      <c r="F110" s="131"/>
      <c r="G110" s="127"/>
      <c r="H110" s="127"/>
      <c r="I110" s="127"/>
      <c r="J110" s="132"/>
      <c r="K110" s="160" t="str">
        <f t="shared" si="38"/>
        <v/>
      </c>
      <c r="L110" s="185" t="str">
        <f t="shared" si="21"/>
        <v/>
      </c>
      <c r="M110" s="185" t="str">
        <f t="shared" si="39"/>
        <v/>
      </c>
      <c r="N110" s="131"/>
      <c r="O110" s="127"/>
      <c r="P110" s="127"/>
      <c r="Q110" s="127"/>
      <c r="R110" s="132"/>
      <c r="S110" s="160" t="str">
        <f t="shared" si="37"/>
        <v/>
      </c>
      <c r="T110" s="185" t="str">
        <f t="shared" si="22"/>
        <v/>
      </c>
      <c r="U110" s="185" t="str">
        <f t="shared" si="23"/>
        <v/>
      </c>
      <c r="V110" s="131"/>
      <c r="W110" s="127"/>
      <c r="X110" s="132"/>
      <c r="Y110" s="160" t="str">
        <f t="shared" si="24"/>
        <v/>
      </c>
      <c r="Z110" s="160" t="str">
        <f t="shared" si="25"/>
        <v/>
      </c>
      <c r="AA110" s="160" t="str">
        <f t="shared" si="40"/>
        <v/>
      </c>
      <c r="AB110" s="131"/>
      <c r="AC110" s="127"/>
      <c r="AD110" s="132"/>
      <c r="AE110" s="160" t="str">
        <f t="shared" si="26"/>
        <v/>
      </c>
      <c r="AF110" s="160" t="str">
        <f t="shared" si="27"/>
        <v/>
      </c>
      <c r="AG110" s="160" t="str">
        <f t="shared" si="41"/>
        <v/>
      </c>
      <c r="AH110" s="131"/>
      <c r="AI110" s="127"/>
      <c r="AJ110" s="132"/>
      <c r="AK110" s="177" t="str">
        <f t="shared" si="28"/>
        <v/>
      </c>
      <c r="AL110" s="160" t="str">
        <f t="shared" si="29"/>
        <v/>
      </c>
      <c r="AM110" s="160" t="str">
        <f t="shared" si="30"/>
        <v/>
      </c>
      <c r="AN110" s="131"/>
      <c r="AO110" s="127"/>
      <c r="AP110" s="132"/>
      <c r="AQ110" s="164" t="str">
        <f t="shared" si="31"/>
        <v/>
      </c>
      <c r="AR110" s="155" t="str">
        <f t="shared" si="32"/>
        <v/>
      </c>
      <c r="AS110" s="188" t="str">
        <f t="shared" si="33"/>
        <v/>
      </c>
      <c r="AT110" s="160" t="str">
        <f t="shared" si="34"/>
        <v/>
      </c>
      <c r="AU110" s="160" t="str">
        <f t="shared" si="35"/>
        <v/>
      </c>
      <c r="AV110" s="168" t="str">
        <f t="shared" si="36"/>
        <v/>
      </c>
      <c r="AW110" s="171" t="str">
        <f>IF(AV110="","",IFERROR(INDEX(HELPER!$D$8:$D$48,IF(AV110&gt;=HELPER!$B$8,1,MATCH(AV110,HELPER!$B$8:$B$48,-1)+1)),""))</f>
        <v/>
      </c>
      <c r="AX110" s="174" t="str">
        <f>IF(AW110="","",IFERROR(VLOOKUP(AW110,HELPER!$F$8:$G$48,2,FALSE),""))</f>
        <v/>
      </c>
      <c r="AY110" s="147"/>
      <c r="AZ110" s="91"/>
    </row>
    <row r="111" spans="1:52" ht="15" customHeight="1" x14ac:dyDescent="0.3">
      <c r="A111" s="147"/>
      <c r="B111" s="114">
        <v>42</v>
      </c>
      <c r="C111" s="227" t="str">
        <f>IF('INPUT DATA'!N52="","",'INPUT DATA'!N52)</f>
        <v/>
      </c>
      <c r="D111" s="228"/>
      <c r="E111" s="228"/>
      <c r="F111" s="131"/>
      <c r="G111" s="127"/>
      <c r="H111" s="127"/>
      <c r="I111" s="127"/>
      <c r="J111" s="132"/>
      <c r="K111" s="160" t="str">
        <f t="shared" si="38"/>
        <v/>
      </c>
      <c r="L111" s="185" t="str">
        <f t="shared" si="21"/>
        <v/>
      </c>
      <c r="M111" s="185" t="str">
        <f t="shared" si="39"/>
        <v/>
      </c>
      <c r="N111" s="131"/>
      <c r="O111" s="127"/>
      <c r="P111" s="127"/>
      <c r="Q111" s="127"/>
      <c r="R111" s="132"/>
      <c r="S111" s="160" t="str">
        <f t="shared" si="37"/>
        <v/>
      </c>
      <c r="T111" s="185" t="str">
        <f t="shared" si="22"/>
        <v/>
      </c>
      <c r="U111" s="185" t="str">
        <f t="shared" si="23"/>
        <v/>
      </c>
      <c r="V111" s="131"/>
      <c r="W111" s="127"/>
      <c r="X111" s="132"/>
      <c r="Y111" s="160" t="str">
        <f t="shared" si="24"/>
        <v/>
      </c>
      <c r="Z111" s="160" t="str">
        <f t="shared" si="25"/>
        <v/>
      </c>
      <c r="AA111" s="160" t="str">
        <f t="shared" si="40"/>
        <v/>
      </c>
      <c r="AB111" s="131"/>
      <c r="AC111" s="127"/>
      <c r="AD111" s="132"/>
      <c r="AE111" s="160" t="str">
        <f t="shared" si="26"/>
        <v/>
      </c>
      <c r="AF111" s="160" t="str">
        <f t="shared" si="27"/>
        <v/>
      </c>
      <c r="AG111" s="160" t="str">
        <f t="shared" si="41"/>
        <v/>
      </c>
      <c r="AH111" s="131"/>
      <c r="AI111" s="127"/>
      <c r="AJ111" s="132"/>
      <c r="AK111" s="177" t="str">
        <f t="shared" si="28"/>
        <v/>
      </c>
      <c r="AL111" s="160" t="str">
        <f t="shared" si="29"/>
        <v/>
      </c>
      <c r="AM111" s="160" t="str">
        <f t="shared" si="30"/>
        <v/>
      </c>
      <c r="AN111" s="131"/>
      <c r="AO111" s="127"/>
      <c r="AP111" s="132"/>
      <c r="AQ111" s="164" t="str">
        <f t="shared" si="31"/>
        <v/>
      </c>
      <c r="AR111" s="155" t="str">
        <f t="shared" si="32"/>
        <v/>
      </c>
      <c r="AS111" s="188" t="str">
        <f t="shared" si="33"/>
        <v/>
      </c>
      <c r="AT111" s="160" t="str">
        <f t="shared" si="34"/>
        <v/>
      </c>
      <c r="AU111" s="160" t="str">
        <f t="shared" si="35"/>
        <v/>
      </c>
      <c r="AV111" s="168" t="str">
        <f t="shared" si="36"/>
        <v/>
      </c>
      <c r="AW111" s="171" t="str">
        <f>IF(AV111="","",IFERROR(INDEX(HELPER!$D$8:$D$48,IF(AV111&gt;=HELPER!$B$8,1,MATCH(AV111,HELPER!$B$8:$B$48,-1)+1)),""))</f>
        <v/>
      </c>
      <c r="AX111" s="174" t="str">
        <f>IF(AW111="","",IFERROR(VLOOKUP(AW111,HELPER!$F$8:$G$48,2,FALSE),""))</f>
        <v/>
      </c>
      <c r="AY111" s="147"/>
      <c r="AZ111" s="91"/>
    </row>
    <row r="112" spans="1:52" ht="15" customHeight="1" x14ac:dyDescent="0.3">
      <c r="A112" s="147"/>
      <c r="B112" s="114">
        <v>43</v>
      </c>
      <c r="C112" s="227" t="str">
        <f>IF('INPUT DATA'!N53="","",'INPUT DATA'!N53)</f>
        <v/>
      </c>
      <c r="D112" s="228"/>
      <c r="E112" s="228"/>
      <c r="F112" s="131"/>
      <c r="G112" s="127"/>
      <c r="H112" s="127"/>
      <c r="I112" s="127"/>
      <c r="J112" s="132"/>
      <c r="K112" s="160" t="str">
        <f t="shared" si="38"/>
        <v/>
      </c>
      <c r="L112" s="185" t="str">
        <f t="shared" si="21"/>
        <v/>
      </c>
      <c r="M112" s="185" t="str">
        <f t="shared" si="39"/>
        <v/>
      </c>
      <c r="N112" s="131"/>
      <c r="O112" s="127"/>
      <c r="P112" s="127"/>
      <c r="Q112" s="127"/>
      <c r="R112" s="132"/>
      <c r="S112" s="160" t="str">
        <f t="shared" si="37"/>
        <v/>
      </c>
      <c r="T112" s="185" t="str">
        <f t="shared" si="22"/>
        <v/>
      </c>
      <c r="U112" s="185" t="str">
        <f t="shared" si="23"/>
        <v/>
      </c>
      <c r="V112" s="131"/>
      <c r="W112" s="127"/>
      <c r="X112" s="132"/>
      <c r="Y112" s="160" t="str">
        <f t="shared" si="24"/>
        <v/>
      </c>
      <c r="Z112" s="160" t="str">
        <f t="shared" si="25"/>
        <v/>
      </c>
      <c r="AA112" s="160" t="str">
        <f t="shared" si="40"/>
        <v/>
      </c>
      <c r="AB112" s="131"/>
      <c r="AC112" s="127"/>
      <c r="AD112" s="132"/>
      <c r="AE112" s="160" t="str">
        <f t="shared" si="26"/>
        <v/>
      </c>
      <c r="AF112" s="160" t="str">
        <f t="shared" si="27"/>
        <v/>
      </c>
      <c r="AG112" s="160" t="str">
        <f t="shared" si="41"/>
        <v/>
      </c>
      <c r="AH112" s="131"/>
      <c r="AI112" s="127"/>
      <c r="AJ112" s="132"/>
      <c r="AK112" s="177" t="str">
        <f t="shared" si="28"/>
        <v/>
      </c>
      <c r="AL112" s="160" t="str">
        <f t="shared" si="29"/>
        <v/>
      </c>
      <c r="AM112" s="160" t="str">
        <f t="shared" si="30"/>
        <v/>
      </c>
      <c r="AN112" s="131"/>
      <c r="AO112" s="127"/>
      <c r="AP112" s="132"/>
      <c r="AQ112" s="164" t="str">
        <f t="shared" si="31"/>
        <v/>
      </c>
      <c r="AR112" s="155" t="str">
        <f t="shared" si="32"/>
        <v/>
      </c>
      <c r="AS112" s="188" t="str">
        <f t="shared" si="33"/>
        <v/>
      </c>
      <c r="AT112" s="160" t="str">
        <f t="shared" si="34"/>
        <v/>
      </c>
      <c r="AU112" s="160" t="str">
        <f t="shared" si="35"/>
        <v/>
      </c>
      <c r="AV112" s="168" t="str">
        <f t="shared" si="36"/>
        <v/>
      </c>
      <c r="AW112" s="171" t="str">
        <f>IF(AV112="","",IFERROR(INDEX(HELPER!$D$8:$D$48,IF(AV112&gt;=HELPER!$B$8,1,MATCH(AV112,HELPER!$B$8:$B$48,-1)+1)),""))</f>
        <v/>
      </c>
      <c r="AX112" s="174" t="str">
        <f>IF(AW112="","",IFERROR(VLOOKUP(AW112,HELPER!$F$8:$G$48,2,FALSE),""))</f>
        <v/>
      </c>
      <c r="AY112" s="147"/>
      <c r="AZ112" s="91"/>
    </row>
    <row r="113" spans="1:52" ht="15" customHeight="1" x14ac:dyDescent="0.3">
      <c r="A113" s="147"/>
      <c r="B113" s="114">
        <v>44</v>
      </c>
      <c r="C113" s="227" t="str">
        <f>IF('INPUT DATA'!N54="","",'INPUT DATA'!N54)</f>
        <v/>
      </c>
      <c r="D113" s="228"/>
      <c r="E113" s="228"/>
      <c r="F113" s="131"/>
      <c r="G113" s="127"/>
      <c r="H113" s="127"/>
      <c r="I113" s="127"/>
      <c r="J113" s="132"/>
      <c r="K113" s="160" t="str">
        <f t="shared" si="38"/>
        <v/>
      </c>
      <c r="L113" s="185" t="str">
        <f t="shared" si="21"/>
        <v/>
      </c>
      <c r="M113" s="185" t="str">
        <f t="shared" si="39"/>
        <v/>
      </c>
      <c r="N113" s="131"/>
      <c r="O113" s="127"/>
      <c r="P113" s="127"/>
      <c r="Q113" s="127"/>
      <c r="R113" s="132"/>
      <c r="S113" s="160" t="str">
        <f t="shared" si="37"/>
        <v/>
      </c>
      <c r="T113" s="185" t="str">
        <f t="shared" si="22"/>
        <v/>
      </c>
      <c r="U113" s="185" t="str">
        <f t="shared" si="23"/>
        <v/>
      </c>
      <c r="V113" s="131"/>
      <c r="W113" s="127"/>
      <c r="X113" s="132"/>
      <c r="Y113" s="160" t="str">
        <f t="shared" si="24"/>
        <v/>
      </c>
      <c r="Z113" s="160" t="str">
        <f t="shared" si="25"/>
        <v/>
      </c>
      <c r="AA113" s="160" t="str">
        <f t="shared" si="40"/>
        <v/>
      </c>
      <c r="AB113" s="131"/>
      <c r="AC113" s="127"/>
      <c r="AD113" s="132"/>
      <c r="AE113" s="160" t="str">
        <f t="shared" si="26"/>
        <v/>
      </c>
      <c r="AF113" s="160" t="str">
        <f t="shared" si="27"/>
        <v/>
      </c>
      <c r="AG113" s="160" t="str">
        <f t="shared" si="41"/>
        <v/>
      </c>
      <c r="AH113" s="131"/>
      <c r="AI113" s="127"/>
      <c r="AJ113" s="132"/>
      <c r="AK113" s="177" t="str">
        <f t="shared" si="28"/>
        <v/>
      </c>
      <c r="AL113" s="160" t="str">
        <f t="shared" si="29"/>
        <v/>
      </c>
      <c r="AM113" s="160" t="str">
        <f t="shared" si="30"/>
        <v/>
      </c>
      <c r="AN113" s="131"/>
      <c r="AO113" s="127"/>
      <c r="AP113" s="132"/>
      <c r="AQ113" s="164" t="str">
        <f t="shared" si="31"/>
        <v/>
      </c>
      <c r="AR113" s="155" t="str">
        <f t="shared" si="32"/>
        <v/>
      </c>
      <c r="AS113" s="188" t="str">
        <f t="shared" si="33"/>
        <v/>
      </c>
      <c r="AT113" s="160" t="str">
        <f t="shared" si="34"/>
        <v/>
      </c>
      <c r="AU113" s="160" t="str">
        <f t="shared" si="35"/>
        <v/>
      </c>
      <c r="AV113" s="168" t="str">
        <f t="shared" si="36"/>
        <v/>
      </c>
      <c r="AW113" s="171" t="str">
        <f>IF(AV113="","",IFERROR(INDEX(HELPER!$D$8:$D$48,IF(AV113&gt;=HELPER!$B$8,1,MATCH(AV113,HELPER!$B$8:$B$48,-1)+1)),""))</f>
        <v/>
      </c>
      <c r="AX113" s="174" t="str">
        <f>IF(AW113="","",IFERROR(VLOOKUP(AW113,HELPER!$F$8:$G$48,2,FALSE),""))</f>
        <v/>
      </c>
      <c r="AY113" s="147"/>
      <c r="AZ113" s="91"/>
    </row>
    <row r="114" spans="1:52" ht="15" customHeight="1" x14ac:dyDescent="0.3">
      <c r="A114" s="147"/>
      <c r="B114" s="114">
        <v>45</v>
      </c>
      <c r="C114" s="227" t="str">
        <f>IF('INPUT DATA'!N55="","",'INPUT DATA'!N55)</f>
        <v/>
      </c>
      <c r="D114" s="228"/>
      <c r="E114" s="228"/>
      <c r="F114" s="131"/>
      <c r="G114" s="127"/>
      <c r="H114" s="127"/>
      <c r="I114" s="127"/>
      <c r="J114" s="132"/>
      <c r="K114" s="160" t="str">
        <f t="shared" si="38"/>
        <v/>
      </c>
      <c r="L114" s="185" t="str">
        <f t="shared" si="21"/>
        <v/>
      </c>
      <c r="M114" s="185" t="str">
        <f t="shared" si="39"/>
        <v/>
      </c>
      <c r="N114" s="131"/>
      <c r="O114" s="127"/>
      <c r="P114" s="127"/>
      <c r="Q114" s="127"/>
      <c r="R114" s="132"/>
      <c r="S114" s="160" t="str">
        <f t="shared" si="37"/>
        <v/>
      </c>
      <c r="T114" s="185" t="str">
        <f t="shared" si="22"/>
        <v/>
      </c>
      <c r="U114" s="185" t="str">
        <f t="shared" si="23"/>
        <v/>
      </c>
      <c r="V114" s="131"/>
      <c r="W114" s="127"/>
      <c r="X114" s="132"/>
      <c r="Y114" s="160" t="str">
        <f t="shared" si="24"/>
        <v/>
      </c>
      <c r="Z114" s="160" t="str">
        <f t="shared" si="25"/>
        <v/>
      </c>
      <c r="AA114" s="160" t="str">
        <f t="shared" si="40"/>
        <v/>
      </c>
      <c r="AB114" s="131"/>
      <c r="AC114" s="127"/>
      <c r="AD114" s="132"/>
      <c r="AE114" s="160" t="str">
        <f t="shared" si="26"/>
        <v/>
      </c>
      <c r="AF114" s="160" t="str">
        <f t="shared" si="27"/>
        <v/>
      </c>
      <c r="AG114" s="160" t="str">
        <f t="shared" si="41"/>
        <v/>
      </c>
      <c r="AH114" s="131"/>
      <c r="AI114" s="127"/>
      <c r="AJ114" s="132"/>
      <c r="AK114" s="177" t="str">
        <f t="shared" si="28"/>
        <v/>
      </c>
      <c r="AL114" s="160" t="str">
        <f t="shared" si="29"/>
        <v/>
      </c>
      <c r="AM114" s="160" t="str">
        <f t="shared" si="30"/>
        <v/>
      </c>
      <c r="AN114" s="131"/>
      <c r="AO114" s="127"/>
      <c r="AP114" s="132"/>
      <c r="AQ114" s="164" t="str">
        <f t="shared" si="31"/>
        <v/>
      </c>
      <c r="AR114" s="155" t="str">
        <f t="shared" si="32"/>
        <v/>
      </c>
      <c r="AS114" s="188" t="str">
        <f t="shared" si="33"/>
        <v/>
      </c>
      <c r="AT114" s="160" t="str">
        <f t="shared" si="34"/>
        <v/>
      </c>
      <c r="AU114" s="160" t="str">
        <f t="shared" si="35"/>
        <v/>
      </c>
      <c r="AV114" s="168" t="str">
        <f t="shared" si="36"/>
        <v/>
      </c>
      <c r="AW114" s="171" t="str">
        <f>IF(AV114="","",IFERROR(INDEX(HELPER!$D$8:$D$48,IF(AV114&gt;=HELPER!$B$8,1,MATCH(AV114,HELPER!$B$8:$B$48,-1)+1)),""))</f>
        <v/>
      </c>
      <c r="AX114" s="174" t="str">
        <f>IF(AW114="","",IFERROR(VLOOKUP(AW114,HELPER!$F$8:$G$48,2,FALSE),""))</f>
        <v/>
      </c>
      <c r="AY114" s="147"/>
      <c r="AZ114" s="91"/>
    </row>
    <row r="115" spans="1:52" ht="15" customHeight="1" x14ac:dyDescent="0.3">
      <c r="A115" s="147"/>
      <c r="B115" s="114">
        <v>46</v>
      </c>
      <c r="C115" s="227" t="str">
        <f>IF('INPUT DATA'!N56="","",'INPUT DATA'!N56)</f>
        <v/>
      </c>
      <c r="D115" s="228"/>
      <c r="E115" s="228"/>
      <c r="F115" s="131"/>
      <c r="G115" s="127"/>
      <c r="H115" s="127"/>
      <c r="I115" s="127"/>
      <c r="J115" s="132"/>
      <c r="K115" s="160" t="str">
        <f t="shared" si="38"/>
        <v/>
      </c>
      <c r="L115" s="185" t="str">
        <f t="shared" si="21"/>
        <v/>
      </c>
      <c r="M115" s="185" t="str">
        <f t="shared" si="39"/>
        <v/>
      </c>
      <c r="N115" s="131"/>
      <c r="O115" s="127"/>
      <c r="P115" s="127"/>
      <c r="Q115" s="127"/>
      <c r="R115" s="132"/>
      <c r="S115" s="160" t="str">
        <f t="shared" si="37"/>
        <v/>
      </c>
      <c r="T115" s="185" t="str">
        <f t="shared" si="22"/>
        <v/>
      </c>
      <c r="U115" s="185" t="str">
        <f t="shared" si="23"/>
        <v/>
      </c>
      <c r="V115" s="131"/>
      <c r="W115" s="127"/>
      <c r="X115" s="132"/>
      <c r="Y115" s="160" t="str">
        <f t="shared" si="24"/>
        <v/>
      </c>
      <c r="Z115" s="160" t="str">
        <f t="shared" si="25"/>
        <v/>
      </c>
      <c r="AA115" s="160" t="str">
        <f t="shared" si="40"/>
        <v/>
      </c>
      <c r="AB115" s="131"/>
      <c r="AC115" s="127"/>
      <c r="AD115" s="132"/>
      <c r="AE115" s="160" t="str">
        <f t="shared" si="26"/>
        <v/>
      </c>
      <c r="AF115" s="160" t="str">
        <f t="shared" si="27"/>
        <v/>
      </c>
      <c r="AG115" s="160" t="str">
        <f t="shared" si="41"/>
        <v/>
      </c>
      <c r="AH115" s="131"/>
      <c r="AI115" s="127"/>
      <c r="AJ115" s="132"/>
      <c r="AK115" s="177" t="str">
        <f t="shared" si="28"/>
        <v/>
      </c>
      <c r="AL115" s="160" t="str">
        <f t="shared" si="29"/>
        <v/>
      </c>
      <c r="AM115" s="160" t="str">
        <f t="shared" si="30"/>
        <v/>
      </c>
      <c r="AN115" s="131"/>
      <c r="AO115" s="127"/>
      <c r="AP115" s="132"/>
      <c r="AQ115" s="164" t="str">
        <f t="shared" si="31"/>
        <v/>
      </c>
      <c r="AR115" s="155" t="str">
        <f t="shared" si="32"/>
        <v/>
      </c>
      <c r="AS115" s="188" t="str">
        <f t="shared" si="33"/>
        <v/>
      </c>
      <c r="AT115" s="160" t="str">
        <f t="shared" si="34"/>
        <v/>
      </c>
      <c r="AU115" s="160" t="str">
        <f t="shared" si="35"/>
        <v/>
      </c>
      <c r="AV115" s="168" t="str">
        <f t="shared" si="36"/>
        <v/>
      </c>
      <c r="AW115" s="171" t="str">
        <f>IF(AV115="","",IFERROR(INDEX(HELPER!$D$8:$D$48,IF(AV115&gt;=HELPER!$B$8,1,MATCH(AV115,HELPER!$B$8:$B$48,-1)+1)),""))</f>
        <v/>
      </c>
      <c r="AX115" s="174" t="str">
        <f>IF(AW115="","",IFERROR(VLOOKUP(AW115,HELPER!$F$8:$G$48,2,FALSE),""))</f>
        <v/>
      </c>
      <c r="AY115" s="147"/>
      <c r="AZ115" s="91"/>
    </row>
    <row r="116" spans="1:52" ht="15" customHeight="1" x14ac:dyDescent="0.3">
      <c r="A116" s="147"/>
      <c r="B116" s="114">
        <v>47</v>
      </c>
      <c r="C116" s="227" t="str">
        <f>IF('INPUT DATA'!N57="","",'INPUT DATA'!N57)</f>
        <v/>
      </c>
      <c r="D116" s="228"/>
      <c r="E116" s="228"/>
      <c r="F116" s="131"/>
      <c r="G116" s="127"/>
      <c r="H116" s="127"/>
      <c r="I116" s="127"/>
      <c r="J116" s="132"/>
      <c r="K116" s="160" t="str">
        <f t="shared" si="38"/>
        <v/>
      </c>
      <c r="L116" s="185" t="str">
        <f t="shared" si="21"/>
        <v/>
      </c>
      <c r="M116" s="185" t="str">
        <f t="shared" si="39"/>
        <v/>
      </c>
      <c r="N116" s="131"/>
      <c r="O116" s="127"/>
      <c r="P116" s="127"/>
      <c r="Q116" s="127"/>
      <c r="R116" s="132"/>
      <c r="S116" s="160" t="str">
        <f t="shared" si="37"/>
        <v/>
      </c>
      <c r="T116" s="185" t="str">
        <f t="shared" si="22"/>
        <v/>
      </c>
      <c r="U116" s="185" t="str">
        <f t="shared" si="23"/>
        <v/>
      </c>
      <c r="V116" s="131"/>
      <c r="W116" s="127"/>
      <c r="X116" s="132"/>
      <c r="Y116" s="160" t="str">
        <f t="shared" si="24"/>
        <v/>
      </c>
      <c r="Z116" s="160" t="str">
        <f t="shared" si="25"/>
        <v/>
      </c>
      <c r="AA116" s="160" t="str">
        <f t="shared" si="40"/>
        <v/>
      </c>
      <c r="AB116" s="131"/>
      <c r="AC116" s="127"/>
      <c r="AD116" s="132"/>
      <c r="AE116" s="160" t="str">
        <f t="shared" si="26"/>
        <v/>
      </c>
      <c r="AF116" s="160" t="str">
        <f t="shared" si="27"/>
        <v/>
      </c>
      <c r="AG116" s="160" t="str">
        <f t="shared" si="41"/>
        <v/>
      </c>
      <c r="AH116" s="131"/>
      <c r="AI116" s="127"/>
      <c r="AJ116" s="132"/>
      <c r="AK116" s="177" t="str">
        <f t="shared" si="28"/>
        <v/>
      </c>
      <c r="AL116" s="160" t="str">
        <f t="shared" si="29"/>
        <v/>
      </c>
      <c r="AM116" s="160" t="str">
        <f t="shared" si="30"/>
        <v/>
      </c>
      <c r="AN116" s="131"/>
      <c r="AO116" s="127"/>
      <c r="AP116" s="132"/>
      <c r="AQ116" s="164" t="str">
        <f t="shared" si="31"/>
        <v/>
      </c>
      <c r="AR116" s="155" t="str">
        <f t="shared" si="32"/>
        <v/>
      </c>
      <c r="AS116" s="188" t="str">
        <f t="shared" si="33"/>
        <v/>
      </c>
      <c r="AT116" s="160" t="str">
        <f t="shared" si="34"/>
        <v/>
      </c>
      <c r="AU116" s="160" t="str">
        <f t="shared" si="35"/>
        <v/>
      </c>
      <c r="AV116" s="168" t="str">
        <f t="shared" si="36"/>
        <v/>
      </c>
      <c r="AW116" s="171" t="str">
        <f>IF(AV116="","",IFERROR(INDEX(HELPER!$D$8:$D$48,IF(AV116&gt;=HELPER!$B$8,1,MATCH(AV116,HELPER!$B$8:$B$48,-1)+1)),""))</f>
        <v/>
      </c>
      <c r="AX116" s="174" t="str">
        <f>IF(AW116="","",IFERROR(VLOOKUP(AW116,HELPER!$F$8:$G$48,2,FALSE),""))</f>
        <v/>
      </c>
      <c r="AY116" s="147"/>
      <c r="AZ116" s="91"/>
    </row>
    <row r="117" spans="1:52" ht="15" customHeight="1" x14ac:dyDescent="0.3">
      <c r="A117" s="147"/>
      <c r="B117" s="114">
        <v>48</v>
      </c>
      <c r="C117" s="227" t="str">
        <f>IF('INPUT DATA'!N58="","",'INPUT DATA'!N58)</f>
        <v/>
      </c>
      <c r="D117" s="228"/>
      <c r="E117" s="228"/>
      <c r="F117" s="131"/>
      <c r="G117" s="127"/>
      <c r="H117" s="127"/>
      <c r="I117" s="127"/>
      <c r="J117" s="132"/>
      <c r="K117" s="160" t="str">
        <f t="shared" si="38"/>
        <v/>
      </c>
      <c r="L117" s="185" t="str">
        <f t="shared" si="21"/>
        <v/>
      </c>
      <c r="M117" s="185" t="str">
        <f t="shared" si="39"/>
        <v/>
      </c>
      <c r="N117" s="131"/>
      <c r="O117" s="127"/>
      <c r="P117" s="127"/>
      <c r="Q117" s="127"/>
      <c r="R117" s="132"/>
      <c r="S117" s="160" t="str">
        <f t="shared" si="37"/>
        <v/>
      </c>
      <c r="T117" s="185" t="str">
        <f t="shared" si="22"/>
        <v/>
      </c>
      <c r="U117" s="185" t="str">
        <f t="shared" si="23"/>
        <v/>
      </c>
      <c r="V117" s="131"/>
      <c r="W117" s="127"/>
      <c r="X117" s="132"/>
      <c r="Y117" s="160" t="str">
        <f t="shared" si="24"/>
        <v/>
      </c>
      <c r="Z117" s="160" t="str">
        <f t="shared" si="25"/>
        <v/>
      </c>
      <c r="AA117" s="160" t="str">
        <f t="shared" si="40"/>
        <v/>
      </c>
      <c r="AB117" s="131"/>
      <c r="AC117" s="127"/>
      <c r="AD117" s="132"/>
      <c r="AE117" s="160" t="str">
        <f t="shared" si="26"/>
        <v/>
      </c>
      <c r="AF117" s="160" t="str">
        <f t="shared" si="27"/>
        <v/>
      </c>
      <c r="AG117" s="160" t="str">
        <f t="shared" si="41"/>
        <v/>
      </c>
      <c r="AH117" s="131"/>
      <c r="AI117" s="127"/>
      <c r="AJ117" s="132"/>
      <c r="AK117" s="177" t="str">
        <f t="shared" si="28"/>
        <v/>
      </c>
      <c r="AL117" s="160" t="str">
        <f t="shared" si="29"/>
        <v/>
      </c>
      <c r="AM117" s="160" t="str">
        <f t="shared" si="30"/>
        <v/>
      </c>
      <c r="AN117" s="131"/>
      <c r="AO117" s="127"/>
      <c r="AP117" s="132"/>
      <c r="AQ117" s="164" t="str">
        <f t="shared" si="31"/>
        <v/>
      </c>
      <c r="AR117" s="155" t="str">
        <f t="shared" si="32"/>
        <v/>
      </c>
      <c r="AS117" s="188" t="str">
        <f t="shared" si="33"/>
        <v/>
      </c>
      <c r="AT117" s="160" t="str">
        <f t="shared" si="34"/>
        <v/>
      </c>
      <c r="AU117" s="160" t="str">
        <f t="shared" si="35"/>
        <v/>
      </c>
      <c r="AV117" s="168" t="str">
        <f t="shared" si="36"/>
        <v/>
      </c>
      <c r="AW117" s="171" t="str">
        <f>IF(AV117="","",IFERROR(INDEX(HELPER!$D$8:$D$48,IF(AV117&gt;=HELPER!$B$8,1,MATCH(AV117,HELPER!$B$8:$B$48,-1)+1)),""))</f>
        <v/>
      </c>
      <c r="AX117" s="174" t="str">
        <f>IF(AW117="","",IFERROR(VLOOKUP(AW117,HELPER!$F$8:$G$48,2,FALSE),""))</f>
        <v/>
      </c>
      <c r="AY117" s="147"/>
      <c r="AZ117" s="91"/>
    </row>
    <row r="118" spans="1:52" ht="15" customHeight="1" x14ac:dyDescent="0.3">
      <c r="A118" s="147"/>
      <c r="B118" s="114">
        <v>49</v>
      </c>
      <c r="C118" s="227" t="str">
        <f>IF('INPUT DATA'!N59="","",'INPUT DATA'!N59)</f>
        <v/>
      </c>
      <c r="D118" s="228"/>
      <c r="E118" s="228"/>
      <c r="F118" s="131"/>
      <c r="G118" s="127"/>
      <c r="H118" s="127"/>
      <c r="I118" s="127"/>
      <c r="J118" s="132"/>
      <c r="K118" s="160" t="str">
        <f t="shared" si="38"/>
        <v/>
      </c>
      <c r="L118" s="185" t="str">
        <f t="shared" si="21"/>
        <v/>
      </c>
      <c r="M118" s="185" t="str">
        <f t="shared" si="39"/>
        <v/>
      </c>
      <c r="N118" s="131"/>
      <c r="O118" s="127"/>
      <c r="P118" s="127"/>
      <c r="Q118" s="127"/>
      <c r="R118" s="132"/>
      <c r="S118" s="160" t="str">
        <f t="shared" si="37"/>
        <v/>
      </c>
      <c r="T118" s="185" t="str">
        <f t="shared" si="22"/>
        <v/>
      </c>
      <c r="U118" s="185" t="str">
        <f t="shared" si="23"/>
        <v/>
      </c>
      <c r="V118" s="131"/>
      <c r="W118" s="127"/>
      <c r="X118" s="132"/>
      <c r="Y118" s="160" t="str">
        <f t="shared" si="24"/>
        <v/>
      </c>
      <c r="Z118" s="160" t="str">
        <f t="shared" si="25"/>
        <v/>
      </c>
      <c r="AA118" s="160" t="str">
        <f t="shared" si="40"/>
        <v/>
      </c>
      <c r="AB118" s="131"/>
      <c r="AC118" s="127"/>
      <c r="AD118" s="132"/>
      <c r="AE118" s="160" t="str">
        <f t="shared" si="26"/>
        <v/>
      </c>
      <c r="AF118" s="160" t="str">
        <f t="shared" si="27"/>
        <v/>
      </c>
      <c r="AG118" s="160" t="str">
        <f t="shared" si="41"/>
        <v/>
      </c>
      <c r="AH118" s="131"/>
      <c r="AI118" s="127"/>
      <c r="AJ118" s="132"/>
      <c r="AK118" s="177" t="str">
        <f t="shared" si="28"/>
        <v/>
      </c>
      <c r="AL118" s="160" t="str">
        <f t="shared" si="29"/>
        <v/>
      </c>
      <c r="AM118" s="160" t="str">
        <f t="shared" si="30"/>
        <v/>
      </c>
      <c r="AN118" s="131"/>
      <c r="AO118" s="127"/>
      <c r="AP118" s="132"/>
      <c r="AQ118" s="164" t="str">
        <f t="shared" si="31"/>
        <v/>
      </c>
      <c r="AR118" s="155" t="str">
        <f t="shared" si="32"/>
        <v/>
      </c>
      <c r="AS118" s="188" t="str">
        <f t="shared" si="33"/>
        <v/>
      </c>
      <c r="AT118" s="160" t="str">
        <f t="shared" si="34"/>
        <v/>
      </c>
      <c r="AU118" s="160" t="str">
        <f t="shared" si="35"/>
        <v/>
      </c>
      <c r="AV118" s="168" t="str">
        <f t="shared" si="36"/>
        <v/>
      </c>
      <c r="AW118" s="171" t="str">
        <f>IF(AV118="","",IFERROR(INDEX(HELPER!$D$8:$D$48,IF(AV118&gt;=HELPER!$B$8,1,MATCH(AV118,HELPER!$B$8:$B$48,-1)+1)),""))</f>
        <v/>
      </c>
      <c r="AX118" s="174" t="str">
        <f>IF(AW118="","",IFERROR(VLOOKUP(AW118,HELPER!$F$8:$G$48,2,FALSE),""))</f>
        <v/>
      </c>
      <c r="AY118" s="147"/>
      <c r="AZ118" s="91"/>
    </row>
    <row r="119" spans="1:52" ht="15" customHeight="1" thickBot="1" x14ac:dyDescent="0.35">
      <c r="A119" s="147"/>
      <c r="B119" s="115">
        <v>50</v>
      </c>
      <c r="C119" s="284" t="str">
        <f>IF('INPUT DATA'!N60="","",'INPUT DATA'!N60)</f>
        <v/>
      </c>
      <c r="D119" s="285"/>
      <c r="E119" s="285"/>
      <c r="F119" s="156"/>
      <c r="G119" s="157"/>
      <c r="H119" s="157"/>
      <c r="I119" s="157"/>
      <c r="J119" s="158"/>
      <c r="K119" s="161" t="str">
        <f t="shared" si="38"/>
        <v/>
      </c>
      <c r="L119" s="186" t="str">
        <f t="shared" si="21"/>
        <v/>
      </c>
      <c r="M119" s="186" t="str">
        <f t="shared" si="39"/>
        <v/>
      </c>
      <c r="N119" s="156"/>
      <c r="O119" s="157"/>
      <c r="P119" s="157"/>
      <c r="Q119" s="157"/>
      <c r="R119" s="158"/>
      <c r="S119" s="161" t="str">
        <f t="shared" si="37"/>
        <v/>
      </c>
      <c r="T119" s="186" t="str">
        <f t="shared" si="22"/>
        <v/>
      </c>
      <c r="U119" s="186" t="str">
        <f t="shared" si="23"/>
        <v/>
      </c>
      <c r="V119" s="156"/>
      <c r="W119" s="157"/>
      <c r="X119" s="158"/>
      <c r="Y119" s="161" t="str">
        <f t="shared" si="24"/>
        <v/>
      </c>
      <c r="Z119" s="161" t="str">
        <f t="shared" si="25"/>
        <v/>
      </c>
      <c r="AA119" s="161" t="str">
        <f t="shared" si="40"/>
        <v/>
      </c>
      <c r="AB119" s="156"/>
      <c r="AC119" s="157"/>
      <c r="AD119" s="158"/>
      <c r="AE119" s="161" t="str">
        <f t="shared" si="26"/>
        <v/>
      </c>
      <c r="AF119" s="161" t="str">
        <f t="shared" si="27"/>
        <v/>
      </c>
      <c r="AG119" s="161" t="str">
        <f t="shared" si="41"/>
        <v/>
      </c>
      <c r="AH119" s="156"/>
      <c r="AI119" s="157"/>
      <c r="AJ119" s="158"/>
      <c r="AK119" s="178" t="str">
        <f t="shared" si="28"/>
        <v/>
      </c>
      <c r="AL119" s="161" t="str">
        <f t="shared" si="29"/>
        <v/>
      </c>
      <c r="AM119" s="161" t="str">
        <f t="shared" si="30"/>
        <v/>
      </c>
      <c r="AN119" s="156"/>
      <c r="AO119" s="157"/>
      <c r="AP119" s="158"/>
      <c r="AQ119" s="165" t="str">
        <f t="shared" si="31"/>
        <v/>
      </c>
      <c r="AR119" s="166" t="str">
        <f t="shared" si="32"/>
        <v/>
      </c>
      <c r="AS119" s="189" t="str">
        <f t="shared" si="33"/>
        <v/>
      </c>
      <c r="AT119" s="161" t="str">
        <f t="shared" si="34"/>
        <v/>
      </c>
      <c r="AU119" s="161" t="str">
        <f t="shared" si="35"/>
        <v/>
      </c>
      <c r="AV119" s="169" t="str">
        <f t="shared" si="36"/>
        <v/>
      </c>
      <c r="AW119" s="172" t="str">
        <f>IF(AV119="","",IFERROR(INDEX(HELPER!$D$8:$D$48,IF(AV119&gt;=HELPER!$B$8,1,MATCH(AV119,HELPER!$B$8:$B$48,-1)+1)),""))</f>
        <v/>
      </c>
      <c r="AX119" s="175" t="str">
        <f>IF(AW119="","",IFERROR(VLOOKUP(AW119,HELPER!$F$8:$G$48,2,FALSE),""))</f>
        <v/>
      </c>
      <c r="AY119" s="147"/>
      <c r="AZ119" s="91"/>
    </row>
    <row r="120" spans="1:52" ht="13.25" customHeight="1" x14ac:dyDescent="0.25">
      <c r="A120" s="147"/>
      <c r="B120" s="147"/>
      <c r="C120" s="278"/>
      <c r="D120" s="279"/>
      <c r="E120" s="279"/>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5" customHeight="1" x14ac:dyDescent="0.25">
      <c r="A121" s="147"/>
      <c r="B121" s="147"/>
      <c r="C121" s="278"/>
      <c r="D121" s="279"/>
      <c r="E121" s="279"/>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3H+eMhUwAvgPIvxXUJZXHGwxbCPFYjDktkQapuqzyoukhnJLT1ejHFde72lk30mCHNTYboUCxURAxZD8lTvmPg==" saltValue="HNgZ1wC/MRDB6tdPF+Yo1g==" spinCount="100000" sheet="1" objects="1" scenarios="1" formatCells="0" formatColumns="0" formatRows="0"/>
  <mergeCells count="133">
    <mergeCell ref="C117:E117"/>
    <mergeCell ref="C118:E118"/>
    <mergeCell ref="C119:E119"/>
    <mergeCell ref="C120:E120"/>
    <mergeCell ref="C121:E121"/>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B69:AX69"/>
    <mergeCell ref="C70:E70"/>
    <mergeCell ref="C71:E71"/>
    <mergeCell ref="C72:E72"/>
    <mergeCell ref="C73:E73"/>
    <mergeCell ref="C74:E74"/>
    <mergeCell ref="C63:E63"/>
    <mergeCell ref="C64:E64"/>
    <mergeCell ref="C65:E65"/>
    <mergeCell ref="C66:E66"/>
    <mergeCell ref="C67:E67"/>
    <mergeCell ref="C68:E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B2:AX3"/>
    <mergeCell ref="F5:N5"/>
    <mergeCell ref="S5:AC5"/>
    <mergeCell ref="AI5:AO5"/>
    <mergeCell ref="F7:AC7"/>
    <mergeCell ref="AI7:AO7"/>
    <mergeCell ref="B9:AX9"/>
    <mergeCell ref="B10:E15"/>
    <mergeCell ref="F10:K10"/>
    <mergeCell ref="L10:U10"/>
    <mergeCell ref="V10:AA11"/>
    <mergeCell ref="AB10:AO11"/>
    <mergeCell ref="AP10:AQ11"/>
    <mergeCell ref="AR10:AX11"/>
    <mergeCell ref="F11:K11"/>
    <mergeCell ref="L11:U11"/>
    <mergeCell ref="F12:U13"/>
    <mergeCell ref="V12:AM13"/>
    <mergeCell ref="AN12:AU13"/>
    <mergeCell ref="AV12:AV16"/>
    <mergeCell ref="AW12:AW16"/>
    <mergeCell ref="AX12:AX16"/>
    <mergeCell ref="F14:M14"/>
    <mergeCell ref="N14:U14"/>
  </mergeCells>
  <dataValidations count="28">
    <dataValidation type="custom" allowBlank="1" showInputMessage="1" showErrorMessage="1" promptTitle="Score Entry" prompt="Enter learners' raw scores." sqref="X19:X68 AJ19:AJ68 X70:X119 AD70:AD119 AD19:AD68 AJ70:AJ119" xr:uid="{D589B363-ABC0-4C12-A389-7910A9A76BFF}">
      <formula1>X19&lt;=$AJ$16</formula1>
    </dataValidation>
    <dataValidation type="custom" allowBlank="1" showInputMessage="1" showErrorMessage="1" promptTitle="Score Entry" prompt="Enter learners' raw scores." sqref="V19:V68 AH25:AH68 V70:V119 AH70:AH119 AH24 AH19:AH23" xr:uid="{C58A7AF8-DBD8-4E85-9711-82A4FEC1B24A}">
      <formula1>V19&lt;=$AH$16</formula1>
    </dataValidation>
    <dataValidation type="custom" allowBlank="1" showInputMessage="1" showErrorMessage="1" promptTitle="Score Entry" prompt="Enter learners' raw scores." sqref="G19:G68 G70:G119 O19:O68 O70:O119" xr:uid="{0AC21394-6D87-4CBA-8DDC-53F28B14DE9B}">
      <formula1>G19&lt;=$O$16</formula1>
    </dataValidation>
    <dataValidation type="custom" allowBlank="1" showInputMessage="1" showErrorMessage="1" promptTitle="Score Entry" prompt="Enter learners' raw scores." sqref="W19:W68 AI19:AI68 W70:W119 AI70:AI119 AC19:AC68 AC70:AC119" xr:uid="{95EFD6C9-47C1-452E-8D9D-5092A84318EB}">
      <formula1>W19&lt;=$AI$16</formula1>
    </dataValidation>
    <dataValidation type="custom" allowBlank="1" showInputMessage="1" showErrorMessage="1" promptTitle="Score Entry" prompt="Enter learners' raw scores." sqref="J19:J68 J70:J119 R19:R68 R70:R119" xr:uid="{0D847664-BD2F-4624-9E6E-4F3C0EFF1B63}">
      <formula1>J19&lt;=$R$16</formula1>
    </dataValidation>
    <dataValidation type="custom" allowBlank="1" showInputMessage="1" showErrorMessage="1" promptTitle="Score Entry" prompt="Enter learners' raw scores." sqref="I19:I68 Q70:Q119 Q19:Q68 I70:I119" xr:uid="{1009C195-BE2D-4DEE-A403-1F71585A329C}">
      <formula1>I19&lt;=$Q$16</formula1>
    </dataValidation>
    <dataValidation type="custom" allowBlank="1" showInputMessage="1" showErrorMessage="1" promptTitle="Score Entry" prompt="Enter learners' raw scores." sqref="P70:P119 H70:H119 P19:P68 H19:H68" xr:uid="{51785D9A-B20C-426A-9CC2-A40A74E98A52}">
      <formula1>H19&lt;=$P$16</formula1>
    </dataValidation>
    <dataValidation type="custom" allowBlank="1" showInputMessage="1" showErrorMessage="1" promptTitle="Score Entry" prompt="Enter learners' raw scores." sqref="F19:F68 F70:F119 N19:N68 N70:N119" xr:uid="{D3C3FD6F-958B-45BD-BF30-834F5CF21F37}">
      <formula1>F19&lt;=$N$16</formula1>
    </dataValidation>
    <dataValidation type="custom" allowBlank="1" showInputMessage="1" showErrorMessage="1" errorTitle="Invalid Input" error="The score cannot be greater than the Highest Possible Score." prompt="Encode learners' raw scores." sqref="AP19:AP68 AP70:AP119" xr:uid="{666A6AA9-2B1B-4767-B7D9-8CF54CE54817}">
      <formula1>AP19&lt;=$AP$16</formula1>
    </dataValidation>
    <dataValidation type="custom" allowBlank="1" showInputMessage="1" showErrorMessage="1" errorTitle="Invalid Input" error="The score cannot be greater than the Highest Possible Score." prompt="Encode learners' raw scores." sqref="AO19:AO68 AO70:AO119" xr:uid="{47BAF169-C9A2-4D6F-92FE-DF3813A2D153}">
      <formula1>AO19&lt;=$AO$16</formula1>
    </dataValidation>
    <dataValidation type="custom" allowBlank="1" showInputMessage="1" showErrorMessage="1" errorTitle="Invalid Input" error="The score cannot be greater than the Highest Possible Score." prompt="Encode learners' raw scores." sqref="AN19:AN68 AN70:AN119" xr:uid="{0D0477D8-DC4C-4BB7-97EB-8A283FC7F1EE}">
      <formula1>AN19&lt;=$AN$16</formula1>
    </dataValidation>
    <dataValidation type="whole" allowBlank="1" showInputMessage="1" showErrorMessage="1" promptTitle="Highest Possible Score" prompt="Enter HPS." sqref="AN16:AP16 F16:J16 N16:R16 V16:X16 AB16:AD16 AH16:AJ16" xr:uid="{7311A4A8-11C5-41F3-A752-C9BDE120E917}">
      <formula1>0</formula1>
      <formula2>1000</formula2>
    </dataValidation>
    <dataValidation allowBlank="1" showInputMessage="1" showErrorMessage="1" prompt="Transmuted Term Grade" sqref="AW19:AW68 AW70:AW119" xr:uid="{33310879-35E7-411B-B922-86A8E8620B07}"/>
    <dataValidation allowBlank="1" showInputMessage="1" showErrorMessage="1" prompt="INITIAL GRADE" sqref="AV19:AV68 AV70:AV119" xr:uid="{BA7DB425-984E-4310-A5E7-D63968298C38}"/>
    <dataValidation allowBlank="1" showInputMessage="1" showErrorMessage="1" prompt="Examinations' Weighted Score" sqref="AU16 AU19:AU68 AU70:AU119" xr:uid="{C7BAC34E-BD9D-41E7-A68A-6B8F635CD7DB}"/>
    <dataValidation allowBlank="1" showInputMessage="1" showErrorMessage="1" prompt="Examinations' Percetage Score" sqref="AT16 AT19:AT68 AT70:AT119" xr:uid="{45E0AF03-9813-4FDE-8C95-03DA29AC5DDC}"/>
    <dataValidation allowBlank="1" showInputMessage="1" showErrorMessage="1" prompt="Weighted Score for Term Exam" sqref="AS16 AS19:AS68 AS70:AS119" xr:uid="{F19108CB-34EC-4508-94AA-6212D9011922}"/>
    <dataValidation allowBlank="1" showInputMessage="1" showErrorMessage="1" prompt="Weighted Score for Summative Test 2" sqref="AR16 AR19:AR68 AR70:AR119" xr:uid="{9C734C52-1318-4C05-97C0-D01A55D856EA}"/>
    <dataValidation allowBlank="1" showInputMessage="1" showErrorMessage="1" prompt="Weighted Score for Summative Test 1" sqref="AQ16 AQ19:AQ68 AQ70:AQ119" xr:uid="{FF1678E4-0F0A-4FF3-961C-4DA3E4002371}"/>
    <dataValidation allowBlank="1" showInputMessage="1" showErrorMessage="1" prompt="Products/Performance Tasks' Weighted Score." sqref="AA16 AM19:AM68 AM16 AG16 AG19:AG68 AM70:AM119 AG70:AG119 AA19:AA68 AA70:AA119" xr:uid="{5F1723C1-98B3-4F0D-B98E-A2577B07C720}"/>
    <dataValidation allowBlank="1" showInputMessage="1" showErrorMessage="1" prompt="Products/Performance Tasks' Percentage Score." sqref="Z16 AL19:AL68 AL16 AF16 Z19:Z68 AL70:AL119 Z70:Z119 AF19:AF68 AF70:AF119" xr:uid="{050FD369-4748-4599-86DF-2589DCA3E491}"/>
    <dataValidation allowBlank="1" showInputMessage="1" showErrorMessage="1" prompt="Written/Oral Works' Weighted Score." sqref="M16 U19:U68 U70:U119 U16 M19:M68 M70:M119" xr:uid="{96EE82FA-D849-4713-9973-D6DBE622D95B}"/>
    <dataValidation allowBlank="1" showInputMessage="1" showErrorMessage="1" prompt="Written/Oral Works' Percentage Score." sqref="L16 T19:T68 T70:T119 T16 L19:L68 L70:L119" xr:uid="{E367B68C-ADA1-4470-9424-24981DEEC012}"/>
    <dataValidation allowBlank="1" showInputMessage="1" showErrorMessage="1" prompt="Products/Performance Tasks' Highest Possible Score." sqref="Y16 AK19:AK68 AK16 AE16 Y19:Y68 AK70:AK119 Y70:Y119 AE19:AE68 AE70:AE119" xr:uid="{E02BF0CC-4408-42E9-BC2E-8A75DE93FF85}"/>
    <dataValidation allowBlank="1" showInputMessage="1" showErrorMessage="1" prompt="Written/Oral Works' Highest Possible Score." sqref="K16 S19:S68 S70:S119 S16 K19:K68 K70:K119" xr:uid="{C8CF2DEB-ED20-49F4-B8C2-DA7F35FFC73E}"/>
    <dataValidation allowBlank="1" showInputMessage="1" showErrorMessage="1" prompt="Do not type name of learners here. Go to INPUT DATA sheet." sqref="C19:E68 C70:E119" xr:uid="{C986C115-DF5D-435C-9C24-294C00CC1F00}"/>
    <dataValidation type="custom" allowBlank="1" showInputMessage="1" showErrorMessage="1" errorTitle="Invalid Input" error="The score cannot be greater than the HPS." promptTitle="Score Entry" prompt="Enter learners' raw scores." sqref="AB19:AB67 AB68" xr:uid="{35D09794-39A4-4F2B-99E7-836A26EBF64C}">
      <formula1>AB19&lt;=$AB$16</formula1>
    </dataValidation>
    <dataValidation type="custom" allowBlank="1" showInputMessage="1" showErrorMessage="1" errorTitle="Invalid Input" error="The scores cannot be greater than the HPS." promptTitle="Score Entry" prompt="Enter learners' raw scores." sqref="AB71:AB119 AB70" xr:uid="{B501F81E-D11D-4D73-9D63-772D33C7B05E}">
      <formula1>AB70&lt;=$AB$16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C675-E608-4FFA-AB90-099B6F917FA3}">
  <sheetPr>
    <tabColor rgb="FFFFFF00"/>
    <outlinePr summaryBelow="0" summaryRight="0"/>
    <pageSetUpPr fitToPage="1"/>
  </sheetPr>
  <dimension ref="A1:AZ121"/>
  <sheetViews>
    <sheetView showGridLines="0" zoomScale="85" zoomScaleNormal="85" workbookViewId="0">
      <pane ySplit="16" topLeftCell="A17" activePane="bottomLeft" state="frozen"/>
      <selection pane="bottomLeft" activeCell="T24" sqref="T24"/>
    </sheetView>
  </sheetViews>
  <sheetFormatPr defaultColWidth="12.6328125" defaultRowHeight="15.75" customHeight="1" x14ac:dyDescent="0.25"/>
  <cols>
    <col min="1" max="2" width="3.90625" style="179" customWidth="1"/>
    <col min="3" max="5" width="12.6328125" style="179" customWidth="1"/>
    <col min="6" max="10" width="3.90625" style="179" customWidth="1"/>
    <col min="11" max="13" width="5.08984375" style="179" customWidth="1"/>
    <col min="14" max="18" width="3.90625" style="179" customWidth="1"/>
    <col min="19" max="19" width="5.08984375" style="179" customWidth="1"/>
    <col min="20" max="20" width="5.6328125" style="179" customWidth="1"/>
    <col min="21" max="21" width="6.36328125" style="179" customWidth="1"/>
    <col min="22" max="24" width="3.90625" style="179" customWidth="1"/>
    <col min="25" max="27" width="5.08984375" style="179" customWidth="1"/>
    <col min="28" max="30" width="3.90625" style="179" customWidth="1"/>
    <col min="31" max="33" width="5.08984375" style="179" customWidth="1"/>
    <col min="34" max="36" width="3.90625" style="179" customWidth="1"/>
    <col min="37" max="37" width="5.08984375" style="179" customWidth="1"/>
    <col min="38" max="38" width="5.6328125" style="179" customWidth="1"/>
    <col min="39" max="39" width="6.36328125" style="179" customWidth="1"/>
    <col min="40" max="42" width="5.6328125" style="179" customWidth="1"/>
    <col min="43" max="45" width="8" style="179" customWidth="1"/>
    <col min="46" max="47" width="5.6328125" style="179" customWidth="1"/>
    <col min="48" max="48" width="7.36328125" style="179" customWidth="1"/>
    <col min="49" max="49" width="10.08984375" style="179" customWidth="1"/>
    <col min="50" max="50" width="14.54296875" style="179" customWidth="1"/>
    <col min="51" max="51" width="12.6328125" style="179" customWidth="1"/>
    <col min="52" max="52" width="3.90625" style="179" customWidth="1"/>
    <col min="53" max="53" width="12.6328125" style="179" customWidth="1"/>
    <col min="54" max="16384" width="12.6328125" style="179"/>
  </cols>
  <sheetData>
    <row r="1" spans="1:52" ht="15.75" customHeight="1" x14ac:dyDescent="0.6">
      <c r="A1" s="89" t="s">
        <v>70</v>
      </c>
      <c r="AZ1" s="90"/>
    </row>
    <row r="2" spans="1:52" ht="15.75" customHeight="1" x14ac:dyDescent="0.25">
      <c r="B2" s="286" t="s">
        <v>19</v>
      </c>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Z2" s="90"/>
    </row>
    <row r="3" spans="1:52" ht="15.75" customHeight="1" x14ac:dyDescent="0.25">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Z3" s="90"/>
    </row>
    <row r="4" spans="1:52" ht="15.75" customHeight="1" thickBot="1" x14ac:dyDescent="0.3">
      <c r="AQ4" s="138"/>
      <c r="AR4" s="138"/>
      <c r="AS4" s="138"/>
      <c r="AT4" s="138"/>
      <c r="AU4" s="138"/>
      <c r="AV4" s="138"/>
      <c r="AZ4" s="90"/>
    </row>
    <row r="5" spans="1:52" ht="15.75" customHeight="1" thickBot="1" x14ac:dyDescent="0.4">
      <c r="A5" s="147"/>
      <c r="B5" s="147"/>
      <c r="C5" s="147"/>
      <c r="D5" s="147"/>
      <c r="E5" s="93" t="s">
        <v>3</v>
      </c>
      <c r="F5" s="260" t="str">
        <f>IF('INPUT DATA'!E10="","",'INPUT DATA'!E10)</f>
        <v>Region V</v>
      </c>
      <c r="G5" s="261"/>
      <c r="H5" s="261"/>
      <c r="I5" s="261"/>
      <c r="J5" s="261"/>
      <c r="K5" s="261"/>
      <c r="L5" s="261"/>
      <c r="M5" s="261"/>
      <c r="N5" s="262"/>
      <c r="O5" s="137"/>
      <c r="P5" s="137"/>
      <c r="Q5" s="94"/>
      <c r="R5" s="93" t="s">
        <v>7</v>
      </c>
      <c r="S5" s="260" t="str">
        <f>IF('INPUT DATA'!E11="","",'INPUT DATA'!E11)</f>
        <v>Masbate</v>
      </c>
      <c r="T5" s="261"/>
      <c r="U5" s="261"/>
      <c r="V5" s="261"/>
      <c r="W5" s="261"/>
      <c r="X5" s="261"/>
      <c r="Y5" s="261"/>
      <c r="Z5" s="261"/>
      <c r="AA5" s="261"/>
      <c r="AB5" s="261"/>
      <c r="AC5" s="262"/>
      <c r="AD5" s="94"/>
      <c r="AE5" s="94"/>
      <c r="AF5" s="94"/>
      <c r="AG5" s="94"/>
      <c r="AH5" s="93" t="s">
        <v>8</v>
      </c>
      <c r="AI5" s="260">
        <f>IF('INPUT DATA'!E13="","",'INPUT DATA'!E13)</f>
        <v>113481</v>
      </c>
      <c r="AJ5" s="261"/>
      <c r="AK5" s="261"/>
      <c r="AL5" s="261"/>
      <c r="AM5" s="261"/>
      <c r="AN5" s="261"/>
      <c r="AO5" s="262"/>
      <c r="AP5" s="139"/>
      <c r="AQ5" s="140"/>
      <c r="AR5" s="140"/>
      <c r="AS5" s="141"/>
      <c r="AT5" s="142"/>
      <c r="AU5" s="139"/>
      <c r="AV5" s="139"/>
      <c r="AW5" s="147"/>
      <c r="AX5" s="147"/>
      <c r="AY5" s="147"/>
      <c r="AZ5" s="91"/>
    </row>
    <row r="6" spans="1:52" ht="6" customHeight="1" thickBot="1" x14ac:dyDescent="0.4">
      <c r="A6" s="147"/>
      <c r="B6" s="147"/>
      <c r="C6" s="147"/>
      <c r="D6" s="147"/>
      <c r="E6" s="93"/>
      <c r="F6" s="143"/>
      <c r="G6" s="141"/>
      <c r="H6" s="141"/>
      <c r="I6" s="141"/>
      <c r="J6" s="141"/>
      <c r="K6" s="141"/>
      <c r="L6" s="141"/>
      <c r="M6" s="141"/>
      <c r="N6" s="138"/>
      <c r="O6" s="144"/>
      <c r="P6" s="144"/>
      <c r="Q6" s="144"/>
      <c r="R6" s="144"/>
      <c r="S6" s="144"/>
      <c r="T6" s="144"/>
      <c r="U6" s="140"/>
      <c r="V6" s="140"/>
      <c r="W6" s="140"/>
      <c r="X6" s="140"/>
      <c r="Y6" s="140"/>
      <c r="Z6" s="140"/>
      <c r="AA6" s="140"/>
      <c r="AB6" s="140"/>
      <c r="AC6" s="140"/>
      <c r="AD6" s="140"/>
      <c r="AE6" s="140"/>
      <c r="AF6" s="140"/>
      <c r="AG6" s="140"/>
      <c r="AH6" s="93"/>
      <c r="AI6" s="143"/>
      <c r="AJ6" s="140"/>
      <c r="AK6" s="141"/>
      <c r="AL6" s="143"/>
      <c r="AM6" s="144"/>
      <c r="AN6" s="144"/>
      <c r="AO6" s="144"/>
      <c r="AP6" s="144"/>
      <c r="AQ6" s="140"/>
      <c r="AR6" s="140"/>
      <c r="AS6" s="141"/>
      <c r="AT6" s="143"/>
      <c r="AU6" s="144"/>
      <c r="AV6" s="144"/>
      <c r="AW6" s="147"/>
      <c r="AX6" s="147"/>
      <c r="AY6" s="147"/>
      <c r="AZ6" s="91"/>
    </row>
    <row r="7" spans="1:52" ht="15.75" customHeight="1" thickBot="1" x14ac:dyDescent="0.4">
      <c r="A7" s="147"/>
      <c r="B7" s="147"/>
      <c r="C7" s="147"/>
      <c r="D7" s="147"/>
      <c r="E7" s="93" t="s">
        <v>9</v>
      </c>
      <c r="F7" s="260" t="str">
        <f>IF('INPUT DATA'!E14="","",'INPUT DATA'!E14)</f>
        <v>Danao Elementary School</v>
      </c>
      <c r="G7" s="261"/>
      <c r="H7" s="261"/>
      <c r="I7" s="261"/>
      <c r="J7" s="261"/>
      <c r="K7" s="261"/>
      <c r="L7" s="261"/>
      <c r="M7" s="261"/>
      <c r="N7" s="261"/>
      <c r="O7" s="261"/>
      <c r="P7" s="261"/>
      <c r="Q7" s="261"/>
      <c r="R7" s="261"/>
      <c r="S7" s="261"/>
      <c r="T7" s="261"/>
      <c r="U7" s="261"/>
      <c r="V7" s="261"/>
      <c r="W7" s="261"/>
      <c r="X7" s="261"/>
      <c r="Y7" s="261"/>
      <c r="Z7" s="261"/>
      <c r="AA7" s="261"/>
      <c r="AB7" s="261"/>
      <c r="AC7" s="262"/>
      <c r="AD7" s="137"/>
      <c r="AE7" s="137"/>
      <c r="AF7" s="137"/>
      <c r="AG7" s="137"/>
      <c r="AH7" s="93" t="s">
        <v>10</v>
      </c>
      <c r="AI7" s="260" t="str">
        <f>IF('INPUT DATA'!E15="","",'INPUT DATA'!E15)</f>
        <v>2026-2027</v>
      </c>
      <c r="AJ7" s="261"/>
      <c r="AK7" s="261"/>
      <c r="AL7" s="261"/>
      <c r="AM7" s="261"/>
      <c r="AN7" s="261"/>
      <c r="AO7" s="262"/>
      <c r="AP7" s="137"/>
      <c r="AQ7" s="140"/>
      <c r="AR7" s="140"/>
      <c r="AS7" s="141"/>
      <c r="AT7" s="142"/>
      <c r="AU7" s="139"/>
      <c r="AV7" s="139"/>
      <c r="AW7" s="147"/>
      <c r="AX7" s="147"/>
      <c r="AY7" s="147"/>
      <c r="AZ7" s="91"/>
    </row>
    <row r="8" spans="1:52" ht="13.75" customHeight="1"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80"/>
      <c r="AR8" s="180"/>
      <c r="AS8" s="180"/>
      <c r="AT8" s="180"/>
      <c r="AU8" s="180"/>
      <c r="AV8" s="180"/>
      <c r="AW8" s="147"/>
      <c r="AX8" s="147"/>
      <c r="AY8" s="147"/>
      <c r="AZ8" s="91"/>
    </row>
    <row r="9" spans="1:52" ht="15.75" customHeight="1" thickBot="1" x14ac:dyDescent="0.4">
      <c r="A9" s="147"/>
      <c r="B9" s="230"/>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2"/>
      <c r="AY9" s="147"/>
      <c r="AZ9" s="92"/>
    </row>
    <row r="10" spans="1:52" ht="14.4" customHeight="1" thickBot="1" x14ac:dyDescent="0.3">
      <c r="A10" s="147"/>
      <c r="B10" s="273" t="s">
        <v>68</v>
      </c>
      <c r="C10" s="274"/>
      <c r="D10" s="274"/>
      <c r="E10" s="275"/>
      <c r="F10" s="240" t="s">
        <v>15</v>
      </c>
      <c r="G10" s="241"/>
      <c r="H10" s="241"/>
      <c r="I10" s="241"/>
      <c r="J10" s="241"/>
      <c r="K10" s="242"/>
      <c r="L10" s="243">
        <f>IF('INPUT DATA'!E25="","",'INPUT DATA'!E25)</f>
        <v>2</v>
      </c>
      <c r="M10" s="244"/>
      <c r="N10" s="244"/>
      <c r="O10" s="244"/>
      <c r="P10" s="244"/>
      <c r="Q10" s="244"/>
      <c r="R10" s="244"/>
      <c r="S10" s="244"/>
      <c r="T10" s="244"/>
      <c r="U10" s="244"/>
      <c r="V10" s="247" t="s">
        <v>21</v>
      </c>
      <c r="W10" s="248"/>
      <c r="X10" s="248"/>
      <c r="Y10" s="248"/>
      <c r="Z10" s="248"/>
      <c r="AA10" s="249"/>
      <c r="AB10" s="243" t="str">
        <f>IF('INPUT DATA'!E23="","",'INPUT DATA'!E23)</f>
        <v>Ronel C. Ramos</v>
      </c>
      <c r="AC10" s="244"/>
      <c r="AD10" s="244"/>
      <c r="AE10" s="244"/>
      <c r="AF10" s="244"/>
      <c r="AG10" s="244"/>
      <c r="AH10" s="244"/>
      <c r="AI10" s="244"/>
      <c r="AJ10" s="244"/>
      <c r="AK10" s="244"/>
      <c r="AL10" s="244"/>
      <c r="AM10" s="244"/>
      <c r="AN10" s="244"/>
      <c r="AO10" s="244"/>
      <c r="AP10" s="236" t="s">
        <v>14</v>
      </c>
      <c r="AQ10" s="237"/>
      <c r="AR10" s="243" t="str">
        <f>IF('INPUT DATA'!E24="","",'INPUT DATA'!E24)</f>
        <v>GMRC</v>
      </c>
      <c r="AS10" s="244"/>
      <c r="AT10" s="244"/>
      <c r="AU10" s="244"/>
      <c r="AV10" s="244"/>
      <c r="AW10" s="244"/>
      <c r="AX10" s="255"/>
      <c r="AY10" s="147"/>
      <c r="AZ10" s="91"/>
    </row>
    <row r="11" spans="1:52" ht="14.4" customHeight="1" thickBot="1" x14ac:dyDescent="0.3">
      <c r="A11" s="147"/>
      <c r="B11" s="276"/>
      <c r="C11" s="274"/>
      <c r="D11" s="274"/>
      <c r="E11" s="275"/>
      <c r="F11" s="240" t="s">
        <v>16</v>
      </c>
      <c r="G11" s="241"/>
      <c r="H11" s="241"/>
      <c r="I11" s="241"/>
      <c r="J11" s="241"/>
      <c r="K11" s="242"/>
      <c r="L11" s="245" t="str">
        <f>IF('INPUT DATA'!E26="","",'INPUT DATA'!E26)</f>
        <v>Gumamela</v>
      </c>
      <c r="M11" s="246"/>
      <c r="N11" s="246"/>
      <c r="O11" s="246"/>
      <c r="P11" s="246"/>
      <c r="Q11" s="246"/>
      <c r="R11" s="246"/>
      <c r="S11" s="246"/>
      <c r="T11" s="246"/>
      <c r="U11" s="246"/>
      <c r="V11" s="250"/>
      <c r="W11" s="251"/>
      <c r="X11" s="251"/>
      <c r="Y11" s="251"/>
      <c r="Z11" s="251"/>
      <c r="AA11" s="252"/>
      <c r="AB11" s="253"/>
      <c r="AC11" s="254"/>
      <c r="AD11" s="254"/>
      <c r="AE11" s="254"/>
      <c r="AF11" s="254"/>
      <c r="AG11" s="254"/>
      <c r="AH11" s="254"/>
      <c r="AI11" s="254"/>
      <c r="AJ11" s="254"/>
      <c r="AK11" s="254"/>
      <c r="AL11" s="254"/>
      <c r="AM11" s="254"/>
      <c r="AN11" s="254"/>
      <c r="AO11" s="254"/>
      <c r="AP11" s="238"/>
      <c r="AQ11" s="239"/>
      <c r="AR11" s="256"/>
      <c r="AS11" s="257"/>
      <c r="AT11" s="257"/>
      <c r="AU11" s="257"/>
      <c r="AV11" s="257"/>
      <c r="AW11" s="257"/>
      <c r="AX11" s="258"/>
      <c r="AY11" s="147"/>
      <c r="AZ11" s="91"/>
    </row>
    <row r="12" spans="1:52" ht="13.25" customHeight="1" thickBot="1" x14ac:dyDescent="0.3">
      <c r="A12" s="147"/>
      <c r="B12" s="276"/>
      <c r="C12" s="274"/>
      <c r="D12" s="274"/>
      <c r="E12" s="277"/>
      <c r="F12" s="259" t="s">
        <v>22</v>
      </c>
      <c r="G12" s="220"/>
      <c r="H12" s="220"/>
      <c r="I12" s="220"/>
      <c r="J12" s="220"/>
      <c r="K12" s="220"/>
      <c r="L12" s="220"/>
      <c r="M12" s="220"/>
      <c r="N12" s="220"/>
      <c r="O12" s="220"/>
      <c r="P12" s="220"/>
      <c r="Q12" s="220"/>
      <c r="R12" s="220"/>
      <c r="S12" s="220"/>
      <c r="T12" s="220"/>
      <c r="U12" s="221"/>
      <c r="V12" s="219" t="s">
        <v>23</v>
      </c>
      <c r="W12" s="220"/>
      <c r="X12" s="220"/>
      <c r="Y12" s="220"/>
      <c r="Z12" s="220"/>
      <c r="AA12" s="220"/>
      <c r="AB12" s="220"/>
      <c r="AC12" s="220"/>
      <c r="AD12" s="220"/>
      <c r="AE12" s="220"/>
      <c r="AF12" s="220"/>
      <c r="AG12" s="220"/>
      <c r="AH12" s="220"/>
      <c r="AI12" s="220"/>
      <c r="AJ12" s="220"/>
      <c r="AK12" s="220"/>
      <c r="AL12" s="220"/>
      <c r="AM12" s="221"/>
      <c r="AN12" s="289" t="s">
        <v>24</v>
      </c>
      <c r="AO12" s="290"/>
      <c r="AP12" s="275"/>
      <c r="AQ12" s="275"/>
      <c r="AR12" s="290"/>
      <c r="AS12" s="290"/>
      <c r="AT12" s="290"/>
      <c r="AU12" s="291"/>
      <c r="AV12" s="233" t="s">
        <v>25</v>
      </c>
      <c r="AW12" s="233" t="s">
        <v>26</v>
      </c>
      <c r="AX12" s="233" t="s">
        <v>27</v>
      </c>
      <c r="AY12" s="147"/>
      <c r="AZ12" s="91"/>
    </row>
    <row r="13" spans="1:52" ht="13.75" customHeight="1" thickBot="1" x14ac:dyDescent="0.3">
      <c r="A13" s="147"/>
      <c r="B13" s="276"/>
      <c r="C13" s="274"/>
      <c r="D13" s="274"/>
      <c r="E13" s="277"/>
      <c r="F13" s="222"/>
      <c r="G13" s="223"/>
      <c r="H13" s="223"/>
      <c r="I13" s="223"/>
      <c r="J13" s="223"/>
      <c r="K13" s="223"/>
      <c r="L13" s="223"/>
      <c r="M13" s="223"/>
      <c r="N13" s="223"/>
      <c r="O13" s="223"/>
      <c r="P13" s="223"/>
      <c r="Q13" s="223"/>
      <c r="R13" s="223"/>
      <c r="S13" s="223"/>
      <c r="T13" s="223"/>
      <c r="U13" s="224"/>
      <c r="V13" s="222"/>
      <c r="W13" s="223"/>
      <c r="X13" s="223"/>
      <c r="Y13" s="223"/>
      <c r="Z13" s="223"/>
      <c r="AA13" s="223"/>
      <c r="AB13" s="223"/>
      <c r="AC13" s="223"/>
      <c r="AD13" s="223"/>
      <c r="AE13" s="223"/>
      <c r="AF13" s="223"/>
      <c r="AG13" s="223"/>
      <c r="AH13" s="223"/>
      <c r="AI13" s="223"/>
      <c r="AJ13" s="223"/>
      <c r="AK13" s="223"/>
      <c r="AL13" s="223"/>
      <c r="AM13" s="224"/>
      <c r="AN13" s="292"/>
      <c r="AO13" s="292"/>
      <c r="AP13" s="292"/>
      <c r="AQ13" s="292"/>
      <c r="AR13" s="292"/>
      <c r="AS13" s="292"/>
      <c r="AT13" s="292"/>
      <c r="AU13" s="293"/>
      <c r="AV13" s="234"/>
      <c r="AW13" s="234"/>
      <c r="AX13" s="234"/>
      <c r="AY13" s="147"/>
      <c r="AZ13" s="91"/>
    </row>
    <row r="14" spans="1:52" ht="14.4" customHeight="1" thickBot="1" x14ac:dyDescent="0.3">
      <c r="A14" s="147"/>
      <c r="B14" s="276"/>
      <c r="C14" s="274"/>
      <c r="D14" s="274"/>
      <c r="E14" s="277"/>
      <c r="F14" s="264" t="s">
        <v>28</v>
      </c>
      <c r="G14" s="223"/>
      <c r="H14" s="223"/>
      <c r="I14" s="223"/>
      <c r="J14" s="223"/>
      <c r="K14" s="223"/>
      <c r="L14" s="223"/>
      <c r="M14" s="224"/>
      <c r="N14" s="264" t="s">
        <v>29</v>
      </c>
      <c r="O14" s="223"/>
      <c r="P14" s="223"/>
      <c r="Q14" s="223"/>
      <c r="R14" s="223"/>
      <c r="S14" s="223"/>
      <c r="T14" s="223"/>
      <c r="U14" s="224"/>
      <c r="V14" s="263" t="s">
        <v>28</v>
      </c>
      <c r="W14" s="223"/>
      <c r="X14" s="223"/>
      <c r="Y14" s="223"/>
      <c r="Z14" s="223"/>
      <c r="AA14" s="224"/>
      <c r="AB14" s="263" t="s">
        <v>29</v>
      </c>
      <c r="AC14" s="223"/>
      <c r="AD14" s="223"/>
      <c r="AE14" s="223"/>
      <c r="AF14" s="223"/>
      <c r="AG14" s="224"/>
      <c r="AH14" s="263" t="s">
        <v>30</v>
      </c>
      <c r="AI14" s="223"/>
      <c r="AJ14" s="223"/>
      <c r="AK14" s="223"/>
      <c r="AL14" s="223"/>
      <c r="AM14" s="224"/>
      <c r="AN14" s="149"/>
      <c r="AO14" s="149"/>
      <c r="AP14" s="149"/>
      <c r="AQ14" s="149"/>
      <c r="AR14" s="149"/>
      <c r="AS14" s="149"/>
      <c r="AT14" s="149"/>
      <c r="AU14" s="150"/>
      <c r="AV14" s="234"/>
      <c r="AW14" s="234"/>
      <c r="AX14" s="234"/>
      <c r="AY14" s="147"/>
      <c r="AZ14" s="91"/>
    </row>
    <row r="15" spans="1:52" ht="13.75" customHeight="1" thickBot="1" x14ac:dyDescent="0.3">
      <c r="A15" s="147"/>
      <c r="B15" s="276"/>
      <c r="C15" s="274"/>
      <c r="D15" s="274"/>
      <c r="E15" s="277"/>
      <c r="F15" s="133">
        <v>1</v>
      </c>
      <c r="G15" s="134">
        <v>2</v>
      </c>
      <c r="H15" s="134">
        <v>3</v>
      </c>
      <c r="I15" s="134">
        <v>4</v>
      </c>
      <c r="J15" s="135">
        <v>5</v>
      </c>
      <c r="K15" s="136" t="s">
        <v>31</v>
      </c>
      <c r="L15" s="136" t="s">
        <v>32</v>
      </c>
      <c r="M15" s="136" t="s">
        <v>33</v>
      </c>
      <c r="N15" s="133">
        <v>1</v>
      </c>
      <c r="O15" s="134">
        <v>2</v>
      </c>
      <c r="P15" s="134">
        <v>3</v>
      </c>
      <c r="Q15" s="134">
        <v>4</v>
      </c>
      <c r="R15" s="135">
        <v>5</v>
      </c>
      <c r="S15" s="136" t="s">
        <v>31</v>
      </c>
      <c r="T15" s="136" t="s">
        <v>32</v>
      </c>
      <c r="U15" s="136" t="s">
        <v>33</v>
      </c>
      <c r="V15" s="133">
        <v>1</v>
      </c>
      <c r="W15" s="134">
        <v>2</v>
      </c>
      <c r="X15" s="135">
        <v>3</v>
      </c>
      <c r="Y15" s="136" t="s">
        <v>31</v>
      </c>
      <c r="Z15" s="136" t="s">
        <v>32</v>
      </c>
      <c r="AA15" s="136" t="s">
        <v>33</v>
      </c>
      <c r="AB15" s="133">
        <v>1</v>
      </c>
      <c r="AC15" s="134">
        <v>2</v>
      </c>
      <c r="AD15" s="135">
        <v>3</v>
      </c>
      <c r="AE15" s="136" t="s">
        <v>31</v>
      </c>
      <c r="AF15" s="136" t="s">
        <v>32</v>
      </c>
      <c r="AG15" s="136" t="s">
        <v>33</v>
      </c>
      <c r="AH15" s="133">
        <v>1</v>
      </c>
      <c r="AI15" s="134">
        <v>2</v>
      </c>
      <c r="AJ15" s="135">
        <v>3</v>
      </c>
      <c r="AK15" s="136" t="s">
        <v>31</v>
      </c>
      <c r="AL15" s="136" t="s">
        <v>32</v>
      </c>
      <c r="AM15" s="136" t="s">
        <v>33</v>
      </c>
      <c r="AN15" s="75" t="s">
        <v>34</v>
      </c>
      <c r="AO15" s="76" t="s">
        <v>35</v>
      </c>
      <c r="AP15" s="102" t="s">
        <v>36</v>
      </c>
      <c r="AQ15" s="78" t="s">
        <v>37</v>
      </c>
      <c r="AR15" s="79" t="s">
        <v>38</v>
      </c>
      <c r="AS15" s="80" t="s">
        <v>39</v>
      </c>
      <c r="AT15" s="77" t="s">
        <v>32</v>
      </c>
      <c r="AU15" s="77" t="s">
        <v>33</v>
      </c>
      <c r="AV15" s="234"/>
      <c r="AW15" s="234"/>
      <c r="AX15" s="234"/>
      <c r="AY15" s="147"/>
      <c r="AZ15" s="91"/>
    </row>
    <row r="16" spans="1:52" ht="14.4" customHeight="1" thickBot="1" x14ac:dyDescent="0.35">
      <c r="A16" s="147"/>
      <c r="B16" s="268" t="s">
        <v>40</v>
      </c>
      <c r="C16" s="269"/>
      <c r="D16" s="269"/>
      <c r="E16" s="270"/>
      <c r="F16" s="181"/>
      <c r="G16" s="182"/>
      <c r="H16" s="182"/>
      <c r="I16" s="182"/>
      <c r="J16" s="183"/>
      <c r="K16" s="63" t="str">
        <f>IF(COUNT(F16:J16)=0,"",SUM(F16:J16))</f>
        <v/>
      </c>
      <c r="L16" s="71">
        <v>100</v>
      </c>
      <c r="M16" s="72">
        <v>0.1</v>
      </c>
      <c r="N16" s="181"/>
      <c r="O16" s="182"/>
      <c r="P16" s="182"/>
      <c r="Q16" s="182"/>
      <c r="R16" s="183"/>
      <c r="S16" s="63" t="str">
        <f>IF(COUNT(N16:R16)=0,"",SUM(N16:R16))</f>
        <v/>
      </c>
      <c r="T16" s="71">
        <v>100</v>
      </c>
      <c r="U16" s="72">
        <v>0.1</v>
      </c>
      <c r="V16" s="181"/>
      <c r="W16" s="182"/>
      <c r="X16" s="183"/>
      <c r="Y16" s="63" t="str">
        <f>IF(COUNT(V16:X16)=0,"",SUM(V16:X16))</f>
        <v/>
      </c>
      <c r="Z16" s="73">
        <v>100</v>
      </c>
      <c r="AA16" s="74">
        <v>0.1</v>
      </c>
      <c r="AB16" s="181"/>
      <c r="AC16" s="182"/>
      <c r="AD16" s="183"/>
      <c r="AE16" s="63" t="str">
        <f>IF(COUNT(AB16:AD16)=0,"",SUM(AB16:AD16))</f>
        <v/>
      </c>
      <c r="AF16" s="73">
        <v>100</v>
      </c>
      <c r="AG16" s="74">
        <v>0.1</v>
      </c>
      <c r="AH16" s="181"/>
      <c r="AI16" s="182"/>
      <c r="AJ16" s="183"/>
      <c r="AK16" s="63" t="str">
        <f>IF(COUNT(AH16:AJ16)=0,"",SUM(AH16:AJ16))</f>
        <v/>
      </c>
      <c r="AL16" s="73">
        <v>100</v>
      </c>
      <c r="AM16" s="74">
        <v>0.3</v>
      </c>
      <c r="AN16" s="181"/>
      <c r="AO16" s="182"/>
      <c r="AP16" s="183"/>
      <c r="AQ16" s="85">
        <v>30</v>
      </c>
      <c r="AR16" s="86">
        <v>30</v>
      </c>
      <c r="AS16" s="87">
        <v>40</v>
      </c>
      <c r="AT16" s="73">
        <v>100</v>
      </c>
      <c r="AU16" s="74">
        <v>0.3</v>
      </c>
      <c r="AV16" s="235"/>
      <c r="AW16" s="235"/>
      <c r="AX16" s="235"/>
      <c r="AY16" s="147"/>
      <c r="AZ16" s="91"/>
    </row>
    <row r="17" spans="1:52" ht="14.4" customHeight="1" thickBot="1" x14ac:dyDescent="0.35">
      <c r="A17" s="147"/>
      <c r="B17" s="265" t="s">
        <v>2</v>
      </c>
      <c r="C17" s="266"/>
      <c r="D17" s="266"/>
      <c r="E17" s="266"/>
      <c r="F17" s="266"/>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7"/>
      <c r="AY17" s="147"/>
      <c r="AZ17" s="91"/>
    </row>
    <row r="18" spans="1:52" ht="14.4" customHeight="1" thickBot="1" x14ac:dyDescent="0.35">
      <c r="A18" s="147"/>
      <c r="B18" s="287" t="s">
        <v>5</v>
      </c>
      <c r="C18" s="266"/>
      <c r="D18" s="266"/>
      <c r="E18" s="266"/>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8"/>
      <c r="AY18" s="147"/>
      <c r="AZ18" s="91"/>
    </row>
    <row r="19" spans="1:52" ht="15" customHeight="1" x14ac:dyDescent="0.3">
      <c r="A19" s="147"/>
      <c r="B19" s="64">
        <v>1</v>
      </c>
      <c r="C19" s="225" t="str">
        <f>IF('INPUT DATA'!K11="","",'INPUT DATA'!K11)</f>
        <v/>
      </c>
      <c r="D19" s="226"/>
      <c r="E19" s="226"/>
      <c r="F19" s="128"/>
      <c r="G19" s="129"/>
      <c r="H19" s="129"/>
      <c r="I19" s="129"/>
      <c r="J19" s="130"/>
      <c r="K19" s="159" t="str">
        <f>IF(COUNT($F19:$J19)=0,"",SUM($F19:$J19))</f>
        <v/>
      </c>
      <c r="L19" s="184" t="str">
        <f>IF(COUNT(F19:J19)=0,"",IFERROR(K19/$K$16*$L$16,""))</f>
        <v/>
      </c>
      <c r="M19" s="184" t="str">
        <f>IF(L19="","",L19*$M$16)</f>
        <v/>
      </c>
      <c r="N19" s="128"/>
      <c r="O19" s="129"/>
      <c r="P19" s="129"/>
      <c r="Q19" s="129"/>
      <c r="R19" s="130"/>
      <c r="S19" s="159" t="str">
        <f t="shared" ref="S19:S82" si="0">IF(COUNT($N19:$R19)=0,"",SUM($N19:$R19))</f>
        <v/>
      </c>
      <c r="T19" s="184" t="str">
        <f t="shared" ref="T19:T68" si="1">IF(COUNT(N19:R19)=0,"",IFERROR(S19/$S$16*$T$16,""))</f>
        <v/>
      </c>
      <c r="U19" s="184" t="str">
        <f t="shared" ref="U19:U68" si="2">IF(T19="","",T19*$U$16)</f>
        <v/>
      </c>
      <c r="V19" s="128"/>
      <c r="W19" s="129"/>
      <c r="X19" s="130"/>
      <c r="Y19" s="159" t="str">
        <f t="shared" ref="Y19:Y68" si="3">IF(COUNT(V19:X19)=0,"",SUM(V19:X19))</f>
        <v/>
      </c>
      <c r="Z19" s="159" t="str">
        <f>IF(COUNT(V19:X19)=0,"",IFERROR(Y19/$Y$16*$Z$16,""))</f>
        <v/>
      </c>
      <c r="AA19" s="159" t="str">
        <f>IF(Z19="","",Z19*$AA$16)</f>
        <v/>
      </c>
      <c r="AB19" s="128"/>
      <c r="AC19" s="129"/>
      <c r="AD19" s="130"/>
      <c r="AE19" s="159" t="str">
        <f t="shared" ref="AE19:AE68" si="4">IF(COUNT(AB19:AD19)=0,"",SUM(AB19:AD19))</f>
        <v/>
      </c>
      <c r="AF19" s="159" t="str">
        <f>IF(COUNT(AB19:AD19)=0,"",IFERROR(AE19/$AE$16*$AF$16,""))</f>
        <v/>
      </c>
      <c r="AG19" s="159" t="str">
        <f>IF(AF19="","",AF19*$AG$16)</f>
        <v/>
      </c>
      <c r="AH19" s="128"/>
      <c r="AI19" s="129"/>
      <c r="AJ19" s="130"/>
      <c r="AK19" s="176" t="str">
        <f t="shared" ref="AK19:AK68" si="5">IF(COUNT(AH19:AJ19)=0,"",SUM(AH19:AJ19))</f>
        <v/>
      </c>
      <c r="AL19" s="159" t="str">
        <f t="shared" ref="AL19:AL68" si="6">IF(COUNT(AH19:AJ19)=0,"",IFERROR(AK19/$AK$16*$AL$16,""))</f>
        <v/>
      </c>
      <c r="AM19" s="159" t="str">
        <f t="shared" ref="AM19:AM68" si="7">IF(AL19="","",AL19*$AM$16)</f>
        <v/>
      </c>
      <c r="AN19" s="128"/>
      <c r="AO19" s="129"/>
      <c r="AP19" s="130"/>
      <c r="AQ19" s="162" t="str">
        <f t="shared" ref="AQ19:AQ68" si="8">IF(AN19="","",IFERROR(AN19/$AN$16*$AQ$16,""))</f>
        <v/>
      </c>
      <c r="AR19" s="163" t="str">
        <f t="shared" ref="AR19:AR68" si="9">IF(AO19="","",IFERROR(AO19/$AO$16*$AR$16,""))</f>
        <v/>
      </c>
      <c r="AS19" s="187" t="str">
        <f t="shared" ref="AS19:AS68" si="10">IF(AP19="","",IFERROR(AP19/$AP$16*$AS$16,""))</f>
        <v/>
      </c>
      <c r="AT19" s="159" t="str">
        <f t="shared" ref="AT19:AT68" si="11">IF(COUNT(AN19:AP19)=0,"",SUM(AQ19:AS19))</f>
        <v/>
      </c>
      <c r="AU19" s="159" t="str">
        <f t="shared" ref="AU19:AU68" si="12">IF(AT19="","",AT19*$AU$16)</f>
        <v/>
      </c>
      <c r="AV19" s="167" t="str">
        <f>IF(COUNT(F19:J19,N19:R19,V19:X19,AB19:AD19,AH19:AJ19,AN19:AP19)=0,"",SUM(M19,U19,AA19,AG19,AM19,AU19))</f>
        <v/>
      </c>
      <c r="AW19" s="170" t="str">
        <f>IF(AV19="","",IFERROR(INDEX(HELPER!$D$8:$D$48,IF(AV19&gt;=HELPER!$B$8,1,MATCH(AV19,HELPER!$B$8:$B$48,-1)+1)),""))</f>
        <v/>
      </c>
      <c r="AX19" s="173" t="str">
        <f>IF(AW19="","",IFERROR(VLOOKUP(AW19,HELPER!$F$8:$G$48,2,FALSE),""))</f>
        <v/>
      </c>
      <c r="AY19" s="147"/>
      <c r="AZ19" s="91"/>
    </row>
    <row r="20" spans="1:52" ht="15" customHeight="1" x14ac:dyDescent="0.3">
      <c r="A20" s="147"/>
      <c r="B20" s="65">
        <v>2</v>
      </c>
      <c r="C20" s="225" t="str">
        <f>IF('INPUT DATA'!K12="","",'INPUT DATA'!K12)</f>
        <v/>
      </c>
      <c r="D20" s="226"/>
      <c r="E20" s="226"/>
      <c r="F20" s="131"/>
      <c r="G20" s="127"/>
      <c r="H20" s="127"/>
      <c r="I20" s="127"/>
      <c r="J20" s="132"/>
      <c r="K20" s="160" t="str">
        <f t="shared" ref="K20:K83" si="13">IF(COUNT($F20:$J20)=0,"",SUM($F20:$J20))</f>
        <v/>
      </c>
      <c r="L20" s="185" t="str">
        <f t="shared" ref="L20:L68" si="14">IF(COUNT(F20:J20)=0,"",IFERROR(K20/$K$16*$L$16,""))</f>
        <v/>
      </c>
      <c r="M20" s="185" t="str">
        <f t="shared" ref="M20:M83" si="15">IF(L20="","",L20*$M$16)</f>
        <v/>
      </c>
      <c r="N20" s="131"/>
      <c r="O20" s="127"/>
      <c r="P20" s="127"/>
      <c r="Q20" s="127"/>
      <c r="R20" s="132"/>
      <c r="S20" s="160" t="str">
        <f t="shared" si="0"/>
        <v/>
      </c>
      <c r="T20" s="185" t="str">
        <f t="shared" si="1"/>
        <v/>
      </c>
      <c r="U20" s="185" t="str">
        <f t="shared" si="2"/>
        <v/>
      </c>
      <c r="V20" s="131"/>
      <c r="W20" s="127"/>
      <c r="X20" s="132"/>
      <c r="Y20" s="160" t="str">
        <f t="shared" si="3"/>
        <v/>
      </c>
      <c r="Z20" s="160" t="str">
        <f t="shared" ref="Z20:Z68" si="16">IF(COUNT(V20:X20)=0,"",IFERROR(Y20/$Y$16*$Z$16,""))</f>
        <v/>
      </c>
      <c r="AA20" s="160" t="str">
        <f t="shared" ref="AA20:AA83" si="17">IF(Z20="","",Z20*$AA$16)</f>
        <v/>
      </c>
      <c r="AB20" s="131"/>
      <c r="AC20" s="127"/>
      <c r="AD20" s="132"/>
      <c r="AE20" s="160" t="str">
        <f t="shared" si="4"/>
        <v/>
      </c>
      <c r="AF20" s="160" t="str">
        <f t="shared" ref="AF20:AF68" si="18">IF(COUNT(AB20:AD20)=0,"",IFERROR(AE20/$AE$16*$AF$16,""))</f>
        <v/>
      </c>
      <c r="AG20" s="160" t="str">
        <f t="shared" ref="AG20:AG83" si="19">IF(AF20="","",AF20*$AG$16)</f>
        <v/>
      </c>
      <c r="AH20" s="131"/>
      <c r="AI20" s="127"/>
      <c r="AJ20" s="132"/>
      <c r="AK20" s="177" t="str">
        <f t="shared" si="5"/>
        <v/>
      </c>
      <c r="AL20" s="160" t="str">
        <f t="shared" si="6"/>
        <v/>
      </c>
      <c r="AM20" s="160" t="str">
        <f t="shared" si="7"/>
        <v/>
      </c>
      <c r="AN20" s="131"/>
      <c r="AO20" s="127"/>
      <c r="AP20" s="132"/>
      <c r="AQ20" s="164" t="str">
        <f t="shared" si="8"/>
        <v/>
      </c>
      <c r="AR20" s="155" t="str">
        <f t="shared" si="9"/>
        <v/>
      </c>
      <c r="AS20" s="188" t="str">
        <f t="shared" si="10"/>
        <v/>
      </c>
      <c r="AT20" s="160" t="str">
        <f t="shared" si="11"/>
        <v/>
      </c>
      <c r="AU20" s="160" t="str">
        <f t="shared" si="12"/>
        <v/>
      </c>
      <c r="AV20" s="168" t="str">
        <f t="shared" ref="AV20:AV68" si="20">IF(COUNT(F20:J20,N20:R20,V20:X20,AB20:AD20,AH20:AJ20,AN20:AP20)=0,"",SUM(M20,U20,AA20,AG20,AM20,AU20))</f>
        <v/>
      </c>
      <c r="AW20" s="171" t="str">
        <f>IF(AV20="","",IFERROR(INDEX(HELPER!$D$8:$D$48,IF(AV20&gt;=HELPER!$B$8,1,MATCH(AV20,HELPER!$B$8:$B$48,-1)+1)),""))</f>
        <v/>
      </c>
      <c r="AX20" s="174" t="str">
        <f>IF(AW20="","",IFERROR(VLOOKUP(AW20,HELPER!$F$8:$G$48,2,FALSE),""))</f>
        <v/>
      </c>
      <c r="AY20" s="147"/>
      <c r="AZ20" s="91"/>
    </row>
    <row r="21" spans="1:52" ht="15" customHeight="1" x14ac:dyDescent="0.3">
      <c r="A21" s="147"/>
      <c r="B21" s="65">
        <v>3</v>
      </c>
      <c r="C21" s="225" t="str">
        <f>IF('INPUT DATA'!K13="","",'INPUT DATA'!K13)</f>
        <v/>
      </c>
      <c r="D21" s="226"/>
      <c r="E21" s="226"/>
      <c r="F21" s="131"/>
      <c r="G21" s="127"/>
      <c r="H21" s="127"/>
      <c r="I21" s="127"/>
      <c r="J21" s="132"/>
      <c r="K21" s="160" t="str">
        <f t="shared" si="13"/>
        <v/>
      </c>
      <c r="L21" s="185" t="str">
        <f t="shared" si="14"/>
        <v/>
      </c>
      <c r="M21" s="185" t="str">
        <f t="shared" si="15"/>
        <v/>
      </c>
      <c r="N21" s="131"/>
      <c r="O21" s="127"/>
      <c r="P21" s="127"/>
      <c r="Q21" s="127"/>
      <c r="R21" s="132"/>
      <c r="S21" s="160" t="str">
        <f t="shared" si="0"/>
        <v/>
      </c>
      <c r="T21" s="185" t="str">
        <f t="shared" si="1"/>
        <v/>
      </c>
      <c r="U21" s="185" t="str">
        <f t="shared" si="2"/>
        <v/>
      </c>
      <c r="V21" s="131"/>
      <c r="W21" s="127"/>
      <c r="X21" s="132"/>
      <c r="Y21" s="160" t="str">
        <f t="shared" si="3"/>
        <v/>
      </c>
      <c r="Z21" s="160" t="str">
        <f t="shared" si="16"/>
        <v/>
      </c>
      <c r="AA21" s="160" t="str">
        <f t="shared" si="17"/>
        <v/>
      </c>
      <c r="AB21" s="131"/>
      <c r="AC21" s="127"/>
      <c r="AD21" s="132"/>
      <c r="AE21" s="160" t="str">
        <f t="shared" si="4"/>
        <v/>
      </c>
      <c r="AF21" s="160" t="str">
        <f t="shared" si="18"/>
        <v/>
      </c>
      <c r="AG21" s="160" t="str">
        <f t="shared" si="19"/>
        <v/>
      </c>
      <c r="AH21" s="131"/>
      <c r="AI21" s="127"/>
      <c r="AJ21" s="132"/>
      <c r="AK21" s="177" t="str">
        <f t="shared" si="5"/>
        <v/>
      </c>
      <c r="AL21" s="160" t="str">
        <f t="shared" si="6"/>
        <v/>
      </c>
      <c r="AM21" s="160" t="str">
        <f t="shared" si="7"/>
        <v/>
      </c>
      <c r="AN21" s="131"/>
      <c r="AO21" s="127"/>
      <c r="AP21" s="132"/>
      <c r="AQ21" s="164" t="str">
        <f t="shared" si="8"/>
        <v/>
      </c>
      <c r="AR21" s="155" t="str">
        <f t="shared" si="9"/>
        <v/>
      </c>
      <c r="AS21" s="188" t="str">
        <f t="shared" si="10"/>
        <v/>
      </c>
      <c r="AT21" s="160" t="str">
        <f t="shared" si="11"/>
        <v/>
      </c>
      <c r="AU21" s="160" t="str">
        <f t="shared" si="12"/>
        <v/>
      </c>
      <c r="AV21" s="168" t="str">
        <f t="shared" si="20"/>
        <v/>
      </c>
      <c r="AW21" s="171" t="str">
        <f>IF(AV21="","",IFERROR(INDEX(HELPER!$D$8:$D$48,IF(AV21&gt;=HELPER!$B$8,1,MATCH(AV21,HELPER!$B$8:$B$48,-1)+1)),""))</f>
        <v/>
      </c>
      <c r="AX21" s="174" t="str">
        <f>IF(AW21="","",IFERROR(VLOOKUP(AW21,HELPER!$F$8:$G$48,2,FALSE),""))</f>
        <v/>
      </c>
      <c r="AY21" s="147"/>
      <c r="AZ21" s="91"/>
    </row>
    <row r="22" spans="1:52" ht="15" customHeight="1" x14ac:dyDescent="0.3">
      <c r="A22" s="147"/>
      <c r="B22" s="65">
        <v>4</v>
      </c>
      <c r="C22" s="225" t="str">
        <f>IF('INPUT DATA'!K14="","",'INPUT DATA'!K14)</f>
        <v/>
      </c>
      <c r="D22" s="226"/>
      <c r="E22" s="226"/>
      <c r="F22" s="131"/>
      <c r="G22" s="127"/>
      <c r="H22" s="127"/>
      <c r="I22" s="127"/>
      <c r="J22" s="132"/>
      <c r="K22" s="160" t="str">
        <f t="shared" si="13"/>
        <v/>
      </c>
      <c r="L22" s="185" t="str">
        <f t="shared" si="14"/>
        <v/>
      </c>
      <c r="M22" s="185" t="str">
        <f t="shared" si="15"/>
        <v/>
      </c>
      <c r="N22" s="131"/>
      <c r="O22" s="127"/>
      <c r="P22" s="127"/>
      <c r="Q22" s="127"/>
      <c r="R22" s="132"/>
      <c r="S22" s="160" t="str">
        <f t="shared" si="0"/>
        <v/>
      </c>
      <c r="T22" s="185" t="str">
        <f t="shared" si="1"/>
        <v/>
      </c>
      <c r="U22" s="185" t="str">
        <f t="shared" si="2"/>
        <v/>
      </c>
      <c r="V22" s="131"/>
      <c r="W22" s="127"/>
      <c r="X22" s="132"/>
      <c r="Y22" s="160" t="str">
        <f t="shared" si="3"/>
        <v/>
      </c>
      <c r="Z22" s="160" t="str">
        <f t="shared" si="16"/>
        <v/>
      </c>
      <c r="AA22" s="160" t="str">
        <f t="shared" si="17"/>
        <v/>
      </c>
      <c r="AB22" s="131"/>
      <c r="AC22" s="127"/>
      <c r="AD22" s="132"/>
      <c r="AE22" s="160" t="str">
        <f t="shared" si="4"/>
        <v/>
      </c>
      <c r="AF22" s="160" t="str">
        <f t="shared" si="18"/>
        <v/>
      </c>
      <c r="AG22" s="160" t="str">
        <f t="shared" si="19"/>
        <v/>
      </c>
      <c r="AH22" s="131"/>
      <c r="AI22" s="127"/>
      <c r="AJ22" s="132"/>
      <c r="AK22" s="177" t="str">
        <f t="shared" si="5"/>
        <v/>
      </c>
      <c r="AL22" s="160" t="str">
        <f t="shared" si="6"/>
        <v/>
      </c>
      <c r="AM22" s="160" t="str">
        <f t="shared" si="7"/>
        <v/>
      </c>
      <c r="AN22" s="131"/>
      <c r="AO22" s="127"/>
      <c r="AP22" s="132"/>
      <c r="AQ22" s="164" t="str">
        <f t="shared" si="8"/>
        <v/>
      </c>
      <c r="AR22" s="155" t="str">
        <f t="shared" si="9"/>
        <v/>
      </c>
      <c r="AS22" s="188" t="str">
        <f t="shared" si="10"/>
        <v/>
      </c>
      <c r="AT22" s="160" t="str">
        <f t="shared" si="11"/>
        <v/>
      </c>
      <c r="AU22" s="160" t="str">
        <f t="shared" si="12"/>
        <v/>
      </c>
      <c r="AV22" s="168" t="str">
        <f t="shared" si="20"/>
        <v/>
      </c>
      <c r="AW22" s="171" t="str">
        <f>IF(AV22="","",IFERROR(INDEX(HELPER!$D$8:$D$48,IF(AV22&gt;=HELPER!$B$8,1,MATCH(AV22,HELPER!$B$8:$B$48,-1)+1)),""))</f>
        <v/>
      </c>
      <c r="AX22" s="174" t="str">
        <f>IF(AW22="","",IFERROR(VLOOKUP(AW22,HELPER!$F$8:$G$48,2,FALSE),""))</f>
        <v/>
      </c>
      <c r="AY22" s="147"/>
      <c r="AZ22" s="91"/>
    </row>
    <row r="23" spans="1:52" ht="15" customHeight="1" x14ac:dyDescent="0.3">
      <c r="A23" s="147"/>
      <c r="B23" s="65">
        <v>5</v>
      </c>
      <c r="C23" s="229" t="str">
        <f>IF('INPUT DATA'!K15="","",'INPUT DATA'!K15)</f>
        <v/>
      </c>
      <c r="D23" s="226"/>
      <c r="E23" s="226"/>
      <c r="F23" s="131"/>
      <c r="G23" s="127"/>
      <c r="H23" s="127"/>
      <c r="I23" s="127"/>
      <c r="J23" s="132"/>
      <c r="K23" s="160" t="str">
        <f t="shared" si="13"/>
        <v/>
      </c>
      <c r="L23" s="185" t="str">
        <f t="shared" si="14"/>
        <v/>
      </c>
      <c r="M23" s="185" t="str">
        <f t="shared" si="15"/>
        <v/>
      </c>
      <c r="N23" s="131"/>
      <c r="O23" s="127"/>
      <c r="P23" s="127"/>
      <c r="Q23" s="127"/>
      <c r="R23" s="132"/>
      <c r="S23" s="160" t="str">
        <f t="shared" si="0"/>
        <v/>
      </c>
      <c r="T23" s="185" t="str">
        <f t="shared" si="1"/>
        <v/>
      </c>
      <c r="U23" s="185" t="str">
        <f t="shared" si="2"/>
        <v/>
      </c>
      <c r="V23" s="131"/>
      <c r="W23" s="127"/>
      <c r="X23" s="132"/>
      <c r="Y23" s="160" t="str">
        <f t="shared" si="3"/>
        <v/>
      </c>
      <c r="Z23" s="160" t="str">
        <f t="shared" si="16"/>
        <v/>
      </c>
      <c r="AA23" s="160" t="str">
        <f t="shared" si="17"/>
        <v/>
      </c>
      <c r="AB23" s="131"/>
      <c r="AC23" s="127"/>
      <c r="AD23" s="132"/>
      <c r="AE23" s="160" t="str">
        <f t="shared" si="4"/>
        <v/>
      </c>
      <c r="AF23" s="160" t="str">
        <f t="shared" si="18"/>
        <v/>
      </c>
      <c r="AG23" s="160" t="str">
        <f t="shared" si="19"/>
        <v/>
      </c>
      <c r="AH23" s="131"/>
      <c r="AI23" s="127"/>
      <c r="AJ23" s="132"/>
      <c r="AK23" s="177" t="str">
        <f t="shared" si="5"/>
        <v/>
      </c>
      <c r="AL23" s="160" t="str">
        <f t="shared" si="6"/>
        <v/>
      </c>
      <c r="AM23" s="160" t="str">
        <f t="shared" si="7"/>
        <v/>
      </c>
      <c r="AN23" s="131"/>
      <c r="AO23" s="127"/>
      <c r="AP23" s="132"/>
      <c r="AQ23" s="164" t="str">
        <f t="shared" si="8"/>
        <v/>
      </c>
      <c r="AR23" s="155" t="str">
        <f t="shared" si="9"/>
        <v/>
      </c>
      <c r="AS23" s="188" t="str">
        <f t="shared" si="10"/>
        <v/>
      </c>
      <c r="AT23" s="160" t="str">
        <f t="shared" si="11"/>
        <v/>
      </c>
      <c r="AU23" s="160" t="str">
        <f t="shared" si="12"/>
        <v/>
      </c>
      <c r="AV23" s="168" t="str">
        <f t="shared" si="20"/>
        <v/>
      </c>
      <c r="AW23" s="171" t="str">
        <f>IF(AV23="","",IFERROR(INDEX(HELPER!$D$8:$D$48,IF(AV23&gt;=HELPER!$B$8,1,MATCH(AV23,HELPER!$B$8:$B$48,-1)+1)),""))</f>
        <v/>
      </c>
      <c r="AX23" s="174" t="str">
        <f>IF(AW23="","",IFERROR(VLOOKUP(AW23,HELPER!$F$8:$G$48,2,FALSE),""))</f>
        <v/>
      </c>
      <c r="AY23" s="147"/>
      <c r="AZ23" s="91"/>
    </row>
    <row r="24" spans="1:52" ht="15" customHeight="1" x14ac:dyDescent="0.3">
      <c r="A24" s="147"/>
      <c r="B24" s="65">
        <v>6</v>
      </c>
      <c r="C24" s="229" t="str">
        <f>IF('INPUT DATA'!K16="","",'INPUT DATA'!K16)</f>
        <v/>
      </c>
      <c r="D24" s="226"/>
      <c r="E24" s="226"/>
      <c r="F24" s="131"/>
      <c r="G24" s="127"/>
      <c r="H24" s="127"/>
      <c r="I24" s="127"/>
      <c r="J24" s="132"/>
      <c r="K24" s="160" t="str">
        <f t="shared" si="13"/>
        <v/>
      </c>
      <c r="L24" s="185" t="str">
        <f t="shared" si="14"/>
        <v/>
      </c>
      <c r="M24" s="185" t="str">
        <f t="shared" si="15"/>
        <v/>
      </c>
      <c r="N24" s="131"/>
      <c r="O24" s="127"/>
      <c r="P24" s="127"/>
      <c r="Q24" s="127"/>
      <c r="R24" s="132"/>
      <c r="S24" s="160" t="str">
        <f t="shared" si="0"/>
        <v/>
      </c>
      <c r="T24" s="185" t="str">
        <f t="shared" si="1"/>
        <v/>
      </c>
      <c r="U24" s="185" t="str">
        <f t="shared" si="2"/>
        <v/>
      </c>
      <c r="V24" s="131"/>
      <c r="W24" s="127"/>
      <c r="X24" s="132"/>
      <c r="Y24" s="160" t="str">
        <f t="shared" si="3"/>
        <v/>
      </c>
      <c r="Z24" s="160" t="str">
        <f t="shared" si="16"/>
        <v/>
      </c>
      <c r="AA24" s="160" t="str">
        <f t="shared" si="17"/>
        <v/>
      </c>
      <c r="AB24" s="131"/>
      <c r="AC24" s="127"/>
      <c r="AD24" s="132"/>
      <c r="AE24" s="160" t="str">
        <f t="shared" si="4"/>
        <v/>
      </c>
      <c r="AF24" s="160" t="str">
        <f t="shared" si="18"/>
        <v/>
      </c>
      <c r="AG24" s="160" t="str">
        <f t="shared" si="19"/>
        <v/>
      </c>
      <c r="AH24" s="131"/>
      <c r="AI24" s="127"/>
      <c r="AJ24" s="132"/>
      <c r="AK24" s="177" t="str">
        <f t="shared" si="5"/>
        <v/>
      </c>
      <c r="AL24" s="160" t="str">
        <f t="shared" si="6"/>
        <v/>
      </c>
      <c r="AM24" s="160" t="str">
        <f t="shared" si="7"/>
        <v/>
      </c>
      <c r="AN24" s="131"/>
      <c r="AO24" s="127"/>
      <c r="AP24" s="132"/>
      <c r="AQ24" s="164" t="str">
        <f t="shared" si="8"/>
        <v/>
      </c>
      <c r="AR24" s="155" t="str">
        <f t="shared" si="9"/>
        <v/>
      </c>
      <c r="AS24" s="188" t="str">
        <f t="shared" si="10"/>
        <v/>
      </c>
      <c r="AT24" s="160" t="str">
        <f t="shared" si="11"/>
        <v/>
      </c>
      <c r="AU24" s="160" t="str">
        <f t="shared" si="12"/>
        <v/>
      </c>
      <c r="AV24" s="168" t="str">
        <f t="shared" si="20"/>
        <v/>
      </c>
      <c r="AW24" s="171" t="str">
        <f>IF(AV24="","",IFERROR(INDEX(HELPER!$D$8:$D$48,IF(AV24&gt;=HELPER!$B$8,1,MATCH(AV24,HELPER!$B$8:$B$48,-1)+1)),""))</f>
        <v/>
      </c>
      <c r="AX24" s="174" t="str">
        <f>IF(AW24="","",IFERROR(VLOOKUP(AW24,HELPER!$F$8:$G$48,2,FALSE),""))</f>
        <v/>
      </c>
      <c r="AY24" s="147"/>
      <c r="AZ24" s="91"/>
    </row>
    <row r="25" spans="1:52" ht="15" customHeight="1" x14ac:dyDescent="0.3">
      <c r="A25" s="147"/>
      <c r="B25" s="65">
        <v>7</v>
      </c>
      <c r="C25" s="229" t="str">
        <f>IF('INPUT DATA'!K17="","",'INPUT DATA'!K17)</f>
        <v/>
      </c>
      <c r="D25" s="226"/>
      <c r="E25" s="226"/>
      <c r="F25" s="131"/>
      <c r="G25" s="127"/>
      <c r="H25" s="127"/>
      <c r="I25" s="127"/>
      <c r="J25" s="132"/>
      <c r="K25" s="160" t="str">
        <f t="shared" si="13"/>
        <v/>
      </c>
      <c r="L25" s="185" t="str">
        <f t="shared" si="14"/>
        <v/>
      </c>
      <c r="M25" s="185" t="str">
        <f t="shared" si="15"/>
        <v/>
      </c>
      <c r="N25" s="131"/>
      <c r="O25" s="127"/>
      <c r="P25" s="127"/>
      <c r="Q25" s="127"/>
      <c r="R25" s="132"/>
      <c r="S25" s="160" t="str">
        <f t="shared" si="0"/>
        <v/>
      </c>
      <c r="T25" s="185" t="str">
        <f t="shared" si="1"/>
        <v/>
      </c>
      <c r="U25" s="185" t="str">
        <f t="shared" si="2"/>
        <v/>
      </c>
      <c r="V25" s="131"/>
      <c r="W25" s="127"/>
      <c r="X25" s="132"/>
      <c r="Y25" s="160" t="str">
        <f t="shared" si="3"/>
        <v/>
      </c>
      <c r="Z25" s="160" t="str">
        <f t="shared" si="16"/>
        <v/>
      </c>
      <c r="AA25" s="160" t="str">
        <f t="shared" si="17"/>
        <v/>
      </c>
      <c r="AB25" s="131"/>
      <c r="AC25" s="127"/>
      <c r="AD25" s="132"/>
      <c r="AE25" s="160" t="str">
        <f t="shared" si="4"/>
        <v/>
      </c>
      <c r="AF25" s="160" t="str">
        <f t="shared" si="18"/>
        <v/>
      </c>
      <c r="AG25" s="160" t="str">
        <f t="shared" si="19"/>
        <v/>
      </c>
      <c r="AH25" s="131"/>
      <c r="AI25" s="127"/>
      <c r="AJ25" s="132"/>
      <c r="AK25" s="177" t="str">
        <f t="shared" si="5"/>
        <v/>
      </c>
      <c r="AL25" s="160" t="str">
        <f t="shared" si="6"/>
        <v/>
      </c>
      <c r="AM25" s="160" t="str">
        <f t="shared" si="7"/>
        <v/>
      </c>
      <c r="AN25" s="131"/>
      <c r="AO25" s="127"/>
      <c r="AP25" s="132"/>
      <c r="AQ25" s="164" t="str">
        <f t="shared" si="8"/>
        <v/>
      </c>
      <c r="AR25" s="155" t="str">
        <f t="shared" si="9"/>
        <v/>
      </c>
      <c r="AS25" s="188" t="str">
        <f t="shared" si="10"/>
        <v/>
      </c>
      <c r="AT25" s="160" t="str">
        <f t="shared" si="11"/>
        <v/>
      </c>
      <c r="AU25" s="160" t="str">
        <f t="shared" si="12"/>
        <v/>
      </c>
      <c r="AV25" s="168" t="str">
        <f t="shared" si="20"/>
        <v/>
      </c>
      <c r="AW25" s="171" t="str">
        <f>IF(AV25="","",IFERROR(INDEX(HELPER!$D$8:$D$48,IF(AV25&gt;=HELPER!$B$8,1,MATCH(AV25,HELPER!$B$8:$B$48,-1)+1)),""))</f>
        <v/>
      </c>
      <c r="AX25" s="174" t="str">
        <f>IF(AW25="","",IFERROR(VLOOKUP(AW25,HELPER!$F$8:$G$48,2,FALSE),""))</f>
        <v/>
      </c>
      <c r="AY25" s="147"/>
      <c r="AZ25" s="91"/>
    </row>
    <row r="26" spans="1:52" ht="15" customHeight="1" x14ac:dyDescent="0.3">
      <c r="A26" s="147"/>
      <c r="B26" s="65">
        <v>8</v>
      </c>
      <c r="C26" s="229" t="str">
        <f>IF('INPUT DATA'!K18="","",'INPUT DATA'!K18)</f>
        <v/>
      </c>
      <c r="D26" s="226"/>
      <c r="E26" s="226"/>
      <c r="F26" s="131"/>
      <c r="G26" s="127"/>
      <c r="H26" s="127"/>
      <c r="I26" s="127"/>
      <c r="J26" s="132"/>
      <c r="K26" s="160" t="str">
        <f t="shared" si="13"/>
        <v/>
      </c>
      <c r="L26" s="185" t="str">
        <f t="shared" si="14"/>
        <v/>
      </c>
      <c r="M26" s="185" t="str">
        <f t="shared" si="15"/>
        <v/>
      </c>
      <c r="N26" s="131"/>
      <c r="O26" s="127"/>
      <c r="P26" s="127"/>
      <c r="Q26" s="127"/>
      <c r="R26" s="132"/>
      <c r="S26" s="160" t="str">
        <f t="shared" si="0"/>
        <v/>
      </c>
      <c r="T26" s="185" t="str">
        <f t="shared" si="1"/>
        <v/>
      </c>
      <c r="U26" s="185" t="str">
        <f t="shared" si="2"/>
        <v/>
      </c>
      <c r="V26" s="131"/>
      <c r="W26" s="127"/>
      <c r="X26" s="132"/>
      <c r="Y26" s="160" t="str">
        <f t="shared" si="3"/>
        <v/>
      </c>
      <c r="Z26" s="160" t="str">
        <f t="shared" si="16"/>
        <v/>
      </c>
      <c r="AA26" s="160" t="str">
        <f t="shared" si="17"/>
        <v/>
      </c>
      <c r="AB26" s="131"/>
      <c r="AC26" s="127"/>
      <c r="AD26" s="132"/>
      <c r="AE26" s="160" t="str">
        <f t="shared" si="4"/>
        <v/>
      </c>
      <c r="AF26" s="160" t="str">
        <f t="shared" si="18"/>
        <v/>
      </c>
      <c r="AG26" s="160" t="str">
        <f t="shared" si="19"/>
        <v/>
      </c>
      <c r="AH26" s="131"/>
      <c r="AI26" s="127"/>
      <c r="AJ26" s="132"/>
      <c r="AK26" s="177" t="str">
        <f t="shared" si="5"/>
        <v/>
      </c>
      <c r="AL26" s="160" t="str">
        <f t="shared" si="6"/>
        <v/>
      </c>
      <c r="AM26" s="160" t="str">
        <f t="shared" si="7"/>
        <v/>
      </c>
      <c r="AN26" s="131"/>
      <c r="AO26" s="127"/>
      <c r="AP26" s="132"/>
      <c r="AQ26" s="164" t="str">
        <f t="shared" si="8"/>
        <v/>
      </c>
      <c r="AR26" s="155" t="str">
        <f t="shared" si="9"/>
        <v/>
      </c>
      <c r="AS26" s="188" t="str">
        <f t="shared" si="10"/>
        <v/>
      </c>
      <c r="AT26" s="160" t="str">
        <f t="shared" si="11"/>
        <v/>
      </c>
      <c r="AU26" s="160" t="str">
        <f t="shared" si="12"/>
        <v/>
      </c>
      <c r="AV26" s="168" t="str">
        <f t="shared" si="20"/>
        <v/>
      </c>
      <c r="AW26" s="171" t="str">
        <f>IF(AV26="","",IFERROR(INDEX(HELPER!$D$8:$D$48,IF(AV26&gt;=HELPER!$B$8,1,MATCH(AV26,HELPER!$B$8:$B$48,-1)+1)),""))</f>
        <v/>
      </c>
      <c r="AX26" s="174" t="str">
        <f>IF(AW26="","",IFERROR(VLOOKUP(AW26,HELPER!$F$8:$G$48,2,FALSE),""))</f>
        <v/>
      </c>
      <c r="AY26" s="147"/>
      <c r="AZ26" s="91"/>
    </row>
    <row r="27" spans="1:52" ht="15" customHeight="1" x14ac:dyDescent="0.3">
      <c r="A27" s="147"/>
      <c r="B27" s="65">
        <v>9</v>
      </c>
      <c r="C27" s="229" t="str">
        <f>IF('INPUT DATA'!K19="","",'INPUT DATA'!K19)</f>
        <v/>
      </c>
      <c r="D27" s="226"/>
      <c r="E27" s="226"/>
      <c r="F27" s="131"/>
      <c r="G27" s="127"/>
      <c r="H27" s="127"/>
      <c r="I27" s="127"/>
      <c r="J27" s="132"/>
      <c r="K27" s="160" t="str">
        <f t="shared" si="13"/>
        <v/>
      </c>
      <c r="L27" s="185" t="str">
        <f t="shared" si="14"/>
        <v/>
      </c>
      <c r="M27" s="185" t="str">
        <f t="shared" si="15"/>
        <v/>
      </c>
      <c r="N27" s="131"/>
      <c r="O27" s="127"/>
      <c r="P27" s="127"/>
      <c r="Q27" s="127"/>
      <c r="R27" s="132"/>
      <c r="S27" s="160" t="str">
        <f t="shared" si="0"/>
        <v/>
      </c>
      <c r="T27" s="185" t="str">
        <f t="shared" si="1"/>
        <v/>
      </c>
      <c r="U27" s="185" t="str">
        <f t="shared" si="2"/>
        <v/>
      </c>
      <c r="V27" s="131"/>
      <c r="W27" s="127"/>
      <c r="X27" s="132"/>
      <c r="Y27" s="160" t="str">
        <f t="shared" si="3"/>
        <v/>
      </c>
      <c r="Z27" s="160" t="str">
        <f t="shared" si="16"/>
        <v/>
      </c>
      <c r="AA27" s="160" t="str">
        <f t="shared" si="17"/>
        <v/>
      </c>
      <c r="AB27" s="131"/>
      <c r="AC27" s="127"/>
      <c r="AD27" s="132"/>
      <c r="AE27" s="160" t="str">
        <f t="shared" si="4"/>
        <v/>
      </c>
      <c r="AF27" s="160" t="str">
        <f t="shared" si="18"/>
        <v/>
      </c>
      <c r="AG27" s="160" t="str">
        <f t="shared" si="19"/>
        <v/>
      </c>
      <c r="AH27" s="131"/>
      <c r="AI27" s="127"/>
      <c r="AJ27" s="132"/>
      <c r="AK27" s="177" t="str">
        <f t="shared" si="5"/>
        <v/>
      </c>
      <c r="AL27" s="160" t="str">
        <f t="shared" si="6"/>
        <v/>
      </c>
      <c r="AM27" s="160" t="str">
        <f t="shared" si="7"/>
        <v/>
      </c>
      <c r="AN27" s="131"/>
      <c r="AO27" s="127"/>
      <c r="AP27" s="132"/>
      <c r="AQ27" s="164" t="str">
        <f t="shared" si="8"/>
        <v/>
      </c>
      <c r="AR27" s="155" t="str">
        <f t="shared" si="9"/>
        <v/>
      </c>
      <c r="AS27" s="188" t="str">
        <f t="shared" si="10"/>
        <v/>
      </c>
      <c r="AT27" s="160" t="str">
        <f t="shared" si="11"/>
        <v/>
      </c>
      <c r="AU27" s="160" t="str">
        <f t="shared" si="12"/>
        <v/>
      </c>
      <c r="AV27" s="168" t="str">
        <f t="shared" si="20"/>
        <v/>
      </c>
      <c r="AW27" s="171" t="str">
        <f>IF(AV27="","",IFERROR(INDEX(HELPER!$D$8:$D$48,IF(AV27&gt;=HELPER!$B$8,1,MATCH(AV27,HELPER!$B$8:$B$48,-1)+1)),""))</f>
        <v/>
      </c>
      <c r="AX27" s="174" t="str">
        <f>IF(AW27="","",IFERROR(VLOOKUP(AW27,HELPER!$F$8:$G$48,2,FALSE),""))</f>
        <v/>
      </c>
      <c r="AY27" s="147"/>
      <c r="AZ27" s="91"/>
    </row>
    <row r="28" spans="1:52" ht="15" customHeight="1" x14ac:dyDescent="0.3">
      <c r="A28" s="147"/>
      <c r="B28" s="65">
        <v>10</v>
      </c>
      <c r="C28" s="229" t="str">
        <f>IF('INPUT DATA'!K20="","",'INPUT DATA'!K20)</f>
        <v/>
      </c>
      <c r="D28" s="226"/>
      <c r="E28" s="226"/>
      <c r="F28" s="131"/>
      <c r="G28" s="127"/>
      <c r="H28" s="127"/>
      <c r="I28" s="127"/>
      <c r="J28" s="132"/>
      <c r="K28" s="160" t="str">
        <f t="shared" si="13"/>
        <v/>
      </c>
      <c r="L28" s="185" t="str">
        <f t="shared" si="14"/>
        <v/>
      </c>
      <c r="M28" s="185" t="str">
        <f t="shared" si="15"/>
        <v/>
      </c>
      <c r="N28" s="131"/>
      <c r="O28" s="127"/>
      <c r="P28" s="127"/>
      <c r="Q28" s="127"/>
      <c r="R28" s="132"/>
      <c r="S28" s="160" t="str">
        <f t="shared" si="0"/>
        <v/>
      </c>
      <c r="T28" s="185" t="str">
        <f t="shared" si="1"/>
        <v/>
      </c>
      <c r="U28" s="185" t="str">
        <f t="shared" si="2"/>
        <v/>
      </c>
      <c r="V28" s="131"/>
      <c r="W28" s="127"/>
      <c r="X28" s="132"/>
      <c r="Y28" s="160" t="str">
        <f t="shared" si="3"/>
        <v/>
      </c>
      <c r="Z28" s="160" t="str">
        <f t="shared" si="16"/>
        <v/>
      </c>
      <c r="AA28" s="160" t="str">
        <f t="shared" si="17"/>
        <v/>
      </c>
      <c r="AB28" s="131"/>
      <c r="AC28" s="127"/>
      <c r="AD28" s="132"/>
      <c r="AE28" s="160" t="str">
        <f t="shared" si="4"/>
        <v/>
      </c>
      <c r="AF28" s="160" t="str">
        <f t="shared" si="18"/>
        <v/>
      </c>
      <c r="AG28" s="160" t="str">
        <f t="shared" si="19"/>
        <v/>
      </c>
      <c r="AH28" s="131"/>
      <c r="AI28" s="127"/>
      <c r="AJ28" s="132"/>
      <c r="AK28" s="177" t="str">
        <f t="shared" si="5"/>
        <v/>
      </c>
      <c r="AL28" s="160" t="str">
        <f t="shared" si="6"/>
        <v/>
      </c>
      <c r="AM28" s="160" t="str">
        <f t="shared" si="7"/>
        <v/>
      </c>
      <c r="AN28" s="131"/>
      <c r="AO28" s="127"/>
      <c r="AP28" s="132"/>
      <c r="AQ28" s="164" t="str">
        <f t="shared" si="8"/>
        <v/>
      </c>
      <c r="AR28" s="155" t="str">
        <f t="shared" si="9"/>
        <v/>
      </c>
      <c r="AS28" s="188" t="str">
        <f t="shared" si="10"/>
        <v/>
      </c>
      <c r="AT28" s="160" t="str">
        <f t="shared" si="11"/>
        <v/>
      </c>
      <c r="AU28" s="160" t="str">
        <f t="shared" si="12"/>
        <v/>
      </c>
      <c r="AV28" s="168" t="str">
        <f t="shared" si="20"/>
        <v/>
      </c>
      <c r="AW28" s="171" t="str">
        <f>IF(AV28="","",IFERROR(INDEX(HELPER!$D$8:$D$48,IF(AV28&gt;=HELPER!$B$8,1,MATCH(AV28,HELPER!$B$8:$B$48,-1)+1)),""))</f>
        <v/>
      </c>
      <c r="AX28" s="174" t="str">
        <f>IF(AW28="","",IFERROR(VLOOKUP(AW28,HELPER!$F$8:$G$48,2,FALSE),""))</f>
        <v/>
      </c>
      <c r="AY28" s="147"/>
      <c r="AZ28" s="91"/>
    </row>
    <row r="29" spans="1:52" ht="15" customHeight="1" x14ac:dyDescent="0.3">
      <c r="A29" s="147"/>
      <c r="B29" s="65">
        <v>11</v>
      </c>
      <c r="C29" s="229" t="str">
        <f>IF('INPUT DATA'!K21="","",'INPUT DATA'!K21)</f>
        <v/>
      </c>
      <c r="D29" s="226"/>
      <c r="E29" s="226"/>
      <c r="F29" s="131"/>
      <c r="G29" s="127"/>
      <c r="H29" s="127"/>
      <c r="I29" s="127"/>
      <c r="J29" s="132"/>
      <c r="K29" s="160" t="str">
        <f t="shared" si="13"/>
        <v/>
      </c>
      <c r="L29" s="185" t="str">
        <f t="shared" si="14"/>
        <v/>
      </c>
      <c r="M29" s="185" t="str">
        <f t="shared" si="15"/>
        <v/>
      </c>
      <c r="N29" s="131"/>
      <c r="O29" s="127"/>
      <c r="P29" s="127"/>
      <c r="Q29" s="127"/>
      <c r="R29" s="132"/>
      <c r="S29" s="160" t="str">
        <f t="shared" si="0"/>
        <v/>
      </c>
      <c r="T29" s="185" t="str">
        <f t="shared" si="1"/>
        <v/>
      </c>
      <c r="U29" s="185" t="str">
        <f t="shared" si="2"/>
        <v/>
      </c>
      <c r="V29" s="131"/>
      <c r="W29" s="127"/>
      <c r="X29" s="132"/>
      <c r="Y29" s="160" t="str">
        <f t="shared" si="3"/>
        <v/>
      </c>
      <c r="Z29" s="160" t="str">
        <f t="shared" si="16"/>
        <v/>
      </c>
      <c r="AA29" s="160" t="str">
        <f t="shared" si="17"/>
        <v/>
      </c>
      <c r="AB29" s="131"/>
      <c r="AC29" s="127"/>
      <c r="AD29" s="132"/>
      <c r="AE29" s="160" t="str">
        <f t="shared" si="4"/>
        <v/>
      </c>
      <c r="AF29" s="160" t="str">
        <f t="shared" si="18"/>
        <v/>
      </c>
      <c r="AG29" s="160" t="str">
        <f t="shared" si="19"/>
        <v/>
      </c>
      <c r="AH29" s="131"/>
      <c r="AI29" s="127"/>
      <c r="AJ29" s="132"/>
      <c r="AK29" s="177" t="str">
        <f t="shared" si="5"/>
        <v/>
      </c>
      <c r="AL29" s="160" t="str">
        <f t="shared" si="6"/>
        <v/>
      </c>
      <c r="AM29" s="160" t="str">
        <f t="shared" si="7"/>
        <v/>
      </c>
      <c r="AN29" s="131"/>
      <c r="AO29" s="127"/>
      <c r="AP29" s="132"/>
      <c r="AQ29" s="164" t="str">
        <f t="shared" si="8"/>
        <v/>
      </c>
      <c r="AR29" s="155" t="str">
        <f t="shared" si="9"/>
        <v/>
      </c>
      <c r="AS29" s="188" t="str">
        <f t="shared" si="10"/>
        <v/>
      </c>
      <c r="AT29" s="160" t="str">
        <f t="shared" si="11"/>
        <v/>
      </c>
      <c r="AU29" s="160" t="str">
        <f t="shared" si="12"/>
        <v/>
      </c>
      <c r="AV29" s="168" t="str">
        <f t="shared" si="20"/>
        <v/>
      </c>
      <c r="AW29" s="171" t="str">
        <f>IF(AV29="","",IFERROR(INDEX(HELPER!$D$8:$D$48,IF(AV29&gt;=HELPER!$B$8,1,MATCH(AV29,HELPER!$B$8:$B$48,-1)+1)),""))</f>
        <v/>
      </c>
      <c r="AX29" s="174" t="str">
        <f>IF(AW29="","",IFERROR(VLOOKUP(AW29,HELPER!$F$8:$G$48,2,FALSE),""))</f>
        <v/>
      </c>
      <c r="AY29" s="147"/>
      <c r="AZ29" s="91"/>
    </row>
    <row r="30" spans="1:52" ht="15" customHeight="1" x14ac:dyDescent="0.3">
      <c r="A30" s="147"/>
      <c r="B30" s="65">
        <v>12</v>
      </c>
      <c r="C30" s="229" t="str">
        <f>IF('INPUT DATA'!K22="","",'INPUT DATA'!K22)</f>
        <v/>
      </c>
      <c r="D30" s="226"/>
      <c r="E30" s="226"/>
      <c r="F30" s="131"/>
      <c r="G30" s="127"/>
      <c r="H30" s="127"/>
      <c r="I30" s="127"/>
      <c r="J30" s="132"/>
      <c r="K30" s="160" t="str">
        <f t="shared" si="13"/>
        <v/>
      </c>
      <c r="L30" s="185" t="str">
        <f t="shared" si="14"/>
        <v/>
      </c>
      <c r="M30" s="185" t="str">
        <f t="shared" si="15"/>
        <v/>
      </c>
      <c r="N30" s="131"/>
      <c r="O30" s="127"/>
      <c r="P30" s="127"/>
      <c r="Q30" s="127"/>
      <c r="R30" s="132"/>
      <c r="S30" s="160" t="str">
        <f t="shared" si="0"/>
        <v/>
      </c>
      <c r="T30" s="185" t="str">
        <f t="shared" si="1"/>
        <v/>
      </c>
      <c r="U30" s="185" t="str">
        <f t="shared" si="2"/>
        <v/>
      </c>
      <c r="V30" s="131"/>
      <c r="W30" s="127"/>
      <c r="X30" s="132"/>
      <c r="Y30" s="160" t="str">
        <f t="shared" si="3"/>
        <v/>
      </c>
      <c r="Z30" s="160" t="str">
        <f t="shared" si="16"/>
        <v/>
      </c>
      <c r="AA30" s="160" t="str">
        <f t="shared" si="17"/>
        <v/>
      </c>
      <c r="AB30" s="131"/>
      <c r="AC30" s="127"/>
      <c r="AD30" s="132"/>
      <c r="AE30" s="160" t="str">
        <f t="shared" si="4"/>
        <v/>
      </c>
      <c r="AF30" s="160" t="str">
        <f t="shared" si="18"/>
        <v/>
      </c>
      <c r="AG30" s="160" t="str">
        <f t="shared" si="19"/>
        <v/>
      </c>
      <c r="AH30" s="131"/>
      <c r="AI30" s="127"/>
      <c r="AJ30" s="132"/>
      <c r="AK30" s="177" t="str">
        <f t="shared" si="5"/>
        <v/>
      </c>
      <c r="AL30" s="160" t="str">
        <f t="shared" si="6"/>
        <v/>
      </c>
      <c r="AM30" s="160" t="str">
        <f t="shared" si="7"/>
        <v/>
      </c>
      <c r="AN30" s="131"/>
      <c r="AO30" s="127"/>
      <c r="AP30" s="132"/>
      <c r="AQ30" s="164" t="str">
        <f t="shared" si="8"/>
        <v/>
      </c>
      <c r="AR30" s="155" t="str">
        <f t="shared" si="9"/>
        <v/>
      </c>
      <c r="AS30" s="188" t="str">
        <f t="shared" si="10"/>
        <v/>
      </c>
      <c r="AT30" s="160" t="str">
        <f t="shared" si="11"/>
        <v/>
      </c>
      <c r="AU30" s="160" t="str">
        <f t="shared" si="12"/>
        <v/>
      </c>
      <c r="AV30" s="168" t="str">
        <f t="shared" si="20"/>
        <v/>
      </c>
      <c r="AW30" s="171" t="str">
        <f>IF(AV30="","",IFERROR(INDEX(HELPER!$D$8:$D$48,IF(AV30&gt;=HELPER!$B$8,1,MATCH(AV30,HELPER!$B$8:$B$48,-1)+1)),""))</f>
        <v/>
      </c>
      <c r="AX30" s="174" t="str">
        <f>IF(AW30="","",IFERROR(VLOOKUP(AW30,HELPER!$F$8:$G$48,2,FALSE),""))</f>
        <v/>
      </c>
      <c r="AY30" s="147"/>
      <c r="AZ30" s="91"/>
    </row>
    <row r="31" spans="1:52" ht="15" customHeight="1" x14ac:dyDescent="0.3">
      <c r="A31" s="147"/>
      <c r="B31" s="65">
        <v>13</v>
      </c>
      <c r="C31" s="229" t="str">
        <f>IF('INPUT DATA'!K23="","",'INPUT DATA'!K23)</f>
        <v/>
      </c>
      <c r="D31" s="226"/>
      <c r="E31" s="226"/>
      <c r="F31" s="131"/>
      <c r="G31" s="127"/>
      <c r="H31" s="127"/>
      <c r="I31" s="127"/>
      <c r="J31" s="132"/>
      <c r="K31" s="160" t="str">
        <f t="shared" si="13"/>
        <v/>
      </c>
      <c r="L31" s="185" t="str">
        <f t="shared" si="14"/>
        <v/>
      </c>
      <c r="M31" s="185" t="str">
        <f t="shared" si="15"/>
        <v/>
      </c>
      <c r="N31" s="131"/>
      <c r="O31" s="127"/>
      <c r="P31" s="127"/>
      <c r="Q31" s="127"/>
      <c r="R31" s="132"/>
      <c r="S31" s="160" t="str">
        <f t="shared" si="0"/>
        <v/>
      </c>
      <c r="T31" s="185" t="str">
        <f t="shared" si="1"/>
        <v/>
      </c>
      <c r="U31" s="185" t="str">
        <f t="shared" si="2"/>
        <v/>
      </c>
      <c r="V31" s="131"/>
      <c r="W31" s="127"/>
      <c r="X31" s="132"/>
      <c r="Y31" s="160" t="str">
        <f t="shared" si="3"/>
        <v/>
      </c>
      <c r="Z31" s="160" t="str">
        <f t="shared" si="16"/>
        <v/>
      </c>
      <c r="AA31" s="160" t="str">
        <f t="shared" si="17"/>
        <v/>
      </c>
      <c r="AB31" s="131"/>
      <c r="AC31" s="127"/>
      <c r="AD31" s="132"/>
      <c r="AE31" s="160" t="str">
        <f t="shared" si="4"/>
        <v/>
      </c>
      <c r="AF31" s="160" t="str">
        <f t="shared" si="18"/>
        <v/>
      </c>
      <c r="AG31" s="160" t="str">
        <f t="shared" si="19"/>
        <v/>
      </c>
      <c r="AH31" s="131"/>
      <c r="AI31" s="127"/>
      <c r="AJ31" s="132"/>
      <c r="AK31" s="177" t="str">
        <f t="shared" si="5"/>
        <v/>
      </c>
      <c r="AL31" s="160" t="str">
        <f t="shared" si="6"/>
        <v/>
      </c>
      <c r="AM31" s="160" t="str">
        <f t="shared" si="7"/>
        <v/>
      </c>
      <c r="AN31" s="131"/>
      <c r="AO31" s="127"/>
      <c r="AP31" s="132"/>
      <c r="AQ31" s="164" t="str">
        <f t="shared" si="8"/>
        <v/>
      </c>
      <c r="AR31" s="155" t="str">
        <f t="shared" si="9"/>
        <v/>
      </c>
      <c r="AS31" s="188" t="str">
        <f t="shared" si="10"/>
        <v/>
      </c>
      <c r="AT31" s="160" t="str">
        <f t="shared" si="11"/>
        <v/>
      </c>
      <c r="AU31" s="160" t="str">
        <f t="shared" si="12"/>
        <v/>
      </c>
      <c r="AV31" s="168" t="str">
        <f t="shared" si="20"/>
        <v/>
      </c>
      <c r="AW31" s="171" t="str">
        <f>IF(AV31="","",IFERROR(INDEX(HELPER!$D$8:$D$48,IF(AV31&gt;=HELPER!$B$8,1,MATCH(AV31,HELPER!$B$8:$B$48,-1)+1)),""))</f>
        <v/>
      </c>
      <c r="AX31" s="174" t="str">
        <f>IF(AW31="","",IFERROR(VLOOKUP(AW31,HELPER!$F$8:$G$48,2,FALSE),""))</f>
        <v/>
      </c>
      <c r="AY31" s="147"/>
      <c r="AZ31" s="91"/>
    </row>
    <row r="32" spans="1:52" ht="15" customHeight="1" x14ac:dyDescent="0.3">
      <c r="A32" s="147"/>
      <c r="B32" s="65">
        <v>14</v>
      </c>
      <c r="C32" s="229" t="str">
        <f>IF('INPUT DATA'!K24="","",'INPUT DATA'!K24)</f>
        <v/>
      </c>
      <c r="D32" s="226"/>
      <c r="E32" s="226"/>
      <c r="F32" s="131"/>
      <c r="G32" s="127"/>
      <c r="H32" s="127"/>
      <c r="I32" s="127"/>
      <c r="J32" s="132"/>
      <c r="K32" s="160" t="str">
        <f t="shared" si="13"/>
        <v/>
      </c>
      <c r="L32" s="185" t="str">
        <f t="shared" si="14"/>
        <v/>
      </c>
      <c r="M32" s="185" t="str">
        <f t="shared" si="15"/>
        <v/>
      </c>
      <c r="N32" s="131"/>
      <c r="O32" s="127"/>
      <c r="P32" s="127"/>
      <c r="Q32" s="127"/>
      <c r="R32" s="132"/>
      <c r="S32" s="160" t="str">
        <f t="shared" si="0"/>
        <v/>
      </c>
      <c r="T32" s="185" t="str">
        <f t="shared" si="1"/>
        <v/>
      </c>
      <c r="U32" s="185" t="str">
        <f t="shared" si="2"/>
        <v/>
      </c>
      <c r="V32" s="131"/>
      <c r="W32" s="127"/>
      <c r="X32" s="132"/>
      <c r="Y32" s="160" t="str">
        <f t="shared" si="3"/>
        <v/>
      </c>
      <c r="Z32" s="160" t="str">
        <f t="shared" si="16"/>
        <v/>
      </c>
      <c r="AA32" s="160" t="str">
        <f t="shared" si="17"/>
        <v/>
      </c>
      <c r="AB32" s="131"/>
      <c r="AC32" s="127"/>
      <c r="AD32" s="132"/>
      <c r="AE32" s="160" t="str">
        <f t="shared" si="4"/>
        <v/>
      </c>
      <c r="AF32" s="160" t="str">
        <f t="shared" si="18"/>
        <v/>
      </c>
      <c r="AG32" s="160" t="str">
        <f t="shared" si="19"/>
        <v/>
      </c>
      <c r="AH32" s="131"/>
      <c r="AI32" s="127"/>
      <c r="AJ32" s="132"/>
      <c r="AK32" s="177" t="str">
        <f t="shared" si="5"/>
        <v/>
      </c>
      <c r="AL32" s="160" t="str">
        <f t="shared" si="6"/>
        <v/>
      </c>
      <c r="AM32" s="160" t="str">
        <f t="shared" si="7"/>
        <v/>
      </c>
      <c r="AN32" s="131"/>
      <c r="AO32" s="127"/>
      <c r="AP32" s="132"/>
      <c r="AQ32" s="164" t="str">
        <f t="shared" si="8"/>
        <v/>
      </c>
      <c r="AR32" s="155" t="str">
        <f t="shared" si="9"/>
        <v/>
      </c>
      <c r="AS32" s="188" t="str">
        <f t="shared" si="10"/>
        <v/>
      </c>
      <c r="AT32" s="160" t="str">
        <f t="shared" si="11"/>
        <v/>
      </c>
      <c r="AU32" s="160" t="str">
        <f t="shared" si="12"/>
        <v/>
      </c>
      <c r="AV32" s="168" t="str">
        <f t="shared" si="20"/>
        <v/>
      </c>
      <c r="AW32" s="171" t="str">
        <f>IF(AV32="","",IFERROR(INDEX(HELPER!$D$8:$D$48,IF(AV32&gt;=HELPER!$B$8,1,MATCH(AV32,HELPER!$B$8:$B$48,-1)+1)),""))</f>
        <v/>
      </c>
      <c r="AX32" s="174" t="str">
        <f>IF(AW32="","",IFERROR(VLOOKUP(AW32,HELPER!$F$8:$G$48,2,FALSE),""))</f>
        <v/>
      </c>
      <c r="AY32" s="147"/>
      <c r="AZ32" s="91"/>
    </row>
    <row r="33" spans="1:52" ht="15" customHeight="1" x14ac:dyDescent="0.3">
      <c r="A33" s="147"/>
      <c r="B33" s="65">
        <v>15</v>
      </c>
      <c r="C33" s="229" t="str">
        <f>IF('INPUT DATA'!K25="","",'INPUT DATA'!K25)</f>
        <v/>
      </c>
      <c r="D33" s="226"/>
      <c r="E33" s="226"/>
      <c r="F33" s="131"/>
      <c r="G33" s="127"/>
      <c r="H33" s="127"/>
      <c r="I33" s="127"/>
      <c r="J33" s="132"/>
      <c r="K33" s="160" t="str">
        <f t="shared" si="13"/>
        <v/>
      </c>
      <c r="L33" s="185" t="str">
        <f t="shared" si="14"/>
        <v/>
      </c>
      <c r="M33" s="185" t="str">
        <f t="shared" si="15"/>
        <v/>
      </c>
      <c r="N33" s="131"/>
      <c r="O33" s="127"/>
      <c r="P33" s="127"/>
      <c r="Q33" s="127"/>
      <c r="R33" s="132"/>
      <c r="S33" s="160" t="str">
        <f t="shared" si="0"/>
        <v/>
      </c>
      <c r="T33" s="185" t="str">
        <f t="shared" si="1"/>
        <v/>
      </c>
      <c r="U33" s="185" t="str">
        <f t="shared" si="2"/>
        <v/>
      </c>
      <c r="V33" s="131"/>
      <c r="W33" s="127"/>
      <c r="X33" s="132"/>
      <c r="Y33" s="160" t="str">
        <f t="shared" si="3"/>
        <v/>
      </c>
      <c r="Z33" s="160" t="str">
        <f t="shared" si="16"/>
        <v/>
      </c>
      <c r="AA33" s="160" t="str">
        <f t="shared" si="17"/>
        <v/>
      </c>
      <c r="AB33" s="131"/>
      <c r="AC33" s="127"/>
      <c r="AD33" s="132"/>
      <c r="AE33" s="160" t="str">
        <f t="shared" si="4"/>
        <v/>
      </c>
      <c r="AF33" s="160" t="str">
        <f t="shared" si="18"/>
        <v/>
      </c>
      <c r="AG33" s="160" t="str">
        <f t="shared" si="19"/>
        <v/>
      </c>
      <c r="AH33" s="131"/>
      <c r="AI33" s="127"/>
      <c r="AJ33" s="132"/>
      <c r="AK33" s="177" t="str">
        <f t="shared" si="5"/>
        <v/>
      </c>
      <c r="AL33" s="160" t="str">
        <f t="shared" si="6"/>
        <v/>
      </c>
      <c r="AM33" s="160" t="str">
        <f t="shared" si="7"/>
        <v/>
      </c>
      <c r="AN33" s="131"/>
      <c r="AO33" s="127"/>
      <c r="AP33" s="132"/>
      <c r="AQ33" s="164" t="str">
        <f t="shared" si="8"/>
        <v/>
      </c>
      <c r="AR33" s="155" t="str">
        <f t="shared" si="9"/>
        <v/>
      </c>
      <c r="AS33" s="188" t="str">
        <f t="shared" si="10"/>
        <v/>
      </c>
      <c r="AT33" s="160" t="str">
        <f t="shared" si="11"/>
        <v/>
      </c>
      <c r="AU33" s="160" t="str">
        <f t="shared" si="12"/>
        <v/>
      </c>
      <c r="AV33" s="168" t="str">
        <f t="shared" si="20"/>
        <v/>
      </c>
      <c r="AW33" s="171" t="str">
        <f>IF(AV33="","",IFERROR(INDEX(HELPER!$D$8:$D$48,IF(AV33&gt;=HELPER!$B$8,1,MATCH(AV33,HELPER!$B$8:$B$48,-1)+1)),""))</f>
        <v/>
      </c>
      <c r="AX33" s="174" t="str">
        <f>IF(AW33="","",IFERROR(VLOOKUP(AW33,HELPER!$F$8:$G$48,2,FALSE),""))</f>
        <v/>
      </c>
      <c r="AY33" s="147"/>
      <c r="AZ33" s="91"/>
    </row>
    <row r="34" spans="1:52" ht="15" customHeight="1" x14ac:dyDescent="0.3">
      <c r="A34" s="147"/>
      <c r="B34" s="65">
        <v>16</v>
      </c>
      <c r="C34" s="229" t="str">
        <f>IF('INPUT DATA'!K26="","",'INPUT DATA'!K26)</f>
        <v/>
      </c>
      <c r="D34" s="226"/>
      <c r="E34" s="226"/>
      <c r="F34" s="131"/>
      <c r="G34" s="127"/>
      <c r="H34" s="127"/>
      <c r="I34" s="127"/>
      <c r="J34" s="132"/>
      <c r="K34" s="160" t="str">
        <f t="shared" si="13"/>
        <v/>
      </c>
      <c r="L34" s="185" t="str">
        <f t="shared" si="14"/>
        <v/>
      </c>
      <c r="M34" s="185" t="str">
        <f t="shared" si="15"/>
        <v/>
      </c>
      <c r="N34" s="131"/>
      <c r="O34" s="127"/>
      <c r="P34" s="127"/>
      <c r="Q34" s="127"/>
      <c r="R34" s="132"/>
      <c r="S34" s="160" t="str">
        <f t="shared" si="0"/>
        <v/>
      </c>
      <c r="T34" s="185" t="str">
        <f t="shared" si="1"/>
        <v/>
      </c>
      <c r="U34" s="185" t="str">
        <f t="shared" si="2"/>
        <v/>
      </c>
      <c r="V34" s="131"/>
      <c r="W34" s="127"/>
      <c r="X34" s="132"/>
      <c r="Y34" s="160" t="str">
        <f t="shared" si="3"/>
        <v/>
      </c>
      <c r="Z34" s="160" t="str">
        <f t="shared" si="16"/>
        <v/>
      </c>
      <c r="AA34" s="160" t="str">
        <f t="shared" si="17"/>
        <v/>
      </c>
      <c r="AB34" s="131"/>
      <c r="AC34" s="127"/>
      <c r="AD34" s="132"/>
      <c r="AE34" s="160" t="str">
        <f t="shared" si="4"/>
        <v/>
      </c>
      <c r="AF34" s="160" t="str">
        <f t="shared" si="18"/>
        <v/>
      </c>
      <c r="AG34" s="160" t="str">
        <f t="shared" si="19"/>
        <v/>
      </c>
      <c r="AH34" s="131"/>
      <c r="AI34" s="127"/>
      <c r="AJ34" s="132"/>
      <c r="AK34" s="177" t="str">
        <f t="shared" si="5"/>
        <v/>
      </c>
      <c r="AL34" s="160" t="str">
        <f t="shared" si="6"/>
        <v/>
      </c>
      <c r="AM34" s="160" t="str">
        <f t="shared" si="7"/>
        <v/>
      </c>
      <c r="AN34" s="131"/>
      <c r="AO34" s="127"/>
      <c r="AP34" s="132"/>
      <c r="AQ34" s="164" t="str">
        <f t="shared" si="8"/>
        <v/>
      </c>
      <c r="AR34" s="155" t="str">
        <f t="shared" si="9"/>
        <v/>
      </c>
      <c r="AS34" s="188" t="str">
        <f t="shared" si="10"/>
        <v/>
      </c>
      <c r="AT34" s="160" t="str">
        <f t="shared" si="11"/>
        <v/>
      </c>
      <c r="AU34" s="160" t="str">
        <f t="shared" si="12"/>
        <v/>
      </c>
      <c r="AV34" s="168" t="str">
        <f t="shared" si="20"/>
        <v/>
      </c>
      <c r="AW34" s="171" t="str">
        <f>IF(AV34="","",IFERROR(INDEX(HELPER!$D$8:$D$48,IF(AV34&gt;=HELPER!$B$8,1,MATCH(AV34,HELPER!$B$8:$B$48,-1)+1)),""))</f>
        <v/>
      </c>
      <c r="AX34" s="174" t="str">
        <f>IF(AW34="","",IFERROR(VLOOKUP(AW34,HELPER!$F$8:$G$48,2,FALSE),""))</f>
        <v/>
      </c>
      <c r="AY34" s="147"/>
      <c r="AZ34" s="91"/>
    </row>
    <row r="35" spans="1:52" ht="15" customHeight="1" x14ac:dyDescent="0.3">
      <c r="A35" s="147"/>
      <c r="B35" s="65">
        <v>17</v>
      </c>
      <c r="C35" s="229" t="str">
        <f>IF('INPUT DATA'!K27="","",'INPUT DATA'!K27)</f>
        <v/>
      </c>
      <c r="D35" s="226"/>
      <c r="E35" s="226"/>
      <c r="F35" s="131"/>
      <c r="G35" s="127"/>
      <c r="H35" s="127"/>
      <c r="I35" s="127"/>
      <c r="J35" s="132"/>
      <c r="K35" s="160" t="str">
        <f t="shared" si="13"/>
        <v/>
      </c>
      <c r="L35" s="185" t="str">
        <f t="shared" si="14"/>
        <v/>
      </c>
      <c r="M35" s="185" t="str">
        <f t="shared" si="15"/>
        <v/>
      </c>
      <c r="N35" s="131"/>
      <c r="O35" s="127"/>
      <c r="P35" s="127"/>
      <c r="Q35" s="127"/>
      <c r="R35" s="132"/>
      <c r="S35" s="160" t="str">
        <f t="shared" si="0"/>
        <v/>
      </c>
      <c r="T35" s="185" t="str">
        <f t="shared" si="1"/>
        <v/>
      </c>
      <c r="U35" s="185" t="str">
        <f t="shared" si="2"/>
        <v/>
      </c>
      <c r="V35" s="131"/>
      <c r="W35" s="127"/>
      <c r="X35" s="132"/>
      <c r="Y35" s="160" t="str">
        <f t="shared" si="3"/>
        <v/>
      </c>
      <c r="Z35" s="160" t="str">
        <f t="shared" si="16"/>
        <v/>
      </c>
      <c r="AA35" s="160" t="str">
        <f t="shared" si="17"/>
        <v/>
      </c>
      <c r="AB35" s="131"/>
      <c r="AC35" s="127"/>
      <c r="AD35" s="132"/>
      <c r="AE35" s="160" t="str">
        <f t="shared" si="4"/>
        <v/>
      </c>
      <c r="AF35" s="160" t="str">
        <f t="shared" si="18"/>
        <v/>
      </c>
      <c r="AG35" s="160" t="str">
        <f t="shared" si="19"/>
        <v/>
      </c>
      <c r="AH35" s="131"/>
      <c r="AI35" s="127"/>
      <c r="AJ35" s="132"/>
      <c r="AK35" s="177" t="str">
        <f t="shared" si="5"/>
        <v/>
      </c>
      <c r="AL35" s="160" t="str">
        <f t="shared" si="6"/>
        <v/>
      </c>
      <c r="AM35" s="160" t="str">
        <f t="shared" si="7"/>
        <v/>
      </c>
      <c r="AN35" s="131"/>
      <c r="AO35" s="127"/>
      <c r="AP35" s="132"/>
      <c r="AQ35" s="164" t="str">
        <f t="shared" si="8"/>
        <v/>
      </c>
      <c r="AR35" s="155" t="str">
        <f t="shared" si="9"/>
        <v/>
      </c>
      <c r="AS35" s="188" t="str">
        <f t="shared" si="10"/>
        <v/>
      </c>
      <c r="AT35" s="160" t="str">
        <f t="shared" si="11"/>
        <v/>
      </c>
      <c r="AU35" s="160" t="str">
        <f t="shared" si="12"/>
        <v/>
      </c>
      <c r="AV35" s="168" t="str">
        <f t="shared" si="20"/>
        <v/>
      </c>
      <c r="AW35" s="171" t="str">
        <f>IF(AV35="","",IFERROR(INDEX(HELPER!$D$8:$D$48,IF(AV35&gt;=HELPER!$B$8,1,MATCH(AV35,HELPER!$B$8:$B$48,-1)+1)),""))</f>
        <v/>
      </c>
      <c r="AX35" s="174" t="str">
        <f>IF(AW35="","",IFERROR(VLOOKUP(AW35,HELPER!$F$8:$G$48,2,FALSE),""))</f>
        <v/>
      </c>
      <c r="AY35" s="147"/>
      <c r="AZ35" s="91"/>
    </row>
    <row r="36" spans="1:52" ht="15" customHeight="1" x14ac:dyDescent="0.3">
      <c r="A36" s="147"/>
      <c r="B36" s="65">
        <v>18</v>
      </c>
      <c r="C36" s="229" t="str">
        <f>IF('INPUT DATA'!K28="","",'INPUT DATA'!K28)</f>
        <v/>
      </c>
      <c r="D36" s="226"/>
      <c r="E36" s="226"/>
      <c r="F36" s="131"/>
      <c r="G36" s="127"/>
      <c r="H36" s="127"/>
      <c r="I36" s="127"/>
      <c r="J36" s="132"/>
      <c r="K36" s="160" t="str">
        <f t="shared" si="13"/>
        <v/>
      </c>
      <c r="L36" s="185" t="str">
        <f t="shared" si="14"/>
        <v/>
      </c>
      <c r="M36" s="185" t="str">
        <f t="shared" si="15"/>
        <v/>
      </c>
      <c r="N36" s="131"/>
      <c r="O36" s="127"/>
      <c r="P36" s="127"/>
      <c r="Q36" s="127"/>
      <c r="R36" s="132"/>
      <c r="S36" s="160" t="str">
        <f t="shared" si="0"/>
        <v/>
      </c>
      <c r="T36" s="185" t="str">
        <f t="shared" si="1"/>
        <v/>
      </c>
      <c r="U36" s="185" t="str">
        <f t="shared" si="2"/>
        <v/>
      </c>
      <c r="V36" s="131"/>
      <c r="W36" s="127"/>
      <c r="X36" s="132"/>
      <c r="Y36" s="160" t="str">
        <f t="shared" si="3"/>
        <v/>
      </c>
      <c r="Z36" s="160" t="str">
        <f t="shared" si="16"/>
        <v/>
      </c>
      <c r="AA36" s="160" t="str">
        <f t="shared" si="17"/>
        <v/>
      </c>
      <c r="AB36" s="131"/>
      <c r="AC36" s="127"/>
      <c r="AD36" s="132"/>
      <c r="AE36" s="160" t="str">
        <f t="shared" si="4"/>
        <v/>
      </c>
      <c r="AF36" s="160" t="str">
        <f t="shared" si="18"/>
        <v/>
      </c>
      <c r="AG36" s="160" t="str">
        <f t="shared" si="19"/>
        <v/>
      </c>
      <c r="AH36" s="131"/>
      <c r="AI36" s="127"/>
      <c r="AJ36" s="132"/>
      <c r="AK36" s="177" t="str">
        <f t="shared" si="5"/>
        <v/>
      </c>
      <c r="AL36" s="160" t="str">
        <f t="shared" si="6"/>
        <v/>
      </c>
      <c r="AM36" s="160" t="str">
        <f t="shared" si="7"/>
        <v/>
      </c>
      <c r="AN36" s="131"/>
      <c r="AO36" s="127"/>
      <c r="AP36" s="132"/>
      <c r="AQ36" s="164" t="str">
        <f t="shared" si="8"/>
        <v/>
      </c>
      <c r="AR36" s="155" t="str">
        <f t="shared" si="9"/>
        <v/>
      </c>
      <c r="AS36" s="188" t="str">
        <f t="shared" si="10"/>
        <v/>
      </c>
      <c r="AT36" s="160" t="str">
        <f t="shared" si="11"/>
        <v/>
      </c>
      <c r="AU36" s="160" t="str">
        <f t="shared" si="12"/>
        <v/>
      </c>
      <c r="AV36" s="168" t="str">
        <f t="shared" si="20"/>
        <v/>
      </c>
      <c r="AW36" s="171" t="str">
        <f>IF(AV36="","",IFERROR(INDEX(HELPER!$D$8:$D$48,IF(AV36&gt;=HELPER!$B$8,1,MATCH(AV36,HELPER!$B$8:$B$48,-1)+1)),""))</f>
        <v/>
      </c>
      <c r="AX36" s="174" t="str">
        <f>IF(AW36="","",IFERROR(VLOOKUP(AW36,HELPER!$F$8:$G$48,2,FALSE),""))</f>
        <v/>
      </c>
      <c r="AY36" s="147"/>
      <c r="AZ36" s="91"/>
    </row>
    <row r="37" spans="1:52" ht="15" customHeight="1" x14ac:dyDescent="0.3">
      <c r="A37" s="147"/>
      <c r="B37" s="65">
        <v>19</v>
      </c>
      <c r="C37" s="229" t="str">
        <f>IF('INPUT DATA'!K29="","",'INPUT DATA'!K29)</f>
        <v/>
      </c>
      <c r="D37" s="226"/>
      <c r="E37" s="226"/>
      <c r="F37" s="131"/>
      <c r="G37" s="127"/>
      <c r="H37" s="127"/>
      <c r="I37" s="127"/>
      <c r="J37" s="132"/>
      <c r="K37" s="160" t="str">
        <f t="shared" si="13"/>
        <v/>
      </c>
      <c r="L37" s="185" t="str">
        <f t="shared" si="14"/>
        <v/>
      </c>
      <c r="M37" s="185" t="str">
        <f t="shared" si="15"/>
        <v/>
      </c>
      <c r="N37" s="131"/>
      <c r="O37" s="127"/>
      <c r="P37" s="127"/>
      <c r="Q37" s="127"/>
      <c r="R37" s="132"/>
      <c r="S37" s="160" t="str">
        <f t="shared" si="0"/>
        <v/>
      </c>
      <c r="T37" s="185" t="str">
        <f t="shared" si="1"/>
        <v/>
      </c>
      <c r="U37" s="185" t="str">
        <f t="shared" si="2"/>
        <v/>
      </c>
      <c r="V37" s="131"/>
      <c r="W37" s="127"/>
      <c r="X37" s="132"/>
      <c r="Y37" s="160" t="str">
        <f t="shared" si="3"/>
        <v/>
      </c>
      <c r="Z37" s="160" t="str">
        <f t="shared" si="16"/>
        <v/>
      </c>
      <c r="AA37" s="160" t="str">
        <f t="shared" si="17"/>
        <v/>
      </c>
      <c r="AB37" s="131"/>
      <c r="AC37" s="127"/>
      <c r="AD37" s="132"/>
      <c r="AE37" s="160" t="str">
        <f t="shared" si="4"/>
        <v/>
      </c>
      <c r="AF37" s="160" t="str">
        <f t="shared" si="18"/>
        <v/>
      </c>
      <c r="AG37" s="160" t="str">
        <f t="shared" si="19"/>
        <v/>
      </c>
      <c r="AH37" s="131"/>
      <c r="AI37" s="127"/>
      <c r="AJ37" s="132"/>
      <c r="AK37" s="177" t="str">
        <f t="shared" si="5"/>
        <v/>
      </c>
      <c r="AL37" s="160" t="str">
        <f t="shared" si="6"/>
        <v/>
      </c>
      <c r="AM37" s="160" t="str">
        <f t="shared" si="7"/>
        <v/>
      </c>
      <c r="AN37" s="131"/>
      <c r="AO37" s="127"/>
      <c r="AP37" s="132"/>
      <c r="AQ37" s="164" t="str">
        <f t="shared" si="8"/>
        <v/>
      </c>
      <c r="AR37" s="155" t="str">
        <f t="shared" si="9"/>
        <v/>
      </c>
      <c r="AS37" s="188" t="str">
        <f t="shared" si="10"/>
        <v/>
      </c>
      <c r="AT37" s="160" t="str">
        <f t="shared" si="11"/>
        <v/>
      </c>
      <c r="AU37" s="160" t="str">
        <f t="shared" si="12"/>
        <v/>
      </c>
      <c r="AV37" s="168" t="str">
        <f t="shared" si="20"/>
        <v/>
      </c>
      <c r="AW37" s="171" t="str">
        <f>IF(AV37="","",IFERROR(INDEX(HELPER!$D$8:$D$48,IF(AV37&gt;=HELPER!$B$8,1,MATCH(AV37,HELPER!$B$8:$B$48,-1)+1)),""))</f>
        <v/>
      </c>
      <c r="AX37" s="174" t="str">
        <f>IF(AW37="","",IFERROR(VLOOKUP(AW37,HELPER!$F$8:$G$48,2,FALSE),""))</f>
        <v/>
      </c>
      <c r="AY37" s="147"/>
      <c r="AZ37" s="91"/>
    </row>
    <row r="38" spans="1:52" ht="15" customHeight="1" x14ac:dyDescent="0.3">
      <c r="A38" s="147"/>
      <c r="B38" s="66">
        <v>20</v>
      </c>
      <c r="C38" s="229" t="str">
        <f>IF('INPUT DATA'!K30="","",'INPUT DATA'!K30)</f>
        <v/>
      </c>
      <c r="D38" s="226"/>
      <c r="E38" s="226"/>
      <c r="F38" s="131"/>
      <c r="G38" s="127"/>
      <c r="H38" s="127"/>
      <c r="I38" s="127"/>
      <c r="J38" s="132"/>
      <c r="K38" s="160" t="str">
        <f t="shared" si="13"/>
        <v/>
      </c>
      <c r="L38" s="185" t="str">
        <f t="shared" si="14"/>
        <v/>
      </c>
      <c r="M38" s="185" t="str">
        <f t="shared" si="15"/>
        <v/>
      </c>
      <c r="N38" s="131"/>
      <c r="O38" s="127"/>
      <c r="P38" s="127"/>
      <c r="Q38" s="127"/>
      <c r="R38" s="132"/>
      <c r="S38" s="160" t="str">
        <f t="shared" si="0"/>
        <v/>
      </c>
      <c r="T38" s="185" t="str">
        <f t="shared" si="1"/>
        <v/>
      </c>
      <c r="U38" s="185" t="str">
        <f t="shared" si="2"/>
        <v/>
      </c>
      <c r="V38" s="131"/>
      <c r="W38" s="127"/>
      <c r="X38" s="132"/>
      <c r="Y38" s="160" t="str">
        <f t="shared" si="3"/>
        <v/>
      </c>
      <c r="Z38" s="160" t="str">
        <f t="shared" si="16"/>
        <v/>
      </c>
      <c r="AA38" s="160" t="str">
        <f t="shared" si="17"/>
        <v/>
      </c>
      <c r="AB38" s="131"/>
      <c r="AC38" s="127"/>
      <c r="AD38" s="132"/>
      <c r="AE38" s="160" t="str">
        <f t="shared" si="4"/>
        <v/>
      </c>
      <c r="AF38" s="160" t="str">
        <f t="shared" si="18"/>
        <v/>
      </c>
      <c r="AG38" s="160" t="str">
        <f t="shared" si="19"/>
        <v/>
      </c>
      <c r="AH38" s="131"/>
      <c r="AI38" s="127"/>
      <c r="AJ38" s="132"/>
      <c r="AK38" s="177" t="str">
        <f t="shared" si="5"/>
        <v/>
      </c>
      <c r="AL38" s="160" t="str">
        <f t="shared" si="6"/>
        <v/>
      </c>
      <c r="AM38" s="160" t="str">
        <f t="shared" si="7"/>
        <v/>
      </c>
      <c r="AN38" s="131"/>
      <c r="AO38" s="127"/>
      <c r="AP38" s="132"/>
      <c r="AQ38" s="164" t="str">
        <f t="shared" si="8"/>
        <v/>
      </c>
      <c r="AR38" s="155" t="str">
        <f t="shared" si="9"/>
        <v/>
      </c>
      <c r="AS38" s="188" t="str">
        <f t="shared" si="10"/>
        <v/>
      </c>
      <c r="AT38" s="160" t="str">
        <f t="shared" si="11"/>
        <v/>
      </c>
      <c r="AU38" s="160" t="str">
        <f t="shared" si="12"/>
        <v/>
      </c>
      <c r="AV38" s="168" t="str">
        <f t="shared" si="20"/>
        <v/>
      </c>
      <c r="AW38" s="171" t="str">
        <f>IF(AV38="","",IFERROR(INDEX(HELPER!$D$8:$D$48,IF(AV38&gt;=HELPER!$B$8,1,MATCH(AV38,HELPER!$B$8:$B$48,-1)+1)),""))</f>
        <v/>
      </c>
      <c r="AX38" s="174" t="str">
        <f>IF(AW38="","",IFERROR(VLOOKUP(AW38,HELPER!$F$8:$G$48,2,FALSE),""))</f>
        <v/>
      </c>
      <c r="AY38" s="147"/>
      <c r="AZ38" s="91"/>
    </row>
    <row r="39" spans="1:52" ht="15" customHeight="1" x14ac:dyDescent="0.3">
      <c r="A39" s="147"/>
      <c r="B39" s="66">
        <v>21</v>
      </c>
      <c r="C39" s="229" t="str">
        <f>IF('INPUT DATA'!K31="","",'INPUT DATA'!K31)</f>
        <v/>
      </c>
      <c r="D39" s="226"/>
      <c r="E39" s="226"/>
      <c r="F39" s="131"/>
      <c r="G39" s="127"/>
      <c r="H39" s="127"/>
      <c r="I39" s="127"/>
      <c r="J39" s="132"/>
      <c r="K39" s="160" t="str">
        <f t="shared" si="13"/>
        <v/>
      </c>
      <c r="L39" s="185" t="str">
        <f t="shared" si="14"/>
        <v/>
      </c>
      <c r="M39" s="185" t="str">
        <f t="shared" si="15"/>
        <v/>
      </c>
      <c r="N39" s="131"/>
      <c r="O39" s="127"/>
      <c r="P39" s="127"/>
      <c r="Q39" s="127"/>
      <c r="R39" s="132"/>
      <c r="S39" s="160" t="str">
        <f t="shared" si="0"/>
        <v/>
      </c>
      <c r="T39" s="185" t="str">
        <f t="shared" si="1"/>
        <v/>
      </c>
      <c r="U39" s="185" t="str">
        <f t="shared" si="2"/>
        <v/>
      </c>
      <c r="V39" s="131"/>
      <c r="W39" s="127"/>
      <c r="X39" s="132"/>
      <c r="Y39" s="160" t="str">
        <f t="shared" si="3"/>
        <v/>
      </c>
      <c r="Z39" s="160" t="str">
        <f t="shared" si="16"/>
        <v/>
      </c>
      <c r="AA39" s="160" t="str">
        <f t="shared" si="17"/>
        <v/>
      </c>
      <c r="AB39" s="131"/>
      <c r="AC39" s="127"/>
      <c r="AD39" s="132"/>
      <c r="AE39" s="160" t="str">
        <f t="shared" si="4"/>
        <v/>
      </c>
      <c r="AF39" s="160" t="str">
        <f t="shared" si="18"/>
        <v/>
      </c>
      <c r="AG39" s="160" t="str">
        <f t="shared" si="19"/>
        <v/>
      </c>
      <c r="AH39" s="131"/>
      <c r="AI39" s="127"/>
      <c r="AJ39" s="132"/>
      <c r="AK39" s="177" t="str">
        <f t="shared" si="5"/>
        <v/>
      </c>
      <c r="AL39" s="160" t="str">
        <f t="shared" si="6"/>
        <v/>
      </c>
      <c r="AM39" s="160" t="str">
        <f t="shared" si="7"/>
        <v/>
      </c>
      <c r="AN39" s="131"/>
      <c r="AO39" s="127"/>
      <c r="AP39" s="132"/>
      <c r="AQ39" s="164" t="str">
        <f t="shared" si="8"/>
        <v/>
      </c>
      <c r="AR39" s="155" t="str">
        <f t="shared" si="9"/>
        <v/>
      </c>
      <c r="AS39" s="188" t="str">
        <f t="shared" si="10"/>
        <v/>
      </c>
      <c r="AT39" s="160" t="str">
        <f t="shared" si="11"/>
        <v/>
      </c>
      <c r="AU39" s="160" t="str">
        <f t="shared" si="12"/>
        <v/>
      </c>
      <c r="AV39" s="168" t="str">
        <f t="shared" si="20"/>
        <v/>
      </c>
      <c r="AW39" s="171" t="str">
        <f>IF(AV39="","",IFERROR(INDEX(HELPER!$D$8:$D$48,IF(AV39&gt;=HELPER!$B$8,1,MATCH(AV39,HELPER!$B$8:$B$48,-1)+1)),""))</f>
        <v/>
      </c>
      <c r="AX39" s="174" t="str">
        <f>IF(AW39="","",IFERROR(VLOOKUP(AW39,HELPER!$F$8:$G$48,2,FALSE),""))</f>
        <v/>
      </c>
      <c r="AY39" s="147"/>
      <c r="AZ39" s="91"/>
    </row>
    <row r="40" spans="1:52" ht="15" customHeight="1" x14ac:dyDescent="0.3">
      <c r="A40" s="147"/>
      <c r="B40" s="66">
        <v>22</v>
      </c>
      <c r="C40" s="229" t="str">
        <f>IF('INPUT DATA'!K32="","",'INPUT DATA'!K32)</f>
        <v/>
      </c>
      <c r="D40" s="226"/>
      <c r="E40" s="226"/>
      <c r="F40" s="131"/>
      <c r="G40" s="127"/>
      <c r="H40" s="127"/>
      <c r="I40" s="127"/>
      <c r="J40" s="132"/>
      <c r="K40" s="160" t="str">
        <f t="shared" si="13"/>
        <v/>
      </c>
      <c r="L40" s="185" t="str">
        <f t="shared" si="14"/>
        <v/>
      </c>
      <c r="M40" s="185" t="str">
        <f t="shared" si="15"/>
        <v/>
      </c>
      <c r="N40" s="131"/>
      <c r="O40" s="127"/>
      <c r="P40" s="127"/>
      <c r="Q40" s="127"/>
      <c r="R40" s="132"/>
      <c r="S40" s="160" t="str">
        <f t="shared" si="0"/>
        <v/>
      </c>
      <c r="T40" s="185" t="str">
        <f t="shared" si="1"/>
        <v/>
      </c>
      <c r="U40" s="185" t="str">
        <f t="shared" si="2"/>
        <v/>
      </c>
      <c r="V40" s="131"/>
      <c r="W40" s="127"/>
      <c r="X40" s="132"/>
      <c r="Y40" s="160" t="str">
        <f t="shared" si="3"/>
        <v/>
      </c>
      <c r="Z40" s="160" t="str">
        <f t="shared" si="16"/>
        <v/>
      </c>
      <c r="AA40" s="160" t="str">
        <f t="shared" si="17"/>
        <v/>
      </c>
      <c r="AB40" s="131"/>
      <c r="AC40" s="127"/>
      <c r="AD40" s="132"/>
      <c r="AE40" s="160" t="str">
        <f t="shared" si="4"/>
        <v/>
      </c>
      <c r="AF40" s="160" t="str">
        <f t="shared" si="18"/>
        <v/>
      </c>
      <c r="AG40" s="160" t="str">
        <f t="shared" si="19"/>
        <v/>
      </c>
      <c r="AH40" s="131"/>
      <c r="AI40" s="127"/>
      <c r="AJ40" s="132"/>
      <c r="AK40" s="177" t="str">
        <f t="shared" si="5"/>
        <v/>
      </c>
      <c r="AL40" s="160" t="str">
        <f t="shared" si="6"/>
        <v/>
      </c>
      <c r="AM40" s="160" t="str">
        <f t="shared" si="7"/>
        <v/>
      </c>
      <c r="AN40" s="131"/>
      <c r="AO40" s="127"/>
      <c r="AP40" s="132"/>
      <c r="AQ40" s="164" t="str">
        <f t="shared" si="8"/>
        <v/>
      </c>
      <c r="AR40" s="155" t="str">
        <f t="shared" si="9"/>
        <v/>
      </c>
      <c r="AS40" s="188" t="str">
        <f t="shared" si="10"/>
        <v/>
      </c>
      <c r="AT40" s="160" t="str">
        <f t="shared" si="11"/>
        <v/>
      </c>
      <c r="AU40" s="160" t="str">
        <f t="shared" si="12"/>
        <v/>
      </c>
      <c r="AV40" s="168" t="str">
        <f t="shared" si="20"/>
        <v/>
      </c>
      <c r="AW40" s="171" t="str">
        <f>IF(AV40="","",IFERROR(INDEX(HELPER!$D$8:$D$48,IF(AV40&gt;=HELPER!$B$8,1,MATCH(AV40,HELPER!$B$8:$B$48,-1)+1)),""))</f>
        <v/>
      </c>
      <c r="AX40" s="174" t="str">
        <f>IF(AW40="","",IFERROR(VLOOKUP(AW40,HELPER!$F$8:$G$48,2,FALSE),""))</f>
        <v/>
      </c>
      <c r="AY40" s="147"/>
      <c r="AZ40" s="91"/>
    </row>
    <row r="41" spans="1:52" ht="15" customHeight="1" x14ac:dyDescent="0.3">
      <c r="A41" s="147"/>
      <c r="B41" s="66">
        <v>23</v>
      </c>
      <c r="C41" s="229" t="str">
        <f>IF('INPUT DATA'!K33="","",'INPUT DATA'!K33)</f>
        <v/>
      </c>
      <c r="D41" s="226"/>
      <c r="E41" s="226"/>
      <c r="F41" s="131"/>
      <c r="G41" s="127"/>
      <c r="H41" s="127"/>
      <c r="I41" s="127"/>
      <c r="J41" s="132"/>
      <c r="K41" s="160" t="str">
        <f t="shared" si="13"/>
        <v/>
      </c>
      <c r="L41" s="185" t="str">
        <f t="shared" si="14"/>
        <v/>
      </c>
      <c r="M41" s="185" t="str">
        <f t="shared" si="15"/>
        <v/>
      </c>
      <c r="N41" s="131"/>
      <c r="O41" s="127"/>
      <c r="P41" s="127"/>
      <c r="Q41" s="127"/>
      <c r="R41" s="132"/>
      <c r="S41" s="160" t="str">
        <f t="shared" si="0"/>
        <v/>
      </c>
      <c r="T41" s="185" t="str">
        <f t="shared" si="1"/>
        <v/>
      </c>
      <c r="U41" s="185" t="str">
        <f t="shared" si="2"/>
        <v/>
      </c>
      <c r="V41" s="131"/>
      <c r="W41" s="127"/>
      <c r="X41" s="132"/>
      <c r="Y41" s="160" t="str">
        <f t="shared" si="3"/>
        <v/>
      </c>
      <c r="Z41" s="160" t="str">
        <f t="shared" si="16"/>
        <v/>
      </c>
      <c r="AA41" s="160" t="str">
        <f t="shared" si="17"/>
        <v/>
      </c>
      <c r="AB41" s="131"/>
      <c r="AC41" s="127"/>
      <c r="AD41" s="132"/>
      <c r="AE41" s="160" t="str">
        <f t="shared" si="4"/>
        <v/>
      </c>
      <c r="AF41" s="160" t="str">
        <f t="shared" si="18"/>
        <v/>
      </c>
      <c r="AG41" s="160" t="str">
        <f t="shared" si="19"/>
        <v/>
      </c>
      <c r="AH41" s="131"/>
      <c r="AI41" s="127"/>
      <c r="AJ41" s="132"/>
      <c r="AK41" s="177" t="str">
        <f t="shared" si="5"/>
        <v/>
      </c>
      <c r="AL41" s="160" t="str">
        <f t="shared" si="6"/>
        <v/>
      </c>
      <c r="AM41" s="160" t="str">
        <f t="shared" si="7"/>
        <v/>
      </c>
      <c r="AN41" s="131"/>
      <c r="AO41" s="127"/>
      <c r="AP41" s="132"/>
      <c r="AQ41" s="164" t="str">
        <f t="shared" si="8"/>
        <v/>
      </c>
      <c r="AR41" s="155" t="str">
        <f t="shared" si="9"/>
        <v/>
      </c>
      <c r="AS41" s="188" t="str">
        <f t="shared" si="10"/>
        <v/>
      </c>
      <c r="AT41" s="160" t="str">
        <f t="shared" si="11"/>
        <v/>
      </c>
      <c r="AU41" s="160" t="str">
        <f t="shared" si="12"/>
        <v/>
      </c>
      <c r="AV41" s="168" t="str">
        <f t="shared" si="20"/>
        <v/>
      </c>
      <c r="AW41" s="171" t="str">
        <f>IF(AV41="","",IFERROR(INDEX(HELPER!$D$8:$D$48,IF(AV41&gt;=HELPER!$B$8,1,MATCH(AV41,HELPER!$B$8:$B$48,-1)+1)),""))</f>
        <v/>
      </c>
      <c r="AX41" s="174" t="str">
        <f>IF(AW41="","",IFERROR(VLOOKUP(AW41,HELPER!$F$8:$G$48,2,FALSE),""))</f>
        <v/>
      </c>
      <c r="AY41" s="147"/>
      <c r="AZ41" s="91"/>
    </row>
    <row r="42" spans="1:52" ht="15" customHeight="1" x14ac:dyDescent="0.3">
      <c r="A42" s="147"/>
      <c r="B42" s="66">
        <v>24</v>
      </c>
      <c r="C42" s="229" t="str">
        <f>IF('INPUT DATA'!K34="","",'INPUT DATA'!K34)</f>
        <v/>
      </c>
      <c r="D42" s="226"/>
      <c r="E42" s="226"/>
      <c r="F42" s="131"/>
      <c r="G42" s="127"/>
      <c r="H42" s="127"/>
      <c r="I42" s="127"/>
      <c r="J42" s="132"/>
      <c r="K42" s="160" t="str">
        <f t="shared" si="13"/>
        <v/>
      </c>
      <c r="L42" s="185" t="str">
        <f t="shared" si="14"/>
        <v/>
      </c>
      <c r="M42" s="185" t="str">
        <f t="shared" si="15"/>
        <v/>
      </c>
      <c r="N42" s="131"/>
      <c r="O42" s="127"/>
      <c r="P42" s="127"/>
      <c r="Q42" s="127"/>
      <c r="R42" s="132"/>
      <c r="S42" s="160" t="str">
        <f t="shared" si="0"/>
        <v/>
      </c>
      <c r="T42" s="185" t="str">
        <f t="shared" si="1"/>
        <v/>
      </c>
      <c r="U42" s="185" t="str">
        <f t="shared" si="2"/>
        <v/>
      </c>
      <c r="V42" s="131"/>
      <c r="W42" s="127"/>
      <c r="X42" s="132"/>
      <c r="Y42" s="160" t="str">
        <f t="shared" si="3"/>
        <v/>
      </c>
      <c r="Z42" s="160" t="str">
        <f t="shared" si="16"/>
        <v/>
      </c>
      <c r="AA42" s="160" t="str">
        <f t="shared" si="17"/>
        <v/>
      </c>
      <c r="AB42" s="131"/>
      <c r="AC42" s="127"/>
      <c r="AD42" s="132"/>
      <c r="AE42" s="160" t="str">
        <f t="shared" si="4"/>
        <v/>
      </c>
      <c r="AF42" s="160" t="str">
        <f t="shared" si="18"/>
        <v/>
      </c>
      <c r="AG42" s="160" t="str">
        <f t="shared" si="19"/>
        <v/>
      </c>
      <c r="AH42" s="131"/>
      <c r="AI42" s="127"/>
      <c r="AJ42" s="132"/>
      <c r="AK42" s="177" t="str">
        <f t="shared" si="5"/>
        <v/>
      </c>
      <c r="AL42" s="160" t="str">
        <f t="shared" si="6"/>
        <v/>
      </c>
      <c r="AM42" s="160" t="str">
        <f t="shared" si="7"/>
        <v/>
      </c>
      <c r="AN42" s="131"/>
      <c r="AO42" s="127"/>
      <c r="AP42" s="132"/>
      <c r="AQ42" s="164" t="str">
        <f t="shared" si="8"/>
        <v/>
      </c>
      <c r="AR42" s="155" t="str">
        <f t="shared" si="9"/>
        <v/>
      </c>
      <c r="AS42" s="188" t="str">
        <f t="shared" si="10"/>
        <v/>
      </c>
      <c r="AT42" s="160" t="str">
        <f t="shared" si="11"/>
        <v/>
      </c>
      <c r="AU42" s="160" t="str">
        <f t="shared" si="12"/>
        <v/>
      </c>
      <c r="AV42" s="168" t="str">
        <f t="shared" si="20"/>
        <v/>
      </c>
      <c r="AW42" s="171" t="str">
        <f>IF(AV42="","",IFERROR(INDEX(HELPER!$D$8:$D$48,IF(AV42&gt;=HELPER!$B$8,1,MATCH(AV42,HELPER!$B$8:$B$48,-1)+1)),""))</f>
        <v/>
      </c>
      <c r="AX42" s="174" t="str">
        <f>IF(AW42="","",IFERROR(VLOOKUP(AW42,HELPER!$F$8:$G$48,2,FALSE),""))</f>
        <v/>
      </c>
      <c r="AY42" s="147"/>
      <c r="AZ42" s="91"/>
    </row>
    <row r="43" spans="1:52" ht="15" customHeight="1" x14ac:dyDescent="0.3">
      <c r="A43" s="147"/>
      <c r="B43" s="66">
        <v>25</v>
      </c>
      <c r="C43" s="229" t="str">
        <f>IF('INPUT DATA'!K35="","",'INPUT DATA'!K35)</f>
        <v/>
      </c>
      <c r="D43" s="226"/>
      <c r="E43" s="226"/>
      <c r="F43" s="131"/>
      <c r="G43" s="127"/>
      <c r="H43" s="127"/>
      <c r="I43" s="127"/>
      <c r="J43" s="132"/>
      <c r="K43" s="160" t="str">
        <f t="shared" si="13"/>
        <v/>
      </c>
      <c r="L43" s="185" t="str">
        <f t="shared" si="14"/>
        <v/>
      </c>
      <c r="M43" s="185" t="str">
        <f t="shared" si="15"/>
        <v/>
      </c>
      <c r="N43" s="131"/>
      <c r="O43" s="127"/>
      <c r="P43" s="127"/>
      <c r="Q43" s="127"/>
      <c r="R43" s="132"/>
      <c r="S43" s="160" t="str">
        <f t="shared" si="0"/>
        <v/>
      </c>
      <c r="T43" s="185" t="str">
        <f t="shared" si="1"/>
        <v/>
      </c>
      <c r="U43" s="185" t="str">
        <f t="shared" si="2"/>
        <v/>
      </c>
      <c r="V43" s="131"/>
      <c r="W43" s="127"/>
      <c r="X43" s="132"/>
      <c r="Y43" s="160" t="str">
        <f t="shared" si="3"/>
        <v/>
      </c>
      <c r="Z43" s="160" t="str">
        <f t="shared" si="16"/>
        <v/>
      </c>
      <c r="AA43" s="160" t="str">
        <f t="shared" si="17"/>
        <v/>
      </c>
      <c r="AB43" s="131"/>
      <c r="AC43" s="127"/>
      <c r="AD43" s="132"/>
      <c r="AE43" s="160" t="str">
        <f t="shared" si="4"/>
        <v/>
      </c>
      <c r="AF43" s="160" t="str">
        <f t="shared" si="18"/>
        <v/>
      </c>
      <c r="AG43" s="160" t="str">
        <f t="shared" si="19"/>
        <v/>
      </c>
      <c r="AH43" s="131"/>
      <c r="AI43" s="127"/>
      <c r="AJ43" s="132"/>
      <c r="AK43" s="177" t="str">
        <f t="shared" si="5"/>
        <v/>
      </c>
      <c r="AL43" s="160" t="str">
        <f t="shared" si="6"/>
        <v/>
      </c>
      <c r="AM43" s="160" t="str">
        <f t="shared" si="7"/>
        <v/>
      </c>
      <c r="AN43" s="131"/>
      <c r="AO43" s="127"/>
      <c r="AP43" s="132"/>
      <c r="AQ43" s="164" t="str">
        <f t="shared" si="8"/>
        <v/>
      </c>
      <c r="AR43" s="155" t="str">
        <f t="shared" si="9"/>
        <v/>
      </c>
      <c r="AS43" s="188" t="str">
        <f t="shared" si="10"/>
        <v/>
      </c>
      <c r="AT43" s="160" t="str">
        <f t="shared" si="11"/>
        <v/>
      </c>
      <c r="AU43" s="160" t="str">
        <f t="shared" si="12"/>
        <v/>
      </c>
      <c r="AV43" s="168" t="str">
        <f t="shared" si="20"/>
        <v/>
      </c>
      <c r="AW43" s="171" t="str">
        <f>IF(AV43="","",IFERROR(INDEX(HELPER!$D$8:$D$48,IF(AV43&gt;=HELPER!$B$8,1,MATCH(AV43,HELPER!$B$8:$B$48,-1)+1)),""))</f>
        <v/>
      </c>
      <c r="AX43" s="174" t="str">
        <f>IF(AW43="","",IFERROR(VLOOKUP(AW43,HELPER!$F$8:$G$48,2,FALSE),""))</f>
        <v/>
      </c>
      <c r="AY43" s="147"/>
      <c r="AZ43" s="91"/>
    </row>
    <row r="44" spans="1:52" ht="15" customHeight="1" x14ac:dyDescent="0.3">
      <c r="A44" s="147"/>
      <c r="B44" s="66">
        <v>26</v>
      </c>
      <c r="C44" s="229" t="str">
        <f>IF('INPUT DATA'!K36="","",'INPUT DATA'!K36)</f>
        <v/>
      </c>
      <c r="D44" s="226"/>
      <c r="E44" s="226"/>
      <c r="F44" s="131"/>
      <c r="G44" s="127"/>
      <c r="H44" s="127"/>
      <c r="I44" s="127"/>
      <c r="J44" s="132"/>
      <c r="K44" s="160" t="str">
        <f t="shared" si="13"/>
        <v/>
      </c>
      <c r="L44" s="185" t="str">
        <f t="shared" si="14"/>
        <v/>
      </c>
      <c r="M44" s="185" t="str">
        <f t="shared" si="15"/>
        <v/>
      </c>
      <c r="N44" s="131"/>
      <c r="O44" s="127"/>
      <c r="P44" s="127"/>
      <c r="Q44" s="127"/>
      <c r="R44" s="132"/>
      <c r="S44" s="160" t="str">
        <f t="shared" si="0"/>
        <v/>
      </c>
      <c r="T44" s="185" t="str">
        <f t="shared" si="1"/>
        <v/>
      </c>
      <c r="U44" s="185" t="str">
        <f t="shared" si="2"/>
        <v/>
      </c>
      <c r="V44" s="131"/>
      <c r="W44" s="127"/>
      <c r="X44" s="132"/>
      <c r="Y44" s="160" t="str">
        <f t="shared" si="3"/>
        <v/>
      </c>
      <c r="Z44" s="160" t="str">
        <f t="shared" si="16"/>
        <v/>
      </c>
      <c r="AA44" s="160" t="str">
        <f t="shared" si="17"/>
        <v/>
      </c>
      <c r="AB44" s="131"/>
      <c r="AC44" s="127"/>
      <c r="AD44" s="132"/>
      <c r="AE44" s="160" t="str">
        <f t="shared" si="4"/>
        <v/>
      </c>
      <c r="AF44" s="160" t="str">
        <f t="shared" si="18"/>
        <v/>
      </c>
      <c r="AG44" s="160" t="str">
        <f t="shared" si="19"/>
        <v/>
      </c>
      <c r="AH44" s="131"/>
      <c r="AI44" s="127"/>
      <c r="AJ44" s="132"/>
      <c r="AK44" s="177" t="str">
        <f t="shared" si="5"/>
        <v/>
      </c>
      <c r="AL44" s="160" t="str">
        <f t="shared" si="6"/>
        <v/>
      </c>
      <c r="AM44" s="160" t="str">
        <f t="shared" si="7"/>
        <v/>
      </c>
      <c r="AN44" s="131"/>
      <c r="AO44" s="127"/>
      <c r="AP44" s="132"/>
      <c r="AQ44" s="164" t="str">
        <f t="shared" si="8"/>
        <v/>
      </c>
      <c r="AR44" s="155" t="str">
        <f t="shared" si="9"/>
        <v/>
      </c>
      <c r="AS44" s="188" t="str">
        <f t="shared" si="10"/>
        <v/>
      </c>
      <c r="AT44" s="160" t="str">
        <f t="shared" si="11"/>
        <v/>
      </c>
      <c r="AU44" s="160" t="str">
        <f t="shared" si="12"/>
        <v/>
      </c>
      <c r="AV44" s="168" t="str">
        <f t="shared" si="20"/>
        <v/>
      </c>
      <c r="AW44" s="171" t="str">
        <f>IF(AV44="","",IFERROR(INDEX(HELPER!$D$8:$D$48,IF(AV44&gt;=HELPER!$B$8,1,MATCH(AV44,HELPER!$B$8:$B$48,-1)+1)),""))</f>
        <v/>
      </c>
      <c r="AX44" s="174" t="str">
        <f>IF(AW44="","",IFERROR(VLOOKUP(AW44,HELPER!$F$8:$G$48,2,FALSE),""))</f>
        <v/>
      </c>
      <c r="AY44" s="147"/>
      <c r="AZ44" s="91"/>
    </row>
    <row r="45" spans="1:52" ht="15" customHeight="1" x14ac:dyDescent="0.3">
      <c r="A45" s="147"/>
      <c r="B45" s="66">
        <v>27</v>
      </c>
      <c r="C45" s="229" t="str">
        <f>IF('INPUT DATA'!K37="","",'INPUT DATA'!K37)</f>
        <v/>
      </c>
      <c r="D45" s="226"/>
      <c r="E45" s="226"/>
      <c r="F45" s="131"/>
      <c r="G45" s="127"/>
      <c r="H45" s="127"/>
      <c r="I45" s="127"/>
      <c r="J45" s="132"/>
      <c r="K45" s="160" t="str">
        <f t="shared" si="13"/>
        <v/>
      </c>
      <c r="L45" s="185" t="str">
        <f t="shared" si="14"/>
        <v/>
      </c>
      <c r="M45" s="185" t="str">
        <f t="shared" si="15"/>
        <v/>
      </c>
      <c r="N45" s="131"/>
      <c r="O45" s="127"/>
      <c r="P45" s="127"/>
      <c r="Q45" s="127"/>
      <c r="R45" s="132"/>
      <c r="S45" s="160" t="str">
        <f t="shared" si="0"/>
        <v/>
      </c>
      <c r="T45" s="185" t="str">
        <f t="shared" si="1"/>
        <v/>
      </c>
      <c r="U45" s="185" t="str">
        <f t="shared" si="2"/>
        <v/>
      </c>
      <c r="V45" s="131"/>
      <c r="W45" s="127"/>
      <c r="X45" s="132"/>
      <c r="Y45" s="160" t="str">
        <f t="shared" si="3"/>
        <v/>
      </c>
      <c r="Z45" s="160" t="str">
        <f t="shared" si="16"/>
        <v/>
      </c>
      <c r="AA45" s="160" t="str">
        <f t="shared" si="17"/>
        <v/>
      </c>
      <c r="AB45" s="131"/>
      <c r="AC45" s="127"/>
      <c r="AD45" s="132"/>
      <c r="AE45" s="160" t="str">
        <f t="shared" si="4"/>
        <v/>
      </c>
      <c r="AF45" s="160" t="str">
        <f t="shared" si="18"/>
        <v/>
      </c>
      <c r="AG45" s="160" t="str">
        <f t="shared" si="19"/>
        <v/>
      </c>
      <c r="AH45" s="131"/>
      <c r="AI45" s="127"/>
      <c r="AJ45" s="132"/>
      <c r="AK45" s="177" t="str">
        <f t="shared" si="5"/>
        <v/>
      </c>
      <c r="AL45" s="160" t="str">
        <f t="shared" si="6"/>
        <v/>
      </c>
      <c r="AM45" s="160" t="str">
        <f t="shared" si="7"/>
        <v/>
      </c>
      <c r="AN45" s="131"/>
      <c r="AO45" s="127"/>
      <c r="AP45" s="132"/>
      <c r="AQ45" s="164" t="str">
        <f t="shared" si="8"/>
        <v/>
      </c>
      <c r="AR45" s="155" t="str">
        <f t="shared" si="9"/>
        <v/>
      </c>
      <c r="AS45" s="188" t="str">
        <f t="shared" si="10"/>
        <v/>
      </c>
      <c r="AT45" s="160" t="str">
        <f t="shared" si="11"/>
        <v/>
      </c>
      <c r="AU45" s="160" t="str">
        <f t="shared" si="12"/>
        <v/>
      </c>
      <c r="AV45" s="168" t="str">
        <f t="shared" si="20"/>
        <v/>
      </c>
      <c r="AW45" s="171" t="str">
        <f>IF(AV45="","",IFERROR(INDEX(HELPER!$D$8:$D$48,IF(AV45&gt;=HELPER!$B$8,1,MATCH(AV45,HELPER!$B$8:$B$48,-1)+1)),""))</f>
        <v/>
      </c>
      <c r="AX45" s="174" t="str">
        <f>IF(AW45="","",IFERROR(VLOOKUP(AW45,HELPER!$F$8:$G$48,2,FALSE),""))</f>
        <v/>
      </c>
      <c r="AY45" s="147"/>
      <c r="AZ45" s="91"/>
    </row>
    <row r="46" spans="1:52" ht="15" customHeight="1" x14ac:dyDescent="0.3">
      <c r="A46" s="147"/>
      <c r="B46" s="66">
        <v>28</v>
      </c>
      <c r="C46" s="229" t="str">
        <f>IF('INPUT DATA'!K38="","",'INPUT DATA'!K38)</f>
        <v/>
      </c>
      <c r="D46" s="226"/>
      <c r="E46" s="226"/>
      <c r="F46" s="131"/>
      <c r="G46" s="127"/>
      <c r="H46" s="127"/>
      <c r="I46" s="127"/>
      <c r="J46" s="132"/>
      <c r="K46" s="160" t="str">
        <f t="shared" si="13"/>
        <v/>
      </c>
      <c r="L46" s="185" t="str">
        <f t="shared" si="14"/>
        <v/>
      </c>
      <c r="M46" s="185" t="str">
        <f t="shared" si="15"/>
        <v/>
      </c>
      <c r="N46" s="131"/>
      <c r="O46" s="127"/>
      <c r="P46" s="127"/>
      <c r="Q46" s="127"/>
      <c r="R46" s="132"/>
      <c r="S46" s="160" t="str">
        <f t="shared" si="0"/>
        <v/>
      </c>
      <c r="T46" s="185" t="str">
        <f t="shared" si="1"/>
        <v/>
      </c>
      <c r="U46" s="185" t="str">
        <f t="shared" si="2"/>
        <v/>
      </c>
      <c r="V46" s="131"/>
      <c r="W46" s="127"/>
      <c r="X46" s="132"/>
      <c r="Y46" s="160" t="str">
        <f t="shared" si="3"/>
        <v/>
      </c>
      <c r="Z46" s="160" t="str">
        <f t="shared" si="16"/>
        <v/>
      </c>
      <c r="AA46" s="160" t="str">
        <f t="shared" si="17"/>
        <v/>
      </c>
      <c r="AB46" s="131"/>
      <c r="AC46" s="127"/>
      <c r="AD46" s="132"/>
      <c r="AE46" s="160" t="str">
        <f t="shared" si="4"/>
        <v/>
      </c>
      <c r="AF46" s="160" t="str">
        <f t="shared" si="18"/>
        <v/>
      </c>
      <c r="AG46" s="160" t="str">
        <f t="shared" si="19"/>
        <v/>
      </c>
      <c r="AH46" s="131"/>
      <c r="AI46" s="127"/>
      <c r="AJ46" s="132"/>
      <c r="AK46" s="177" t="str">
        <f t="shared" si="5"/>
        <v/>
      </c>
      <c r="AL46" s="160" t="str">
        <f t="shared" si="6"/>
        <v/>
      </c>
      <c r="AM46" s="160" t="str">
        <f t="shared" si="7"/>
        <v/>
      </c>
      <c r="AN46" s="131"/>
      <c r="AO46" s="127"/>
      <c r="AP46" s="132"/>
      <c r="AQ46" s="164" t="str">
        <f t="shared" si="8"/>
        <v/>
      </c>
      <c r="AR46" s="155" t="str">
        <f t="shared" si="9"/>
        <v/>
      </c>
      <c r="AS46" s="188" t="str">
        <f t="shared" si="10"/>
        <v/>
      </c>
      <c r="AT46" s="160" t="str">
        <f t="shared" si="11"/>
        <v/>
      </c>
      <c r="AU46" s="160" t="str">
        <f t="shared" si="12"/>
        <v/>
      </c>
      <c r="AV46" s="168" t="str">
        <f t="shared" si="20"/>
        <v/>
      </c>
      <c r="AW46" s="171" t="str">
        <f>IF(AV46="","",IFERROR(INDEX(HELPER!$D$8:$D$48,IF(AV46&gt;=HELPER!$B$8,1,MATCH(AV46,HELPER!$B$8:$B$48,-1)+1)),""))</f>
        <v/>
      </c>
      <c r="AX46" s="174" t="str">
        <f>IF(AW46="","",IFERROR(VLOOKUP(AW46,HELPER!$F$8:$G$48,2,FALSE),""))</f>
        <v/>
      </c>
      <c r="AY46" s="147"/>
      <c r="AZ46" s="91"/>
    </row>
    <row r="47" spans="1:52" ht="15" customHeight="1" x14ac:dyDescent="0.3">
      <c r="A47" s="147"/>
      <c r="B47" s="66">
        <v>29</v>
      </c>
      <c r="C47" s="229" t="str">
        <f>IF('INPUT DATA'!K39="","",'INPUT DATA'!K39)</f>
        <v/>
      </c>
      <c r="D47" s="226"/>
      <c r="E47" s="226"/>
      <c r="F47" s="131"/>
      <c r="G47" s="127"/>
      <c r="H47" s="127"/>
      <c r="I47" s="127"/>
      <c r="J47" s="132"/>
      <c r="K47" s="160" t="str">
        <f t="shared" si="13"/>
        <v/>
      </c>
      <c r="L47" s="185" t="str">
        <f t="shared" si="14"/>
        <v/>
      </c>
      <c r="M47" s="185" t="str">
        <f t="shared" si="15"/>
        <v/>
      </c>
      <c r="N47" s="131"/>
      <c r="O47" s="127"/>
      <c r="P47" s="127"/>
      <c r="Q47" s="127"/>
      <c r="R47" s="132"/>
      <c r="S47" s="160" t="str">
        <f t="shared" si="0"/>
        <v/>
      </c>
      <c r="T47" s="185" t="str">
        <f t="shared" si="1"/>
        <v/>
      </c>
      <c r="U47" s="185" t="str">
        <f t="shared" si="2"/>
        <v/>
      </c>
      <c r="V47" s="131"/>
      <c r="W47" s="127"/>
      <c r="X47" s="132"/>
      <c r="Y47" s="160" t="str">
        <f t="shared" si="3"/>
        <v/>
      </c>
      <c r="Z47" s="160" t="str">
        <f t="shared" si="16"/>
        <v/>
      </c>
      <c r="AA47" s="160" t="str">
        <f t="shared" si="17"/>
        <v/>
      </c>
      <c r="AB47" s="131"/>
      <c r="AC47" s="127"/>
      <c r="AD47" s="132"/>
      <c r="AE47" s="160" t="str">
        <f t="shared" si="4"/>
        <v/>
      </c>
      <c r="AF47" s="160" t="str">
        <f t="shared" si="18"/>
        <v/>
      </c>
      <c r="AG47" s="160" t="str">
        <f t="shared" si="19"/>
        <v/>
      </c>
      <c r="AH47" s="131"/>
      <c r="AI47" s="127"/>
      <c r="AJ47" s="132"/>
      <c r="AK47" s="177" t="str">
        <f t="shared" si="5"/>
        <v/>
      </c>
      <c r="AL47" s="160" t="str">
        <f t="shared" si="6"/>
        <v/>
      </c>
      <c r="AM47" s="160" t="str">
        <f t="shared" si="7"/>
        <v/>
      </c>
      <c r="AN47" s="131"/>
      <c r="AO47" s="127"/>
      <c r="AP47" s="132"/>
      <c r="AQ47" s="164" t="str">
        <f t="shared" si="8"/>
        <v/>
      </c>
      <c r="AR47" s="155" t="str">
        <f t="shared" si="9"/>
        <v/>
      </c>
      <c r="AS47" s="188" t="str">
        <f t="shared" si="10"/>
        <v/>
      </c>
      <c r="AT47" s="160" t="str">
        <f t="shared" si="11"/>
        <v/>
      </c>
      <c r="AU47" s="160" t="str">
        <f t="shared" si="12"/>
        <v/>
      </c>
      <c r="AV47" s="168" t="str">
        <f t="shared" si="20"/>
        <v/>
      </c>
      <c r="AW47" s="171" t="str">
        <f>IF(AV47="","",IFERROR(INDEX(HELPER!$D$8:$D$48,IF(AV47&gt;=HELPER!$B$8,1,MATCH(AV47,HELPER!$B$8:$B$48,-1)+1)),""))</f>
        <v/>
      </c>
      <c r="AX47" s="174" t="str">
        <f>IF(AW47="","",IFERROR(VLOOKUP(AW47,HELPER!$F$8:$G$48,2,FALSE),""))</f>
        <v/>
      </c>
      <c r="AY47" s="147"/>
      <c r="AZ47" s="91"/>
    </row>
    <row r="48" spans="1:52" ht="15" customHeight="1" x14ac:dyDescent="0.3">
      <c r="A48" s="147"/>
      <c r="B48" s="66">
        <v>30</v>
      </c>
      <c r="C48" s="229" t="str">
        <f>IF('INPUT DATA'!K40="","",'INPUT DATA'!K40)</f>
        <v/>
      </c>
      <c r="D48" s="226"/>
      <c r="E48" s="226"/>
      <c r="F48" s="131"/>
      <c r="G48" s="127"/>
      <c r="H48" s="127"/>
      <c r="I48" s="127"/>
      <c r="J48" s="132"/>
      <c r="K48" s="160" t="str">
        <f t="shared" si="13"/>
        <v/>
      </c>
      <c r="L48" s="185" t="str">
        <f t="shared" si="14"/>
        <v/>
      </c>
      <c r="M48" s="185" t="str">
        <f t="shared" si="15"/>
        <v/>
      </c>
      <c r="N48" s="131"/>
      <c r="O48" s="127"/>
      <c r="P48" s="127"/>
      <c r="Q48" s="127"/>
      <c r="R48" s="132"/>
      <c r="S48" s="160" t="str">
        <f t="shared" si="0"/>
        <v/>
      </c>
      <c r="T48" s="185" t="str">
        <f t="shared" si="1"/>
        <v/>
      </c>
      <c r="U48" s="185" t="str">
        <f t="shared" si="2"/>
        <v/>
      </c>
      <c r="V48" s="131"/>
      <c r="W48" s="127"/>
      <c r="X48" s="132"/>
      <c r="Y48" s="160" t="str">
        <f t="shared" si="3"/>
        <v/>
      </c>
      <c r="Z48" s="160" t="str">
        <f t="shared" si="16"/>
        <v/>
      </c>
      <c r="AA48" s="160" t="str">
        <f t="shared" si="17"/>
        <v/>
      </c>
      <c r="AB48" s="131"/>
      <c r="AC48" s="127"/>
      <c r="AD48" s="132"/>
      <c r="AE48" s="160" t="str">
        <f t="shared" si="4"/>
        <v/>
      </c>
      <c r="AF48" s="160" t="str">
        <f t="shared" si="18"/>
        <v/>
      </c>
      <c r="AG48" s="160" t="str">
        <f t="shared" si="19"/>
        <v/>
      </c>
      <c r="AH48" s="131"/>
      <c r="AI48" s="127"/>
      <c r="AJ48" s="132"/>
      <c r="AK48" s="177" t="str">
        <f t="shared" si="5"/>
        <v/>
      </c>
      <c r="AL48" s="160" t="str">
        <f t="shared" si="6"/>
        <v/>
      </c>
      <c r="AM48" s="160" t="str">
        <f t="shared" si="7"/>
        <v/>
      </c>
      <c r="AN48" s="131"/>
      <c r="AO48" s="127"/>
      <c r="AP48" s="132"/>
      <c r="AQ48" s="164" t="str">
        <f t="shared" si="8"/>
        <v/>
      </c>
      <c r="AR48" s="155" t="str">
        <f t="shared" si="9"/>
        <v/>
      </c>
      <c r="AS48" s="188" t="str">
        <f t="shared" si="10"/>
        <v/>
      </c>
      <c r="AT48" s="160" t="str">
        <f t="shared" si="11"/>
        <v/>
      </c>
      <c r="AU48" s="160" t="str">
        <f t="shared" si="12"/>
        <v/>
      </c>
      <c r="AV48" s="168" t="str">
        <f t="shared" si="20"/>
        <v/>
      </c>
      <c r="AW48" s="171" t="str">
        <f>IF(AV48="","",IFERROR(INDEX(HELPER!$D$8:$D$48,IF(AV48&gt;=HELPER!$B$8,1,MATCH(AV48,HELPER!$B$8:$B$48,-1)+1)),""))</f>
        <v/>
      </c>
      <c r="AX48" s="174" t="str">
        <f>IF(AW48="","",IFERROR(VLOOKUP(AW48,HELPER!$F$8:$G$48,2,FALSE),""))</f>
        <v/>
      </c>
      <c r="AY48" s="147"/>
      <c r="AZ48" s="91"/>
    </row>
    <row r="49" spans="1:52" ht="15" customHeight="1" x14ac:dyDescent="0.3">
      <c r="A49" s="147"/>
      <c r="B49" s="66">
        <v>31</v>
      </c>
      <c r="C49" s="229" t="str">
        <f>IF('INPUT DATA'!K41="","",'INPUT DATA'!K41)</f>
        <v/>
      </c>
      <c r="D49" s="226"/>
      <c r="E49" s="226"/>
      <c r="F49" s="131"/>
      <c r="G49" s="127"/>
      <c r="H49" s="127"/>
      <c r="I49" s="127"/>
      <c r="J49" s="132"/>
      <c r="K49" s="160" t="str">
        <f t="shared" si="13"/>
        <v/>
      </c>
      <c r="L49" s="185" t="str">
        <f t="shared" si="14"/>
        <v/>
      </c>
      <c r="M49" s="185" t="str">
        <f t="shared" si="15"/>
        <v/>
      </c>
      <c r="N49" s="131"/>
      <c r="O49" s="127"/>
      <c r="P49" s="127"/>
      <c r="Q49" s="127"/>
      <c r="R49" s="132"/>
      <c r="S49" s="160" t="str">
        <f t="shared" si="0"/>
        <v/>
      </c>
      <c r="T49" s="185" t="str">
        <f t="shared" si="1"/>
        <v/>
      </c>
      <c r="U49" s="185" t="str">
        <f t="shared" si="2"/>
        <v/>
      </c>
      <c r="V49" s="131"/>
      <c r="W49" s="127"/>
      <c r="X49" s="132"/>
      <c r="Y49" s="160" t="str">
        <f t="shared" si="3"/>
        <v/>
      </c>
      <c r="Z49" s="160" t="str">
        <f t="shared" si="16"/>
        <v/>
      </c>
      <c r="AA49" s="160" t="str">
        <f t="shared" si="17"/>
        <v/>
      </c>
      <c r="AB49" s="131"/>
      <c r="AC49" s="127"/>
      <c r="AD49" s="132"/>
      <c r="AE49" s="160" t="str">
        <f t="shared" si="4"/>
        <v/>
      </c>
      <c r="AF49" s="160" t="str">
        <f t="shared" si="18"/>
        <v/>
      </c>
      <c r="AG49" s="160" t="str">
        <f t="shared" si="19"/>
        <v/>
      </c>
      <c r="AH49" s="131"/>
      <c r="AI49" s="127"/>
      <c r="AJ49" s="132"/>
      <c r="AK49" s="177" t="str">
        <f t="shared" si="5"/>
        <v/>
      </c>
      <c r="AL49" s="160" t="str">
        <f t="shared" si="6"/>
        <v/>
      </c>
      <c r="AM49" s="160" t="str">
        <f t="shared" si="7"/>
        <v/>
      </c>
      <c r="AN49" s="131"/>
      <c r="AO49" s="127"/>
      <c r="AP49" s="132"/>
      <c r="AQ49" s="164" t="str">
        <f t="shared" si="8"/>
        <v/>
      </c>
      <c r="AR49" s="155" t="str">
        <f t="shared" si="9"/>
        <v/>
      </c>
      <c r="AS49" s="188" t="str">
        <f t="shared" si="10"/>
        <v/>
      </c>
      <c r="AT49" s="160" t="str">
        <f t="shared" si="11"/>
        <v/>
      </c>
      <c r="AU49" s="160" t="str">
        <f t="shared" si="12"/>
        <v/>
      </c>
      <c r="AV49" s="168" t="str">
        <f t="shared" si="20"/>
        <v/>
      </c>
      <c r="AW49" s="171" t="str">
        <f>IF(AV49="","",IFERROR(INDEX(HELPER!$D$8:$D$48,IF(AV49&gt;=HELPER!$B$8,1,MATCH(AV49,HELPER!$B$8:$B$48,-1)+1)),""))</f>
        <v/>
      </c>
      <c r="AX49" s="174" t="str">
        <f>IF(AW49="","",IFERROR(VLOOKUP(AW49,HELPER!$F$8:$G$48,2,FALSE),""))</f>
        <v/>
      </c>
      <c r="AY49" s="147"/>
      <c r="AZ49" s="91"/>
    </row>
    <row r="50" spans="1:52" ht="15" customHeight="1" x14ac:dyDescent="0.3">
      <c r="A50" s="147"/>
      <c r="B50" s="66">
        <v>32</v>
      </c>
      <c r="C50" s="229" t="str">
        <f>IF('INPUT DATA'!K42="","",'INPUT DATA'!K42)</f>
        <v/>
      </c>
      <c r="D50" s="226"/>
      <c r="E50" s="226"/>
      <c r="F50" s="131"/>
      <c r="G50" s="127"/>
      <c r="H50" s="127"/>
      <c r="I50" s="127"/>
      <c r="J50" s="132"/>
      <c r="K50" s="160" t="str">
        <f t="shared" si="13"/>
        <v/>
      </c>
      <c r="L50" s="185" t="str">
        <f t="shared" si="14"/>
        <v/>
      </c>
      <c r="M50" s="185" t="str">
        <f t="shared" si="15"/>
        <v/>
      </c>
      <c r="N50" s="131"/>
      <c r="O50" s="127"/>
      <c r="P50" s="127"/>
      <c r="Q50" s="127"/>
      <c r="R50" s="132"/>
      <c r="S50" s="160" t="str">
        <f t="shared" si="0"/>
        <v/>
      </c>
      <c r="T50" s="185" t="str">
        <f t="shared" si="1"/>
        <v/>
      </c>
      <c r="U50" s="185" t="str">
        <f t="shared" si="2"/>
        <v/>
      </c>
      <c r="V50" s="131"/>
      <c r="W50" s="127"/>
      <c r="X50" s="132"/>
      <c r="Y50" s="160" t="str">
        <f t="shared" si="3"/>
        <v/>
      </c>
      <c r="Z50" s="160" t="str">
        <f t="shared" si="16"/>
        <v/>
      </c>
      <c r="AA50" s="160" t="str">
        <f t="shared" si="17"/>
        <v/>
      </c>
      <c r="AB50" s="131"/>
      <c r="AC50" s="127"/>
      <c r="AD50" s="132"/>
      <c r="AE50" s="160" t="str">
        <f t="shared" si="4"/>
        <v/>
      </c>
      <c r="AF50" s="160" t="str">
        <f t="shared" si="18"/>
        <v/>
      </c>
      <c r="AG50" s="160" t="str">
        <f t="shared" si="19"/>
        <v/>
      </c>
      <c r="AH50" s="131"/>
      <c r="AI50" s="127"/>
      <c r="AJ50" s="132"/>
      <c r="AK50" s="177" t="str">
        <f t="shared" si="5"/>
        <v/>
      </c>
      <c r="AL50" s="160" t="str">
        <f t="shared" si="6"/>
        <v/>
      </c>
      <c r="AM50" s="160" t="str">
        <f t="shared" si="7"/>
        <v/>
      </c>
      <c r="AN50" s="131"/>
      <c r="AO50" s="127"/>
      <c r="AP50" s="132"/>
      <c r="AQ50" s="164" t="str">
        <f t="shared" si="8"/>
        <v/>
      </c>
      <c r="AR50" s="155" t="str">
        <f t="shared" si="9"/>
        <v/>
      </c>
      <c r="AS50" s="188" t="str">
        <f t="shared" si="10"/>
        <v/>
      </c>
      <c r="AT50" s="160" t="str">
        <f t="shared" si="11"/>
        <v/>
      </c>
      <c r="AU50" s="160" t="str">
        <f t="shared" si="12"/>
        <v/>
      </c>
      <c r="AV50" s="168" t="str">
        <f t="shared" si="20"/>
        <v/>
      </c>
      <c r="AW50" s="171" t="str">
        <f>IF(AV50="","",IFERROR(INDEX(HELPER!$D$8:$D$48,IF(AV50&gt;=HELPER!$B$8,1,MATCH(AV50,HELPER!$B$8:$B$48,-1)+1)),""))</f>
        <v/>
      </c>
      <c r="AX50" s="174" t="str">
        <f>IF(AW50="","",IFERROR(VLOOKUP(AW50,HELPER!$F$8:$G$48,2,FALSE),""))</f>
        <v/>
      </c>
      <c r="AY50" s="147"/>
      <c r="AZ50" s="91"/>
    </row>
    <row r="51" spans="1:52" ht="15" customHeight="1" x14ac:dyDescent="0.3">
      <c r="A51" s="147"/>
      <c r="B51" s="66">
        <v>33</v>
      </c>
      <c r="C51" s="229" t="str">
        <f>IF('INPUT DATA'!K43="","",'INPUT DATA'!K43)</f>
        <v/>
      </c>
      <c r="D51" s="226"/>
      <c r="E51" s="226"/>
      <c r="F51" s="131"/>
      <c r="G51" s="127"/>
      <c r="H51" s="127"/>
      <c r="I51" s="127"/>
      <c r="J51" s="132"/>
      <c r="K51" s="160" t="str">
        <f t="shared" si="13"/>
        <v/>
      </c>
      <c r="L51" s="185" t="str">
        <f t="shared" si="14"/>
        <v/>
      </c>
      <c r="M51" s="185" t="str">
        <f t="shared" si="15"/>
        <v/>
      </c>
      <c r="N51" s="131"/>
      <c r="O51" s="127"/>
      <c r="P51" s="127"/>
      <c r="Q51" s="127"/>
      <c r="R51" s="132"/>
      <c r="S51" s="160" t="str">
        <f t="shared" si="0"/>
        <v/>
      </c>
      <c r="T51" s="185" t="str">
        <f t="shared" si="1"/>
        <v/>
      </c>
      <c r="U51" s="185" t="str">
        <f t="shared" si="2"/>
        <v/>
      </c>
      <c r="V51" s="131"/>
      <c r="W51" s="127"/>
      <c r="X51" s="132"/>
      <c r="Y51" s="160" t="str">
        <f t="shared" si="3"/>
        <v/>
      </c>
      <c r="Z51" s="160" t="str">
        <f t="shared" si="16"/>
        <v/>
      </c>
      <c r="AA51" s="160" t="str">
        <f t="shared" si="17"/>
        <v/>
      </c>
      <c r="AB51" s="131"/>
      <c r="AC51" s="127"/>
      <c r="AD51" s="132"/>
      <c r="AE51" s="160" t="str">
        <f t="shared" si="4"/>
        <v/>
      </c>
      <c r="AF51" s="160" t="str">
        <f t="shared" si="18"/>
        <v/>
      </c>
      <c r="AG51" s="160" t="str">
        <f t="shared" si="19"/>
        <v/>
      </c>
      <c r="AH51" s="131"/>
      <c r="AI51" s="127"/>
      <c r="AJ51" s="132"/>
      <c r="AK51" s="177" t="str">
        <f t="shared" si="5"/>
        <v/>
      </c>
      <c r="AL51" s="160" t="str">
        <f t="shared" si="6"/>
        <v/>
      </c>
      <c r="AM51" s="160" t="str">
        <f t="shared" si="7"/>
        <v/>
      </c>
      <c r="AN51" s="131"/>
      <c r="AO51" s="127"/>
      <c r="AP51" s="132"/>
      <c r="AQ51" s="164" t="str">
        <f t="shared" si="8"/>
        <v/>
      </c>
      <c r="AR51" s="155" t="str">
        <f t="shared" si="9"/>
        <v/>
      </c>
      <c r="AS51" s="188" t="str">
        <f t="shared" si="10"/>
        <v/>
      </c>
      <c r="AT51" s="160" t="str">
        <f t="shared" si="11"/>
        <v/>
      </c>
      <c r="AU51" s="160" t="str">
        <f t="shared" si="12"/>
        <v/>
      </c>
      <c r="AV51" s="168" t="str">
        <f t="shared" si="20"/>
        <v/>
      </c>
      <c r="AW51" s="171" t="str">
        <f>IF(AV51="","",IFERROR(INDEX(HELPER!$D$8:$D$48,IF(AV51&gt;=HELPER!$B$8,1,MATCH(AV51,HELPER!$B$8:$B$48,-1)+1)),""))</f>
        <v/>
      </c>
      <c r="AX51" s="174" t="str">
        <f>IF(AW51="","",IFERROR(VLOOKUP(AW51,HELPER!$F$8:$G$48,2,FALSE),""))</f>
        <v/>
      </c>
      <c r="AY51" s="147"/>
      <c r="AZ51" s="91"/>
    </row>
    <row r="52" spans="1:52" ht="15" customHeight="1" x14ac:dyDescent="0.3">
      <c r="A52" s="147"/>
      <c r="B52" s="66">
        <v>34</v>
      </c>
      <c r="C52" s="229" t="str">
        <f>IF('INPUT DATA'!K44="","",'INPUT DATA'!K44)</f>
        <v/>
      </c>
      <c r="D52" s="226"/>
      <c r="E52" s="226"/>
      <c r="F52" s="131"/>
      <c r="G52" s="127"/>
      <c r="H52" s="127"/>
      <c r="I52" s="127"/>
      <c r="J52" s="132"/>
      <c r="K52" s="160" t="str">
        <f t="shared" si="13"/>
        <v/>
      </c>
      <c r="L52" s="185" t="str">
        <f t="shared" si="14"/>
        <v/>
      </c>
      <c r="M52" s="185" t="str">
        <f t="shared" si="15"/>
        <v/>
      </c>
      <c r="N52" s="131"/>
      <c r="O52" s="127"/>
      <c r="P52" s="127"/>
      <c r="Q52" s="127"/>
      <c r="R52" s="132"/>
      <c r="S52" s="160" t="str">
        <f t="shared" si="0"/>
        <v/>
      </c>
      <c r="T52" s="185" t="str">
        <f t="shared" si="1"/>
        <v/>
      </c>
      <c r="U52" s="185" t="str">
        <f t="shared" si="2"/>
        <v/>
      </c>
      <c r="V52" s="131"/>
      <c r="W52" s="127"/>
      <c r="X52" s="132"/>
      <c r="Y52" s="160" t="str">
        <f t="shared" si="3"/>
        <v/>
      </c>
      <c r="Z52" s="160" t="str">
        <f t="shared" si="16"/>
        <v/>
      </c>
      <c r="AA52" s="160" t="str">
        <f t="shared" si="17"/>
        <v/>
      </c>
      <c r="AB52" s="131"/>
      <c r="AC52" s="127"/>
      <c r="AD52" s="132"/>
      <c r="AE52" s="160" t="str">
        <f t="shared" si="4"/>
        <v/>
      </c>
      <c r="AF52" s="160" t="str">
        <f t="shared" si="18"/>
        <v/>
      </c>
      <c r="AG52" s="160" t="str">
        <f t="shared" si="19"/>
        <v/>
      </c>
      <c r="AH52" s="131"/>
      <c r="AI52" s="127"/>
      <c r="AJ52" s="132"/>
      <c r="AK52" s="177" t="str">
        <f t="shared" si="5"/>
        <v/>
      </c>
      <c r="AL52" s="160" t="str">
        <f t="shared" si="6"/>
        <v/>
      </c>
      <c r="AM52" s="160" t="str">
        <f t="shared" si="7"/>
        <v/>
      </c>
      <c r="AN52" s="131"/>
      <c r="AO52" s="127"/>
      <c r="AP52" s="132"/>
      <c r="AQ52" s="164" t="str">
        <f t="shared" si="8"/>
        <v/>
      </c>
      <c r="AR52" s="155" t="str">
        <f t="shared" si="9"/>
        <v/>
      </c>
      <c r="AS52" s="188" t="str">
        <f t="shared" si="10"/>
        <v/>
      </c>
      <c r="AT52" s="160" t="str">
        <f t="shared" si="11"/>
        <v/>
      </c>
      <c r="AU52" s="160" t="str">
        <f t="shared" si="12"/>
        <v/>
      </c>
      <c r="AV52" s="168" t="str">
        <f t="shared" si="20"/>
        <v/>
      </c>
      <c r="AW52" s="171" t="str">
        <f>IF(AV52="","",IFERROR(INDEX(HELPER!$D$8:$D$48,IF(AV52&gt;=HELPER!$B$8,1,MATCH(AV52,HELPER!$B$8:$B$48,-1)+1)),""))</f>
        <v/>
      </c>
      <c r="AX52" s="174" t="str">
        <f>IF(AW52="","",IFERROR(VLOOKUP(AW52,HELPER!$F$8:$G$48,2,FALSE),""))</f>
        <v/>
      </c>
      <c r="AY52" s="147"/>
      <c r="AZ52" s="91"/>
    </row>
    <row r="53" spans="1:52" ht="15" customHeight="1" x14ac:dyDescent="0.3">
      <c r="A53" s="147"/>
      <c r="B53" s="66">
        <v>35</v>
      </c>
      <c r="C53" s="229" t="str">
        <f>IF('INPUT DATA'!K45="","",'INPUT DATA'!K45)</f>
        <v/>
      </c>
      <c r="D53" s="226"/>
      <c r="E53" s="226"/>
      <c r="F53" s="131"/>
      <c r="G53" s="127"/>
      <c r="H53" s="127"/>
      <c r="I53" s="127"/>
      <c r="J53" s="132"/>
      <c r="K53" s="160" t="str">
        <f t="shared" si="13"/>
        <v/>
      </c>
      <c r="L53" s="185" t="str">
        <f t="shared" si="14"/>
        <v/>
      </c>
      <c r="M53" s="185" t="str">
        <f t="shared" si="15"/>
        <v/>
      </c>
      <c r="N53" s="131"/>
      <c r="O53" s="127"/>
      <c r="P53" s="127"/>
      <c r="Q53" s="127"/>
      <c r="R53" s="132"/>
      <c r="S53" s="160" t="str">
        <f t="shared" si="0"/>
        <v/>
      </c>
      <c r="T53" s="185" t="str">
        <f t="shared" si="1"/>
        <v/>
      </c>
      <c r="U53" s="185" t="str">
        <f t="shared" si="2"/>
        <v/>
      </c>
      <c r="V53" s="131"/>
      <c r="W53" s="127"/>
      <c r="X53" s="132"/>
      <c r="Y53" s="160" t="str">
        <f t="shared" si="3"/>
        <v/>
      </c>
      <c r="Z53" s="160" t="str">
        <f t="shared" si="16"/>
        <v/>
      </c>
      <c r="AA53" s="160" t="str">
        <f t="shared" si="17"/>
        <v/>
      </c>
      <c r="AB53" s="131"/>
      <c r="AC53" s="127"/>
      <c r="AD53" s="132"/>
      <c r="AE53" s="160" t="str">
        <f t="shared" si="4"/>
        <v/>
      </c>
      <c r="AF53" s="160" t="str">
        <f t="shared" si="18"/>
        <v/>
      </c>
      <c r="AG53" s="160" t="str">
        <f t="shared" si="19"/>
        <v/>
      </c>
      <c r="AH53" s="131"/>
      <c r="AI53" s="127"/>
      <c r="AJ53" s="132"/>
      <c r="AK53" s="177" t="str">
        <f t="shared" si="5"/>
        <v/>
      </c>
      <c r="AL53" s="160" t="str">
        <f t="shared" si="6"/>
        <v/>
      </c>
      <c r="AM53" s="160" t="str">
        <f t="shared" si="7"/>
        <v/>
      </c>
      <c r="AN53" s="131"/>
      <c r="AO53" s="127"/>
      <c r="AP53" s="132"/>
      <c r="AQ53" s="164" t="str">
        <f t="shared" si="8"/>
        <v/>
      </c>
      <c r="AR53" s="155" t="str">
        <f t="shared" si="9"/>
        <v/>
      </c>
      <c r="AS53" s="188" t="str">
        <f t="shared" si="10"/>
        <v/>
      </c>
      <c r="AT53" s="160" t="str">
        <f t="shared" si="11"/>
        <v/>
      </c>
      <c r="AU53" s="160" t="str">
        <f t="shared" si="12"/>
        <v/>
      </c>
      <c r="AV53" s="168" t="str">
        <f t="shared" si="20"/>
        <v/>
      </c>
      <c r="AW53" s="171" t="str">
        <f>IF(AV53="","",IFERROR(INDEX(HELPER!$D$8:$D$48,IF(AV53&gt;=HELPER!$B$8,1,MATCH(AV53,HELPER!$B$8:$B$48,-1)+1)),""))</f>
        <v/>
      </c>
      <c r="AX53" s="174" t="str">
        <f>IF(AW53="","",IFERROR(VLOOKUP(AW53,HELPER!$F$8:$G$48,2,FALSE),""))</f>
        <v/>
      </c>
      <c r="AY53" s="147"/>
      <c r="AZ53" s="91"/>
    </row>
    <row r="54" spans="1:52" ht="15" customHeight="1" x14ac:dyDescent="0.3">
      <c r="A54" s="147"/>
      <c r="B54" s="66">
        <v>36</v>
      </c>
      <c r="C54" s="229" t="str">
        <f>IF('INPUT DATA'!K46="","",'INPUT DATA'!K46)</f>
        <v/>
      </c>
      <c r="D54" s="226"/>
      <c r="E54" s="226"/>
      <c r="F54" s="131"/>
      <c r="G54" s="127"/>
      <c r="H54" s="127"/>
      <c r="I54" s="127"/>
      <c r="J54" s="132"/>
      <c r="K54" s="160" t="str">
        <f t="shared" si="13"/>
        <v/>
      </c>
      <c r="L54" s="185" t="str">
        <f t="shared" si="14"/>
        <v/>
      </c>
      <c r="M54" s="185" t="str">
        <f t="shared" si="15"/>
        <v/>
      </c>
      <c r="N54" s="131"/>
      <c r="O54" s="127"/>
      <c r="P54" s="127"/>
      <c r="Q54" s="127"/>
      <c r="R54" s="132"/>
      <c r="S54" s="160" t="str">
        <f t="shared" si="0"/>
        <v/>
      </c>
      <c r="T54" s="185" t="str">
        <f t="shared" si="1"/>
        <v/>
      </c>
      <c r="U54" s="185" t="str">
        <f t="shared" si="2"/>
        <v/>
      </c>
      <c r="V54" s="131"/>
      <c r="W54" s="127"/>
      <c r="X54" s="132"/>
      <c r="Y54" s="160" t="str">
        <f t="shared" si="3"/>
        <v/>
      </c>
      <c r="Z54" s="160" t="str">
        <f t="shared" si="16"/>
        <v/>
      </c>
      <c r="AA54" s="160" t="str">
        <f t="shared" si="17"/>
        <v/>
      </c>
      <c r="AB54" s="131"/>
      <c r="AC54" s="127"/>
      <c r="AD54" s="132"/>
      <c r="AE54" s="160" t="str">
        <f t="shared" si="4"/>
        <v/>
      </c>
      <c r="AF54" s="160" t="str">
        <f t="shared" si="18"/>
        <v/>
      </c>
      <c r="AG54" s="160" t="str">
        <f t="shared" si="19"/>
        <v/>
      </c>
      <c r="AH54" s="131"/>
      <c r="AI54" s="127"/>
      <c r="AJ54" s="132"/>
      <c r="AK54" s="177" t="str">
        <f t="shared" si="5"/>
        <v/>
      </c>
      <c r="AL54" s="160" t="str">
        <f t="shared" si="6"/>
        <v/>
      </c>
      <c r="AM54" s="160" t="str">
        <f t="shared" si="7"/>
        <v/>
      </c>
      <c r="AN54" s="131"/>
      <c r="AO54" s="127"/>
      <c r="AP54" s="132"/>
      <c r="AQ54" s="164" t="str">
        <f t="shared" si="8"/>
        <v/>
      </c>
      <c r="AR54" s="155" t="str">
        <f t="shared" si="9"/>
        <v/>
      </c>
      <c r="AS54" s="188" t="str">
        <f t="shared" si="10"/>
        <v/>
      </c>
      <c r="AT54" s="160" t="str">
        <f t="shared" si="11"/>
        <v/>
      </c>
      <c r="AU54" s="160" t="str">
        <f t="shared" si="12"/>
        <v/>
      </c>
      <c r="AV54" s="168" t="str">
        <f t="shared" si="20"/>
        <v/>
      </c>
      <c r="AW54" s="171" t="str">
        <f>IF(AV54="","",IFERROR(INDEX(HELPER!$D$8:$D$48,IF(AV54&gt;=HELPER!$B$8,1,MATCH(AV54,HELPER!$B$8:$B$48,-1)+1)),""))</f>
        <v/>
      </c>
      <c r="AX54" s="174" t="str">
        <f>IF(AW54="","",IFERROR(VLOOKUP(AW54,HELPER!$F$8:$G$48,2,FALSE),""))</f>
        <v/>
      </c>
      <c r="AY54" s="147"/>
      <c r="AZ54" s="91"/>
    </row>
    <row r="55" spans="1:52" ht="15" customHeight="1" x14ac:dyDescent="0.3">
      <c r="A55" s="147"/>
      <c r="B55" s="66">
        <v>37</v>
      </c>
      <c r="C55" s="229" t="str">
        <f>IF('INPUT DATA'!K47="","",'INPUT DATA'!K47)</f>
        <v/>
      </c>
      <c r="D55" s="226"/>
      <c r="E55" s="226"/>
      <c r="F55" s="131"/>
      <c r="G55" s="127"/>
      <c r="H55" s="127"/>
      <c r="I55" s="127"/>
      <c r="J55" s="132"/>
      <c r="K55" s="160" t="str">
        <f t="shared" si="13"/>
        <v/>
      </c>
      <c r="L55" s="185" t="str">
        <f t="shared" si="14"/>
        <v/>
      </c>
      <c r="M55" s="185" t="str">
        <f t="shared" si="15"/>
        <v/>
      </c>
      <c r="N55" s="131"/>
      <c r="O55" s="127"/>
      <c r="P55" s="127"/>
      <c r="Q55" s="127"/>
      <c r="R55" s="132"/>
      <c r="S55" s="160" t="str">
        <f t="shared" si="0"/>
        <v/>
      </c>
      <c r="T55" s="185" t="str">
        <f t="shared" si="1"/>
        <v/>
      </c>
      <c r="U55" s="185" t="str">
        <f t="shared" si="2"/>
        <v/>
      </c>
      <c r="V55" s="131"/>
      <c r="W55" s="127"/>
      <c r="X55" s="132"/>
      <c r="Y55" s="160" t="str">
        <f t="shared" si="3"/>
        <v/>
      </c>
      <c r="Z55" s="160" t="str">
        <f t="shared" si="16"/>
        <v/>
      </c>
      <c r="AA55" s="160" t="str">
        <f t="shared" si="17"/>
        <v/>
      </c>
      <c r="AB55" s="131"/>
      <c r="AC55" s="127"/>
      <c r="AD55" s="132"/>
      <c r="AE55" s="160" t="str">
        <f t="shared" si="4"/>
        <v/>
      </c>
      <c r="AF55" s="160" t="str">
        <f t="shared" si="18"/>
        <v/>
      </c>
      <c r="AG55" s="160" t="str">
        <f t="shared" si="19"/>
        <v/>
      </c>
      <c r="AH55" s="131"/>
      <c r="AI55" s="127"/>
      <c r="AJ55" s="132"/>
      <c r="AK55" s="177" t="str">
        <f t="shared" si="5"/>
        <v/>
      </c>
      <c r="AL55" s="160" t="str">
        <f t="shared" si="6"/>
        <v/>
      </c>
      <c r="AM55" s="160" t="str">
        <f t="shared" si="7"/>
        <v/>
      </c>
      <c r="AN55" s="131"/>
      <c r="AO55" s="127"/>
      <c r="AP55" s="132"/>
      <c r="AQ55" s="164" t="str">
        <f t="shared" si="8"/>
        <v/>
      </c>
      <c r="AR55" s="155" t="str">
        <f t="shared" si="9"/>
        <v/>
      </c>
      <c r="AS55" s="188" t="str">
        <f t="shared" si="10"/>
        <v/>
      </c>
      <c r="AT55" s="160" t="str">
        <f t="shared" si="11"/>
        <v/>
      </c>
      <c r="AU55" s="160" t="str">
        <f t="shared" si="12"/>
        <v/>
      </c>
      <c r="AV55" s="168" t="str">
        <f t="shared" si="20"/>
        <v/>
      </c>
      <c r="AW55" s="171" t="str">
        <f>IF(AV55="","",IFERROR(INDEX(HELPER!$D$8:$D$48,IF(AV55&gt;=HELPER!$B$8,1,MATCH(AV55,HELPER!$B$8:$B$48,-1)+1)),""))</f>
        <v/>
      </c>
      <c r="AX55" s="174" t="str">
        <f>IF(AW55="","",IFERROR(VLOOKUP(AW55,HELPER!$F$8:$G$48,2,FALSE),""))</f>
        <v/>
      </c>
      <c r="AY55" s="147"/>
      <c r="AZ55" s="91"/>
    </row>
    <row r="56" spans="1:52" ht="15" customHeight="1" x14ac:dyDescent="0.3">
      <c r="A56" s="147"/>
      <c r="B56" s="66">
        <v>38</v>
      </c>
      <c r="C56" s="229" t="str">
        <f>IF('INPUT DATA'!K48="","",'INPUT DATA'!K48)</f>
        <v/>
      </c>
      <c r="D56" s="226"/>
      <c r="E56" s="226"/>
      <c r="F56" s="131"/>
      <c r="G56" s="127"/>
      <c r="H56" s="127"/>
      <c r="I56" s="127"/>
      <c r="J56" s="132"/>
      <c r="K56" s="160" t="str">
        <f t="shared" si="13"/>
        <v/>
      </c>
      <c r="L56" s="185" t="str">
        <f t="shared" si="14"/>
        <v/>
      </c>
      <c r="M56" s="185" t="str">
        <f t="shared" si="15"/>
        <v/>
      </c>
      <c r="N56" s="131"/>
      <c r="O56" s="127"/>
      <c r="P56" s="127"/>
      <c r="Q56" s="127"/>
      <c r="R56" s="132"/>
      <c r="S56" s="160" t="str">
        <f t="shared" si="0"/>
        <v/>
      </c>
      <c r="T56" s="185" t="str">
        <f t="shared" si="1"/>
        <v/>
      </c>
      <c r="U56" s="185" t="str">
        <f t="shared" si="2"/>
        <v/>
      </c>
      <c r="V56" s="131"/>
      <c r="W56" s="127"/>
      <c r="X56" s="132"/>
      <c r="Y56" s="160" t="str">
        <f t="shared" si="3"/>
        <v/>
      </c>
      <c r="Z56" s="160" t="str">
        <f t="shared" si="16"/>
        <v/>
      </c>
      <c r="AA56" s="160" t="str">
        <f t="shared" si="17"/>
        <v/>
      </c>
      <c r="AB56" s="131"/>
      <c r="AC56" s="127"/>
      <c r="AD56" s="132"/>
      <c r="AE56" s="160" t="str">
        <f t="shared" si="4"/>
        <v/>
      </c>
      <c r="AF56" s="160" t="str">
        <f t="shared" si="18"/>
        <v/>
      </c>
      <c r="AG56" s="160" t="str">
        <f t="shared" si="19"/>
        <v/>
      </c>
      <c r="AH56" s="131"/>
      <c r="AI56" s="127"/>
      <c r="AJ56" s="132"/>
      <c r="AK56" s="177" t="str">
        <f t="shared" si="5"/>
        <v/>
      </c>
      <c r="AL56" s="160" t="str">
        <f t="shared" si="6"/>
        <v/>
      </c>
      <c r="AM56" s="160" t="str">
        <f t="shared" si="7"/>
        <v/>
      </c>
      <c r="AN56" s="131"/>
      <c r="AO56" s="127"/>
      <c r="AP56" s="132"/>
      <c r="AQ56" s="164" t="str">
        <f t="shared" si="8"/>
        <v/>
      </c>
      <c r="AR56" s="155" t="str">
        <f t="shared" si="9"/>
        <v/>
      </c>
      <c r="AS56" s="188" t="str">
        <f t="shared" si="10"/>
        <v/>
      </c>
      <c r="AT56" s="160" t="str">
        <f t="shared" si="11"/>
        <v/>
      </c>
      <c r="AU56" s="160" t="str">
        <f t="shared" si="12"/>
        <v/>
      </c>
      <c r="AV56" s="168" t="str">
        <f t="shared" si="20"/>
        <v/>
      </c>
      <c r="AW56" s="171" t="str">
        <f>IF(AV56="","",IFERROR(INDEX(HELPER!$D$8:$D$48,IF(AV56&gt;=HELPER!$B$8,1,MATCH(AV56,HELPER!$B$8:$B$48,-1)+1)),""))</f>
        <v/>
      </c>
      <c r="AX56" s="174" t="str">
        <f>IF(AW56="","",IFERROR(VLOOKUP(AW56,HELPER!$F$8:$G$48,2,FALSE),""))</f>
        <v/>
      </c>
      <c r="AY56" s="147"/>
      <c r="AZ56" s="91"/>
    </row>
    <row r="57" spans="1:52" ht="15" customHeight="1" x14ac:dyDescent="0.3">
      <c r="A57" s="147"/>
      <c r="B57" s="66">
        <v>39</v>
      </c>
      <c r="C57" s="229" t="str">
        <f>IF('INPUT DATA'!K49="","",'INPUT DATA'!K49)</f>
        <v/>
      </c>
      <c r="D57" s="226"/>
      <c r="E57" s="226"/>
      <c r="F57" s="131"/>
      <c r="G57" s="127"/>
      <c r="H57" s="127"/>
      <c r="I57" s="127"/>
      <c r="J57" s="132"/>
      <c r="K57" s="160" t="str">
        <f t="shared" si="13"/>
        <v/>
      </c>
      <c r="L57" s="185" t="str">
        <f t="shared" si="14"/>
        <v/>
      </c>
      <c r="M57" s="185" t="str">
        <f t="shared" si="15"/>
        <v/>
      </c>
      <c r="N57" s="131"/>
      <c r="O57" s="127"/>
      <c r="P57" s="127"/>
      <c r="Q57" s="127"/>
      <c r="R57" s="132"/>
      <c r="S57" s="160" t="str">
        <f t="shared" si="0"/>
        <v/>
      </c>
      <c r="T57" s="185" t="str">
        <f t="shared" si="1"/>
        <v/>
      </c>
      <c r="U57" s="185" t="str">
        <f t="shared" si="2"/>
        <v/>
      </c>
      <c r="V57" s="131"/>
      <c r="W57" s="127"/>
      <c r="X57" s="132"/>
      <c r="Y57" s="160" t="str">
        <f t="shared" si="3"/>
        <v/>
      </c>
      <c r="Z57" s="160" t="str">
        <f t="shared" si="16"/>
        <v/>
      </c>
      <c r="AA57" s="160" t="str">
        <f t="shared" si="17"/>
        <v/>
      </c>
      <c r="AB57" s="131"/>
      <c r="AC57" s="127"/>
      <c r="AD57" s="132"/>
      <c r="AE57" s="160" t="str">
        <f t="shared" si="4"/>
        <v/>
      </c>
      <c r="AF57" s="160" t="str">
        <f t="shared" si="18"/>
        <v/>
      </c>
      <c r="AG57" s="160" t="str">
        <f t="shared" si="19"/>
        <v/>
      </c>
      <c r="AH57" s="131"/>
      <c r="AI57" s="127"/>
      <c r="AJ57" s="132"/>
      <c r="AK57" s="177" t="str">
        <f t="shared" si="5"/>
        <v/>
      </c>
      <c r="AL57" s="160" t="str">
        <f t="shared" si="6"/>
        <v/>
      </c>
      <c r="AM57" s="160" t="str">
        <f t="shared" si="7"/>
        <v/>
      </c>
      <c r="AN57" s="131"/>
      <c r="AO57" s="127"/>
      <c r="AP57" s="132"/>
      <c r="AQ57" s="164" t="str">
        <f t="shared" si="8"/>
        <v/>
      </c>
      <c r="AR57" s="155" t="str">
        <f t="shared" si="9"/>
        <v/>
      </c>
      <c r="AS57" s="188" t="str">
        <f t="shared" si="10"/>
        <v/>
      </c>
      <c r="AT57" s="160" t="str">
        <f t="shared" si="11"/>
        <v/>
      </c>
      <c r="AU57" s="160" t="str">
        <f t="shared" si="12"/>
        <v/>
      </c>
      <c r="AV57" s="168" t="str">
        <f t="shared" si="20"/>
        <v/>
      </c>
      <c r="AW57" s="171" t="str">
        <f>IF(AV57="","",IFERROR(INDEX(HELPER!$D$8:$D$48,IF(AV57&gt;=HELPER!$B$8,1,MATCH(AV57,HELPER!$B$8:$B$48,-1)+1)),""))</f>
        <v/>
      </c>
      <c r="AX57" s="174" t="str">
        <f>IF(AW57="","",IFERROR(VLOOKUP(AW57,HELPER!$F$8:$G$48,2,FALSE),""))</f>
        <v/>
      </c>
      <c r="AY57" s="147"/>
      <c r="AZ57" s="91"/>
    </row>
    <row r="58" spans="1:52" ht="15" customHeight="1" x14ac:dyDescent="0.3">
      <c r="A58" s="147"/>
      <c r="B58" s="66">
        <v>40</v>
      </c>
      <c r="C58" s="229" t="str">
        <f>IF('INPUT DATA'!K50="","",'INPUT DATA'!K50)</f>
        <v/>
      </c>
      <c r="D58" s="226"/>
      <c r="E58" s="226"/>
      <c r="F58" s="131"/>
      <c r="G58" s="127"/>
      <c r="H58" s="127"/>
      <c r="I58" s="127"/>
      <c r="J58" s="132"/>
      <c r="K58" s="160" t="str">
        <f t="shared" si="13"/>
        <v/>
      </c>
      <c r="L58" s="185" t="str">
        <f t="shared" si="14"/>
        <v/>
      </c>
      <c r="M58" s="185" t="str">
        <f t="shared" si="15"/>
        <v/>
      </c>
      <c r="N58" s="131"/>
      <c r="O58" s="127"/>
      <c r="P58" s="127"/>
      <c r="Q58" s="127"/>
      <c r="R58" s="132"/>
      <c r="S58" s="160" t="str">
        <f t="shared" si="0"/>
        <v/>
      </c>
      <c r="T58" s="185" t="str">
        <f t="shared" si="1"/>
        <v/>
      </c>
      <c r="U58" s="185" t="str">
        <f t="shared" si="2"/>
        <v/>
      </c>
      <c r="V58" s="131"/>
      <c r="W58" s="127"/>
      <c r="X58" s="132"/>
      <c r="Y58" s="160" t="str">
        <f t="shared" si="3"/>
        <v/>
      </c>
      <c r="Z58" s="160" t="str">
        <f t="shared" si="16"/>
        <v/>
      </c>
      <c r="AA58" s="160" t="str">
        <f t="shared" si="17"/>
        <v/>
      </c>
      <c r="AB58" s="131"/>
      <c r="AC58" s="127"/>
      <c r="AD58" s="132"/>
      <c r="AE58" s="160" t="str">
        <f t="shared" si="4"/>
        <v/>
      </c>
      <c r="AF58" s="160" t="str">
        <f t="shared" si="18"/>
        <v/>
      </c>
      <c r="AG58" s="160" t="str">
        <f t="shared" si="19"/>
        <v/>
      </c>
      <c r="AH58" s="131"/>
      <c r="AI58" s="127"/>
      <c r="AJ58" s="132"/>
      <c r="AK58" s="177" t="str">
        <f t="shared" si="5"/>
        <v/>
      </c>
      <c r="AL58" s="160" t="str">
        <f t="shared" si="6"/>
        <v/>
      </c>
      <c r="AM58" s="160" t="str">
        <f t="shared" si="7"/>
        <v/>
      </c>
      <c r="AN58" s="131"/>
      <c r="AO58" s="127"/>
      <c r="AP58" s="132"/>
      <c r="AQ58" s="164" t="str">
        <f t="shared" si="8"/>
        <v/>
      </c>
      <c r="AR58" s="155" t="str">
        <f t="shared" si="9"/>
        <v/>
      </c>
      <c r="AS58" s="188" t="str">
        <f t="shared" si="10"/>
        <v/>
      </c>
      <c r="AT58" s="160" t="str">
        <f t="shared" si="11"/>
        <v/>
      </c>
      <c r="AU58" s="160" t="str">
        <f t="shared" si="12"/>
        <v/>
      </c>
      <c r="AV58" s="168" t="str">
        <f t="shared" si="20"/>
        <v/>
      </c>
      <c r="AW58" s="171" t="str">
        <f>IF(AV58="","",IFERROR(INDEX(HELPER!$D$8:$D$48,IF(AV58&gt;=HELPER!$B$8,1,MATCH(AV58,HELPER!$B$8:$B$48,-1)+1)),""))</f>
        <v/>
      </c>
      <c r="AX58" s="174" t="str">
        <f>IF(AW58="","",IFERROR(VLOOKUP(AW58,HELPER!$F$8:$G$48,2,FALSE),""))</f>
        <v/>
      </c>
      <c r="AY58" s="147"/>
      <c r="AZ58" s="91"/>
    </row>
    <row r="59" spans="1:52" ht="15" customHeight="1" x14ac:dyDescent="0.3">
      <c r="A59" s="147"/>
      <c r="B59" s="66">
        <v>41</v>
      </c>
      <c r="C59" s="229" t="str">
        <f>IF('INPUT DATA'!K51="","",'INPUT DATA'!K51)</f>
        <v/>
      </c>
      <c r="D59" s="226"/>
      <c r="E59" s="226"/>
      <c r="F59" s="131"/>
      <c r="G59" s="127"/>
      <c r="H59" s="127"/>
      <c r="I59" s="127"/>
      <c r="J59" s="132"/>
      <c r="K59" s="160" t="str">
        <f t="shared" si="13"/>
        <v/>
      </c>
      <c r="L59" s="185" t="str">
        <f t="shared" si="14"/>
        <v/>
      </c>
      <c r="M59" s="185" t="str">
        <f t="shared" si="15"/>
        <v/>
      </c>
      <c r="N59" s="131"/>
      <c r="O59" s="127"/>
      <c r="P59" s="127"/>
      <c r="Q59" s="127"/>
      <c r="R59" s="132"/>
      <c r="S59" s="160" t="str">
        <f t="shared" si="0"/>
        <v/>
      </c>
      <c r="T59" s="185" t="str">
        <f t="shared" si="1"/>
        <v/>
      </c>
      <c r="U59" s="185" t="str">
        <f t="shared" si="2"/>
        <v/>
      </c>
      <c r="V59" s="131"/>
      <c r="W59" s="127"/>
      <c r="X59" s="132"/>
      <c r="Y59" s="160" t="str">
        <f t="shared" si="3"/>
        <v/>
      </c>
      <c r="Z59" s="160" t="str">
        <f t="shared" si="16"/>
        <v/>
      </c>
      <c r="AA59" s="160" t="str">
        <f t="shared" si="17"/>
        <v/>
      </c>
      <c r="AB59" s="131"/>
      <c r="AC59" s="127"/>
      <c r="AD59" s="132"/>
      <c r="AE59" s="160" t="str">
        <f t="shared" si="4"/>
        <v/>
      </c>
      <c r="AF59" s="160" t="str">
        <f t="shared" si="18"/>
        <v/>
      </c>
      <c r="AG59" s="160" t="str">
        <f t="shared" si="19"/>
        <v/>
      </c>
      <c r="AH59" s="131"/>
      <c r="AI59" s="127"/>
      <c r="AJ59" s="132"/>
      <c r="AK59" s="177" t="str">
        <f t="shared" si="5"/>
        <v/>
      </c>
      <c r="AL59" s="160" t="str">
        <f t="shared" si="6"/>
        <v/>
      </c>
      <c r="AM59" s="160" t="str">
        <f t="shared" si="7"/>
        <v/>
      </c>
      <c r="AN59" s="131"/>
      <c r="AO59" s="127"/>
      <c r="AP59" s="132"/>
      <c r="AQ59" s="164" t="str">
        <f t="shared" si="8"/>
        <v/>
      </c>
      <c r="AR59" s="155" t="str">
        <f t="shared" si="9"/>
        <v/>
      </c>
      <c r="AS59" s="188" t="str">
        <f t="shared" si="10"/>
        <v/>
      </c>
      <c r="AT59" s="160" t="str">
        <f t="shared" si="11"/>
        <v/>
      </c>
      <c r="AU59" s="160" t="str">
        <f t="shared" si="12"/>
        <v/>
      </c>
      <c r="AV59" s="168" t="str">
        <f t="shared" si="20"/>
        <v/>
      </c>
      <c r="AW59" s="171" t="str">
        <f>IF(AV59="","",IFERROR(INDEX(HELPER!$D$8:$D$48,IF(AV59&gt;=HELPER!$B$8,1,MATCH(AV59,HELPER!$B$8:$B$48,-1)+1)),""))</f>
        <v/>
      </c>
      <c r="AX59" s="174" t="str">
        <f>IF(AW59="","",IFERROR(VLOOKUP(AW59,HELPER!$F$8:$G$48,2,FALSE),""))</f>
        <v/>
      </c>
      <c r="AY59" s="147"/>
      <c r="AZ59" s="91"/>
    </row>
    <row r="60" spans="1:52" ht="15" customHeight="1" x14ac:dyDescent="0.3">
      <c r="A60" s="147"/>
      <c r="B60" s="66">
        <v>42</v>
      </c>
      <c r="C60" s="229" t="str">
        <f>IF('INPUT DATA'!K52="","",'INPUT DATA'!K52)</f>
        <v/>
      </c>
      <c r="D60" s="226"/>
      <c r="E60" s="226"/>
      <c r="F60" s="131"/>
      <c r="G60" s="127"/>
      <c r="H60" s="127"/>
      <c r="I60" s="127"/>
      <c r="J60" s="132"/>
      <c r="K60" s="160" t="str">
        <f t="shared" si="13"/>
        <v/>
      </c>
      <c r="L60" s="185" t="str">
        <f t="shared" si="14"/>
        <v/>
      </c>
      <c r="M60" s="185" t="str">
        <f t="shared" si="15"/>
        <v/>
      </c>
      <c r="N60" s="131"/>
      <c r="O60" s="127"/>
      <c r="P60" s="127"/>
      <c r="Q60" s="127"/>
      <c r="R60" s="132"/>
      <c r="S60" s="160" t="str">
        <f t="shared" si="0"/>
        <v/>
      </c>
      <c r="T60" s="185" t="str">
        <f t="shared" si="1"/>
        <v/>
      </c>
      <c r="U60" s="185" t="str">
        <f t="shared" si="2"/>
        <v/>
      </c>
      <c r="V60" s="131"/>
      <c r="W60" s="127"/>
      <c r="X60" s="132"/>
      <c r="Y60" s="160" t="str">
        <f t="shared" si="3"/>
        <v/>
      </c>
      <c r="Z60" s="160" t="str">
        <f t="shared" si="16"/>
        <v/>
      </c>
      <c r="AA60" s="160" t="str">
        <f t="shared" si="17"/>
        <v/>
      </c>
      <c r="AB60" s="131"/>
      <c r="AC60" s="127"/>
      <c r="AD60" s="132"/>
      <c r="AE60" s="160" t="str">
        <f t="shared" si="4"/>
        <v/>
      </c>
      <c r="AF60" s="160" t="str">
        <f t="shared" si="18"/>
        <v/>
      </c>
      <c r="AG60" s="160" t="str">
        <f t="shared" si="19"/>
        <v/>
      </c>
      <c r="AH60" s="131"/>
      <c r="AI60" s="127"/>
      <c r="AJ60" s="132"/>
      <c r="AK60" s="177" t="str">
        <f t="shared" si="5"/>
        <v/>
      </c>
      <c r="AL60" s="160" t="str">
        <f t="shared" si="6"/>
        <v/>
      </c>
      <c r="AM60" s="160" t="str">
        <f t="shared" si="7"/>
        <v/>
      </c>
      <c r="AN60" s="131"/>
      <c r="AO60" s="127"/>
      <c r="AP60" s="132"/>
      <c r="AQ60" s="164" t="str">
        <f t="shared" si="8"/>
        <v/>
      </c>
      <c r="AR60" s="155" t="str">
        <f t="shared" si="9"/>
        <v/>
      </c>
      <c r="AS60" s="188" t="str">
        <f t="shared" si="10"/>
        <v/>
      </c>
      <c r="AT60" s="160" t="str">
        <f t="shared" si="11"/>
        <v/>
      </c>
      <c r="AU60" s="160" t="str">
        <f t="shared" si="12"/>
        <v/>
      </c>
      <c r="AV60" s="168" t="str">
        <f t="shared" si="20"/>
        <v/>
      </c>
      <c r="AW60" s="171" t="str">
        <f>IF(AV60="","",IFERROR(INDEX(HELPER!$D$8:$D$48,IF(AV60&gt;=HELPER!$B$8,1,MATCH(AV60,HELPER!$B$8:$B$48,-1)+1)),""))</f>
        <v/>
      </c>
      <c r="AX60" s="174" t="str">
        <f>IF(AW60="","",IFERROR(VLOOKUP(AW60,HELPER!$F$8:$G$48,2,FALSE),""))</f>
        <v/>
      </c>
      <c r="AY60" s="147"/>
      <c r="AZ60" s="91"/>
    </row>
    <row r="61" spans="1:52" ht="15" customHeight="1" x14ac:dyDescent="0.3">
      <c r="A61" s="147"/>
      <c r="B61" s="66">
        <v>43</v>
      </c>
      <c r="C61" s="229" t="str">
        <f>IF('INPUT DATA'!K53="","",'INPUT DATA'!K53)</f>
        <v/>
      </c>
      <c r="D61" s="226"/>
      <c r="E61" s="226"/>
      <c r="F61" s="131"/>
      <c r="G61" s="127"/>
      <c r="H61" s="127"/>
      <c r="I61" s="127"/>
      <c r="J61" s="132"/>
      <c r="K61" s="160" t="str">
        <f t="shared" si="13"/>
        <v/>
      </c>
      <c r="L61" s="185" t="str">
        <f t="shared" si="14"/>
        <v/>
      </c>
      <c r="M61" s="185" t="str">
        <f t="shared" si="15"/>
        <v/>
      </c>
      <c r="N61" s="131"/>
      <c r="O61" s="127"/>
      <c r="P61" s="127"/>
      <c r="Q61" s="127"/>
      <c r="R61" s="132"/>
      <c r="S61" s="160" t="str">
        <f t="shared" si="0"/>
        <v/>
      </c>
      <c r="T61" s="185" t="str">
        <f t="shared" si="1"/>
        <v/>
      </c>
      <c r="U61" s="185" t="str">
        <f t="shared" si="2"/>
        <v/>
      </c>
      <c r="V61" s="131"/>
      <c r="W61" s="127"/>
      <c r="X61" s="132"/>
      <c r="Y61" s="160" t="str">
        <f t="shared" si="3"/>
        <v/>
      </c>
      <c r="Z61" s="160" t="str">
        <f t="shared" si="16"/>
        <v/>
      </c>
      <c r="AA61" s="160" t="str">
        <f t="shared" si="17"/>
        <v/>
      </c>
      <c r="AB61" s="131"/>
      <c r="AC61" s="127"/>
      <c r="AD61" s="132"/>
      <c r="AE61" s="160" t="str">
        <f t="shared" si="4"/>
        <v/>
      </c>
      <c r="AF61" s="160" t="str">
        <f t="shared" si="18"/>
        <v/>
      </c>
      <c r="AG61" s="160" t="str">
        <f t="shared" si="19"/>
        <v/>
      </c>
      <c r="AH61" s="131"/>
      <c r="AI61" s="127"/>
      <c r="AJ61" s="132"/>
      <c r="AK61" s="177" t="str">
        <f t="shared" si="5"/>
        <v/>
      </c>
      <c r="AL61" s="160" t="str">
        <f t="shared" si="6"/>
        <v/>
      </c>
      <c r="AM61" s="160" t="str">
        <f t="shared" si="7"/>
        <v/>
      </c>
      <c r="AN61" s="131"/>
      <c r="AO61" s="127"/>
      <c r="AP61" s="132"/>
      <c r="AQ61" s="164" t="str">
        <f t="shared" si="8"/>
        <v/>
      </c>
      <c r="AR61" s="155" t="str">
        <f t="shared" si="9"/>
        <v/>
      </c>
      <c r="AS61" s="188" t="str">
        <f t="shared" si="10"/>
        <v/>
      </c>
      <c r="AT61" s="160" t="str">
        <f t="shared" si="11"/>
        <v/>
      </c>
      <c r="AU61" s="160" t="str">
        <f t="shared" si="12"/>
        <v/>
      </c>
      <c r="AV61" s="168" t="str">
        <f t="shared" si="20"/>
        <v/>
      </c>
      <c r="AW61" s="171" t="str">
        <f>IF(AV61="","",IFERROR(INDEX(HELPER!$D$8:$D$48,IF(AV61&gt;=HELPER!$B$8,1,MATCH(AV61,HELPER!$B$8:$B$48,-1)+1)),""))</f>
        <v/>
      </c>
      <c r="AX61" s="174" t="str">
        <f>IF(AW61="","",IFERROR(VLOOKUP(AW61,HELPER!$F$8:$G$48,2,FALSE),""))</f>
        <v/>
      </c>
      <c r="AY61" s="147"/>
      <c r="AZ61" s="91"/>
    </row>
    <row r="62" spans="1:52" ht="15" customHeight="1" x14ac:dyDescent="0.3">
      <c r="A62" s="147"/>
      <c r="B62" s="66">
        <v>44</v>
      </c>
      <c r="C62" s="229" t="str">
        <f>IF('INPUT DATA'!K54="","",'INPUT DATA'!K54)</f>
        <v/>
      </c>
      <c r="D62" s="226"/>
      <c r="E62" s="226"/>
      <c r="F62" s="131"/>
      <c r="G62" s="127"/>
      <c r="H62" s="127"/>
      <c r="I62" s="127"/>
      <c r="J62" s="132"/>
      <c r="K62" s="160" t="str">
        <f t="shared" si="13"/>
        <v/>
      </c>
      <c r="L62" s="185" t="str">
        <f t="shared" si="14"/>
        <v/>
      </c>
      <c r="M62" s="185" t="str">
        <f t="shared" si="15"/>
        <v/>
      </c>
      <c r="N62" s="131"/>
      <c r="O62" s="127"/>
      <c r="P62" s="127"/>
      <c r="Q62" s="127"/>
      <c r="R62" s="132"/>
      <c r="S62" s="160" t="str">
        <f t="shared" si="0"/>
        <v/>
      </c>
      <c r="T62" s="185" t="str">
        <f t="shared" si="1"/>
        <v/>
      </c>
      <c r="U62" s="185" t="str">
        <f t="shared" si="2"/>
        <v/>
      </c>
      <c r="V62" s="131"/>
      <c r="W62" s="127"/>
      <c r="X62" s="132"/>
      <c r="Y62" s="160" t="str">
        <f t="shared" si="3"/>
        <v/>
      </c>
      <c r="Z62" s="160" t="str">
        <f t="shared" si="16"/>
        <v/>
      </c>
      <c r="AA62" s="160" t="str">
        <f t="shared" si="17"/>
        <v/>
      </c>
      <c r="AB62" s="131"/>
      <c r="AC62" s="127"/>
      <c r="AD62" s="132"/>
      <c r="AE62" s="160" t="str">
        <f t="shared" si="4"/>
        <v/>
      </c>
      <c r="AF62" s="160" t="str">
        <f t="shared" si="18"/>
        <v/>
      </c>
      <c r="AG62" s="160" t="str">
        <f t="shared" si="19"/>
        <v/>
      </c>
      <c r="AH62" s="131"/>
      <c r="AI62" s="127"/>
      <c r="AJ62" s="132"/>
      <c r="AK62" s="177" t="str">
        <f t="shared" si="5"/>
        <v/>
      </c>
      <c r="AL62" s="160" t="str">
        <f t="shared" si="6"/>
        <v/>
      </c>
      <c r="AM62" s="160" t="str">
        <f t="shared" si="7"/>
        <v/>
      </c>
      <c r="AN62" s="131"/>
      <c r="AO62" s="127"/>
      <c r="AP62" s="132"/>
      <c r="AQ62" s="164" t="str">
        <f t="shared" si="8"/>
        <v/>
      </c>
      <c r="AR62" s="155" t="str">
        <f t="shared" si="9"/>
        <v/>
      </c>
      <c r="AS62" s="188" t="str">
        <f t="shared" si="10"/>
        <v/>
      </c>
      <c r="AT62" s="160" t="str">
        <f t="shared" si="11"/>
        <v/>
      </c>
      <c r="AU62" s="160" t="str">
        <f t="shared" si="12"/>
        <v/>
      </c>
      <c r="AV62" s="168" t="str">
        <f t="shared" si="20"/>
        <v/>
      </c>
      <c r="AW62" s="171" t="str">
        <f>IF(AV62="","",IFERROR(INDEX(HELPER!$D$8:$D$48,IF(AV62&gt;=HELPER!$B$8,1,MATCH(AV62,HELPER!$B$8:$B$48,-1)+1)),""))</f>
        <v/>
      </c>
      <c r="AX62" s="174" t="str">
        <f>IF(AW62="","",IFERROR(VLOOKUP(AW62,HELPER!$F$8:$G$48,2,FALSE),""))</f>
        <v/>
      </c>
      <c r="AY62" s="147"/>
      <c r="AZ62" s="91"/>
    </row>
    <row r="63" spans="1:52" ht="15" customHeight="1" x14ac:dyDescent="0.3">
      <c r="A63" s="147"/>
      <c r="B63" s="66">
        <v>45</v>
      </c>
      <c r="C63" s="229" t="str">
        <f>IF('INPUT DATA'!K55="","",'INPUT DATA'!K55)</f>
        <v/>
      </c>
      <c r="D63" s="226"/>
      <c r="E63" s="226"/>
      <c r="F63" s="131"/>
      <c r="G63" s="127"/>
      <c r="H63" s="127"/>
      <c r="I63" s="127"/>
      <c r="J63" s="132"/>
      <c r="K63" s="160" t="str">
        <f t="shared" si="13"/>
        <v/>
      </c>
      <c r="L63" s="185" t="str">
        <f t="shared" si="14"/>
        <v/>
      </c>
      <c r="M63" s="185" t="str">
        <f t="shared" si="15"/>
        <v/>
      </c>
      <c r="N63" s="131"/>
      <c r="O63" s="127"/>
      <c r="P63" s="127"/>
      <c r="Q63" s="127"/>
      <c r="R63" s="132"/>
      <c r="S63" s="160" t="str">
        <f t="shared" si="0"/>
        <v/>
      </c>
      <c r="T63" s="185" t="str">
        <f t="shared" si="1"/>
        <v/>
      </c>
      <c r="U63" s="185" t="str">
        <f t="shared" si="2"/>
        <v/>
      </c>
      <c r="V63" s="131"/>
      <c r="W63" s="127"/>
      <c r="X63" s="132"/>
      <c r="Y63" s="160" t="str">
        <f t="shared" si="3"/>
        <v/>
      </c>
      <c r="Z63" s="160" t="str">
        <f t="shared" si="16"/>
        <v/>
      </c>
      <c r="AA63" s="160" t="str">
        <f t="shared" si="17"/>
        <v/>
      </c>
      <c r="AB63" s="131"/>
      <c r="AC63" s="127"/>
      <c r="AD63" s="132"/>
      <c r="AE63" s="160" t="str">
        <f t="shared" si="4"/>
        <v/>
      </c>
      <c r="AF63" s="160" t="str">
        <f t="shared" si="18"/>
        <v/>
      </c>
      <c r="AG63" s="160" t="str">
        <f t="shared" si="19"/>
        <v/>
      </c>
      <c r="AH63" s="131"/>
      <c r="AI63" s="127"/>
      <c r="AJ63" s="132"/>
      <c r="AK63" s="177" t="str">
        <f t="shared" si="5"/>
        <v/>
      </c>
      <c r="AL63" s="160" t="str">
        <f t="shared" si="6"/>
        <v/>
      </c>
      <c r="AM63" s="160" t="str">
        <f t="shared" si="7"/>
        <v/>
      </c>
      <c r="AN63" s="131"/>
      <c r="AO63" s="127"/>
      <c r="AP63" s="132"/>
      <c r="AQ63" s="164" t="str">
        <f t="shared" si="8"/>
        <v/>
      </c>
      <c r="AR63" s="155" t="str">
        <f t="shared" si="9"/>
        <v/>
      </c>
      <c r="AS63" s="188" t="str">
        <f t="shared" si="10"/>
        <v/>
      </c>
      <c r="AT63" s="160" t="str">
        <f t="shared" si="11"/>
        <v/>
      </c>
      <c r="AU63" s="160" t="str">
        <f t="shared" si="12"/>
        <v/>
      </c>
      <c r="AV63" s="168" t="str">
        <f t="shared" si="20"/>
        <v/>
      </c>
      <c r="AW63" s="171" t="str">
        <f>IF(AV63="","",IFERROR(INDEX(HELPER!$D$8:$D$48,IF(AV63&gt;=HELPER!$B$8,1,MATCH(AV63,HELPER!$B$8:$B$48,-1)+1)),""))</f>
        <v/>
      </c>
      <c r="AX63" s="174" t="str">
        <f>IF(AW63="","",IFERROR(VLOOKUP(AW63,HELPER!$F$8:$G$48,2,FALSE),""))</f>
        <v/>
      </c>
      <c r="AY63" s="147"/>
      <c r="AZ63" s="91"/>
    </row>
    <row r="64" spans="1:52" ht="15" customHeight="1" x14ac:dyDescent="0.3">
      <c r="A64" s="147"/>
      <c r="B64" s="66">
        <v>46</v>
      </c>
      <c r="C64" s="229" t="str">
        <f>IF('INPUT DATA'!K56="","",'INPUT DATA'!K56)</f>
        <v/>
      </c>
      <c r="D64" s="226"/>
      <c r="E64" s="226"/>
      <c r="F64" s="131"/>
      <c r="G64" s="127"/>
      <c r="H64" s="127"/>
      <c r="I64" s="127"/>
      <c r="J64" s="132"/>
      <c r="K64" s="160" t="str">
        <f t="shared" si="13"/>
        <v/>
      </c>
      <c r="L64" s="185" t="str">
        <f t="shared" si="14"/>
        <v/>
      </c>
      <c r="M64" s="185" t="str">
        <f t="shared" si="15"/>
        <v/>
      </c>
      <c r="N64" s="131"/>
      <c r="O64" s="127"/>
      <c r="P64" s="127"/>
      <c r="Q64" s="127"/>
      <c r="R64" s="132"/>
      <c r="S64" s="160" t="str">
        <f t="shared" si="0"/>
        <v/>
      </c>
      <c r="T64" s="185" t="str">
        <f t="shared" si="1"/>
        <v/>
      </c>
      <c r="U64" s="185" t="str">
        <f t="shared" si="2"/>
        <v/>
      </c>
      <c r="V64" s="131"/>
      <c r="W64" s="127"/>
      <c r="X64" s="132"/>
      <c r="Y64" s="160" t="str">
        <f t="shared" si="3"/>
        <v/>
      </c>
      <c r="Z64" s="160" t="str">
        <f t="shared" si="16"/>
        <v/>
      </c>
      <c r="AA64" s="160" t="str">
        <f t="shared" si="17"/>
        <v/>
      </c>
      <c r="AB64" s="131"/>
      <c r="AC64" s="127"/>
      <c r="AD64" s="132"/>
      <c r="AE64" s="160" t="str">
        <f t="shared" si="4"/>
        <v/>
      </c>
      <c r="AF64" s="160" t="str">
        <f t="shared" si="18"/>
        <v/>
      </c>
      <c r="AG64" s="160" t="str">
        <f t="shared" si="19"/>
        <v/>
      </c>
      <c r="AH64" s="131"/>
      <c r="AI64" s="127"/>
      <c r="AJ64" s="132"/>
      <c r="AK64" s="177" t="str">
        <f t="shared" si="5"/>
        <v/>
      </c>
      <c r="AL64" s="160" t="str">
        <f t="shared" si="6"/>
        <v/>
      </c>
      <c r="AM64" s="160" t="str">
        <f t="shared" si="7"/>
        <v/>
      </c>
      <c r="AN64" s="131"/>
      <c r="AO64" s="127"/>
      <c r="AP64" s="132"/>
      <c r="AQ64" s="164" t="str">
        <f t="shared" si="8"/>
        <v/>
      </c>
      <c r="AR64" s="155" t="str">
        <f t="shared" si="9"/>
        <v/>
      </c>
      <c r="AS64" s="188" t="str">
        <f t="shared" si="10"/>
        <v/>
      </c>
      <c r="AT64" s="160" t="str">
        <f t="shared" si="11"/>
        <v/>
      </c>
      <c r="AU64" s="160" t="str">
        <f t="shared" si="12"/>
        <v/>
      </c>
      <c r="AV64" s="168" t="str">
        <f t="shared" si="20"/>
        <v/>
      </c>
      <c r="AW64" s="171" t="str">
        <f>IF(AV64="","",IFERROR(INDEX(HELPER!$D$8:$D$48,IF(AV64&gt;=HELPER!$B$8,1,MATCH(AV64,HELPER!$B$8:$B$48,-1)+1)),""))</f>
        <v/>
      </c>
      <c r="AX64" s="174" t="str">
        <f>IF(AW64="","",IFERROR(VLOOKUP(AW64,HELPER!$F$8:$G$48,2,FALSE),""))</f>
        <v/>
      </c>
      <c r="AY64" s="147"/>
      <c r="AZ64" s="91"/>
    </row>
    <row r="65" spans="1:52" ht="15" customHeight="1" x14ac:dyDescent="0.3">
      <c r="A65" s="147"/>
      <c r="B65" s="66">
        <v>47</v>
      </c>
      <c r="C65" s="229" t="str">
        <f>IF('INPUT DATA'!K57="","",'INPUT DATA'!K57)</f>
        <v/>
      </c>
      <c r="D65" s="226"/>
      <c r="E65" s="226"/>
      <c r="F65" s="131"/>
      <c r="G65" s="127"/>
      <c r="H65" s="127"/>
      <c r="I65" s="127"/>
      <c r="J65" s="132"/>
      <c r="K65" s="160" t="str">
        <f t="shared" si="13"/>
        <v/>
      </c>
      <c r="L65" s="185" t="str">
        <f t="shared" si="14"/>
        <v/>
      </c>
      <c r="M65" s="185" t="str">
        <f t="shared" si="15"/>
        <v/>
      </c>
      <c r="N65" s="131"/>
      <c r="O65" s="127"/>
      <c r="P65" s="127"/>
      <c r="Q65" s="127"/>
      <c r="R65" s="132"/>
      <c r="S65" s="160" t="str">
        <f t="shared" si="0"/>
        <v/>
      </c>
      <c r="T65" s="185" t="str">
        <f t="shared" si="1"/>
        <v/>
      </c>
      <c r="U65" s="185" t="str">
        <f t="shared" si="2"/>
        <v/>
      </c>
      <c r="V65" s="131"/>
      <c r="W65" s="127"/>
      <c r="X65" s="132"/>
      <c r="Y65" s="160" t="str">
        <f t="shared" si="3"/>
        <v/>
      </c>
      <c r="Z65" s="160" t="str">
        <f t="shared" si="16"/>
        <v/>
      </c>
      <c r="AA65" s="160" t="str">
        <f t="shared" si="17"/>
        <v/>
      </c>
      <c r="AB65" s="131"/>
      <c r="AC65" s="127"/>
      <c r="AD65" s="132"/>
      <c r="AE65" s="160" t="str">
        <f t="shared" si="4"/>
        <v/>
      </c>
      <c r="AF65" s="160" t="str">
        <f t="shared" si="18"/>
        <v/>
      </c>
      <c r="AG65" s="160" t="str">
        <f t="shared" si="19"/>
        <v/>
      </c>
      <c r="AH65" s="131"/>
      <c r="AI65" s="127"/>
      <c r="AJ65" s="132"/>
      <c r="AK65" s="177" t="str">
        <f t="shared" si="5"/>
        <v/>
      </c>
      <c r="AL65" s="160" t="str">
        <f t="shared" si="6"/>
        <v/>
      </c>
      <c r="AM65" s="160" t="str">
        <f t="shared" si="7"/>
        <v/>
      </c>
      <c r="AN65" s="131"/>
      <c r="AO65" s="127"/>
      <c r="AP65" s="132"/>
      <c r="AQ65" s="164" t="str">
        <f t="shared" si="8"/>
        <v/>
      </c>
      <c r="AR65" s="155" t="str">
        <f t="shared" si="9"/>
        <v/>
      </c>
      <c r="AS65" s="188" t="str">
        <f t="shared" si="10"/>
        <v/>
      </c>
      <c r="AT65" s="160" t="str">
        <f t="shared" si="11"/>
        <v/>
      </c>
      <c r="AU65" s="160" t="str">
        <f t="shared" si="12"/>
        <v/>
      </c>
      <c r="AV65" s="168" t="str">
        <f t="shared" si="20"/>
        <v/>
      </c>
      <c r="AW65" s="171" t="str">
        <f>IF(AV65="","",IFERROR(INDEX(HELPER!$D$8:$D$48,IF(AV65&gt;=HELPER!$B$8,1,MATCH(AV65,HELPER!$B$8:$B$48,-1)+1)),""))</f>
        <v/>
      </c>
      <c r="AX65" s="174" t="str">
        <f>IF(AW65="","",IFERROR(VLOOKUP(AW65,HELPER!$F$8:$G$48,2,FALSE),""))</f>
        <v/>
      </c>
      <c r="AY65" s="147"/>
      <c r="AZ65" s="91"/>
    </row>
    <row r="66" spans="1:52" ht="15" customHeight="1" x14ac:dyDescent="0.3">
      <c r="A66" s="147"/>
      <c r="B66" s="66">
        <v>48</v>
      </c>
      <c r="C66" s="229" t="str">
        <f>IF('INPUT DATA'!K58="","",'INPUT DATA'!K58)</f>
        <v/>
      </c>
      <c r="D66" s="226"/>
      <c r="E66" s="226"/>
      <c r="F66" s="131"/>
      <c r="G66" s="127"/>
      <c r="H66" s="127"/>
      <c r="I66" s="127"/>
      <c r="J66" s="132"/>
      <c r="K66" s="160" t="str">
        <f t="shared" si="13"/>
        <v/>
      </c>
      <c r="L66" s="185" t="str">
        <f t="shared" si="14"/>
        <v/>
      </c>
      <c r="M66" s="185" t="str">
        <f t="shared" si="15"/>
        <v/>
      </c>
      <c r="N66" s="131"/>
      <c r="O66" s="127"/>
      <c r="P66" s="127"/>
      <c r="Q66" s="127"/>
      <c r="R66" s="132"/>
      <c r="S66" s="160" t="str">
        <f t="shared" si="0"/>
        <v/>
      </c>
      <c r="T66" s="185" t="str">
        <f t="shared" si="1"/>
        <v/>
      </c>
      <c r="U66" s="185" t="str">
        <f t="shared" si="2"/>
        <v/>
      </c>
      <c r="V66" s="131"/>
      <c r="W66" s="127"/>
      <c r="X66" s="132"/>
      <c r="Y66" s="160" t="str">
        <f t="shared" si="3"/>
        <v/>
      </c>
      <c r="Z66" s="160" t="str">
        <f t="shared" si="16"/>
        <v/>
      </c>
      <c r="AA66" s="160" t="str">
        <f t="shared" si="17"/>
        <v/>
      </c>
      <c r="AB66" s="131"/>
      <c r="AC66" s="127"/>
      <c r="AD66" s="132"/>
      <c r="AE66" s="160" t="str">
        <f t="shared" si="4"/>
        <v/>
      </c>
      <c r="AF66" s="160" t="str">
        <f t="shared" si="18"/>
        <v/>
      </c>
      <c r="AG66" s="160" t="str">
        <f t="shared" si="19"/>
        <v/>
      </c>
      <c r="AH66" s="131"/>
      <c r="AI66" s="127"/>
      <c r="AJ66" s="132"/>
      <c r="AK66" s="177" t="str">
        <f t="shared" si="5"/>
        <v/>
      </c>
      <c r="AL66" s="160" t="str">
        <f t="shared" si="6"/>
        <v/>
      </c>
      <c r="AM66" s="160" t="str">
        <f t="shared" si="7"/>
        <v/>
      </c>
      <c r="AN66" s="131"/>
      <c r="AO66" s="127"/>
      <c r="AP66" s="132"/>
      <c r="AQ66" s="164" t="str">
        <f t="shared" si="8"/>
        <v/>
      </c>
      <c r="AR66" s="155" t="str">
        <f t="shared" si="9"/>
        <v/>
      </c>
      <c r="AS66" s="188" t="str">
        <f t="shared" si="10"/>
        <v/>
      </c>
      <c r="AT66" s="160" t="str">
        <f t="shared" si="11"/>
        <v/>
      </c>
      <c r="AU66" s="160" t="str">
        <f t="shared" si="12"/>
        <v/>
      </c>
      <c r="AV66" s="168" t="str">
        <f t="shared" si="20"/>
        <v/>
      </c>
      <c r="AW66" s="171" t="str">
        <f>IF(AV66="","",IFERROR(INDEX(HELPER!$D$8:$D$48,IF(AV66&gt;=HELPER!$B$8,1,MATCH(AV66,HELPER!$B$8:$B$48,-1)+1)),""))</f>
        <v/>
      </c>
      <c r="AX66" s="174" t="str">
        <f>IF(AW66="","",IFERROR(VLOOKUP(AW66,HELPER!$F$8:$G$48,2,FALSE),""))</f>
        <v/>
      </c>
      <c r="AY66" s="147"/>
      <c r="AZ66" s="91"/>
    </row>
    <row r="67" spans="1:52" ht="15" customHeight="1" x14ac:dyDescent="0.3">
      <c r="A67" s="147"/>
      <c r="B67" s="66">
        <v>49</v>
      </c>
      <c r="C67" s="229" t="str">
        <f>IF('INPUT DATA'!K59="","",'INPUT DATA'!K59)</f>
        <v/>
      </c>
      <c r="D67" s="226"/>
      <c r="E67" s="226"/>
      <c r="F67" s="131"/>
      <c r="G67" s="127"/>
      <c r="H67" s="127"/>
      <c r="I67" s="127"/>
      <c r="J67" s="132"/>
      <c r="K67" s="160" t="str">
        <f t="shared" si="13"/>
        <v/>
      </c>
      <c r="L67" s="185" t="str">
        <f t="shared" si="14"/>
        <v/>
      </c>
      <c r="M67" s="185" t="str">
        <f t="shared" si="15"/>
        <v/>
      </c>
      <c r="N67" s="131"/>
      <c r="O67" s="127"/>
      <c r="P67" s="127"/>
      <c r="Q67" s="127"/>
      <c r="R67" s="132"/>
      <c r="S67" s="160" t="str">
        <f t="shared" si="0"/>
        <v/>
      </c>
      <c r="T67" s="185" t="str">
        <f t="shared" si="1"/>
        <v/>
      </c>
      <c r="U67" s="185" t="str">
        <f t="shared" si="2"/>
        <v/>
      </c>
      <c r="V67" s="131"/>
      <c r="W67" s="127"/>
      <c r="X67" s="132"/>
      <c r="Y67" s="160" t="str">
        <f t="shared" si="3"/>
        <v/>
      </c>
      <c r="Z67" s="160" t="str">
        <f t="shared" si="16"/>
        <v/>
      </c>
      <c r="AA67" s="160" t="str">
        <f t="shared" si="17"/>
        <v/>
      </c>
      <c r="AB67" s="131"/>
      <c r="AC67" s="127"/>
      <c r="AD67" s="132"/>
      <c r="AE67" s="160" t="str">
        <f t="shared" si="4"/>
        <v/>
      </c>
      <c r="AF67" s="160" t="str">
        <f t="shared" si="18"/>
        <v/>
      </c>
      <c r="AG67" s="160" t="str">
        <f t="shared" si="19"/>
        <v/>
      </c>
      <c r="AH67" s="131"/>
      <c r="AI67" s="127"/>
      <c r="AJ67" s="132"/>
      <c r="AK67" s="177" t="str">
        <f t="shared" si="5"/>
        <v/>
      </c>
      <c r="AL67" s="160" t="str">
        <f t="shared" si="6"/>
        <v/>
      </c>
      <c r="AM67" s="160" t="str">
        <f t="shared" si="7"/>
        <v/>
      </c>
      <c r="AN67" s="131"/>
      <c r="AO67" s="127"/>
      <c r="AP67" s="132"/>
      <c r="AQ67" s="164" t="str">
        <f t="shared" si="8"/>
        <v/>
      </c>
      <c r="AR67" s="155" t="str">
        <f t="shared" si="9"/>
        <v/>
      </c>
      <c r="AS67" s="188" t="str">
        <f t="shared" si="10"/>
        <v/>
      </c>
      <c r="AT67" s="160" t="str">
        <f t="shared" si="11"/>
        <v/>
      </c>
      <c r="AU67" s="160" t="str">
        <f t="shared" si="12"/>
        <v/>
      </c>
      <c r="AV67" s="168" t="str">
        <f t="shared" si="20"/>
        <v/>
      </c>
      <c r="AW67" s="171" t="str">
        <f>IF(AV67="","",IFERROR(INDEX(HELPER!$D$8:$D$48,IF(AV67&gt;=HELPER!$B$8,1,MATCH(AV67,HELPER!$B$8:$B$48,-1)+1)),""))</f>
        <v/>
      </c>
      <c r="AX67" s="174" t="str">
        <f>IF(AW67="","",IFERROR(VLOOKUP(AW67,HELPER!$F$8:$G$48,2,FALSE),""))</f>
        <v/>
      </c>
      <c r="AY67" s="147"/>
      <c r="AZ67" s="91"/>
    </row>
    <row r="68" spans="1:52" ht="15" customHeight="1" thickBot="1" x14ac:dyDescent="0.35">
      <c r="A68" s="147"/>
      <c r="B68" s="66">
        <v>50</v>
      </c>
      <c r="C68" s="229" t="str">
        <f>IF('INPUT DATA'!K60="","",'INPUT DATA'!K60)</f>
        <v/>
      </c>
      <c r="D68" s="226"/>
      <c r="E68" s="226"/>
      <c r="F68" s="156"/>
      <c r="G68" s="157"/>
      <c r="H68" s="157"/>
      <c r="I68" s="157"/>
      <c r="J68" s="158"/>
      <c r="K68" s="161" t="str">
        <f t="shared" si="13"/>
        <v/>
      </c>
      <c r="L68" s="186" t="str">
        <f t="shared" si="14"/>
        <v/>
      </c>
      <c r="M68" s="186" t="str">
        <f t="shared" si="15"/>
        <v/>
      </c>
      <c r="N68" s="156"/>
      <c r="O68" s="157"/>
      <c r="P68" s="157"/>
      <c r="Q68" s="157"/>
      <c r="R68" s="158"/>
      <c r="S68" s="161" t="str">
        <f t="shared" si="0"/>
        <v/>
      </c>
      <c r="T68" s="186" t="str">
        <f t="shared" si="1"/>
        <v/>
      </c>
      <c r="U68" s="186" t="str">
        <f t="shared" si="2"/>
        <v/>
      </c>
      <c r="V68" s="156"/>
      <c r="W68" s="157"/>
      <c r="X68" s="158"/>
      <c r="Y68" s="161" t="str">
        <f t="shared" si="3"/>
        <v/>
      </c>
      <c r="Z68" s="161" t="str">
        <f t="shared" si="16"/>
        <v/>
      </c>
      <c r="AA68" s="161" t="str">
        <f t="shared" si="17"/>
        <v/>
      </c>
      <c r="AB68" s="156"/>
      <c r="AC68" s="157"/>
      <c r="AD68" s="158"/>
      <c r="AE68" s="161" t="str">
        <f t="shared" si="4"/>
        <v/>
      </c>
      <c r="AF68" s="161" t="str">
        <f t="shared" si="18"/>
        <v/>
      </c>
      <c r="AG68" s="161" t="str">
        <f t="shared" si="19"/>
        <v/>
      </c>
      <c r="AH68" s="156"/>
      <c r="AI68" s="157"/>
      <c r="AJ68" s="158"/>
      <c r="AK68" s="178" t="str">
        <f t="shared" si="5"/>
        <v/>
      </c>
      <c r="AL68" s="161" t="str">
        <f t="shared" si="6"/>
        <v/>
      </c>
      <c r="AM68" s="161" t="str">
        <f t="shared" si="7"/>
        <v/>
      </c>
      <c r="AN68" s="156"/>
      <c r="AO68" s="157"/>
      <c r="AP68" s="158"/>
      <c r="AQ68" s="165" t="str">
        <f t="shared" si="8"/>
        <v/>
      </c>
      <c r="AR68" s="166" t="str">
        <f t="shared" si="9"/>
        <v/>
      </c>
      <c r="AS68" s="189" t="str">
        <f t="shared" si="10"/>
        <v/>
      </c>
      <c r="AT68" s="161" t="str">
        <f t="shared" si="11"/>
        <v/>
      </c>
      <c r="AU68" s="161" t="str">
        <f t="shared" si="12"/>
        <v/>
      </c>
      <c r="AV68" s="169" t="str">
        <f t="shared" si="20"/>
        <v/>
      </c>
      <c r="AW68" s="172" t="str">
        <f>IF(AV68="","",IFERROR(INDEX(HELPER!$D$8:$D$48,IF(AV68&gt;=HELPER!$B$8,1,MATCH(AV68,HELPER!$B$8:$B$48,-1)+1)),""))</f>
        <v/>
      </c>
      <c r="AX68" s="175" t="str">
        <f>IF(AW68="","",IFERROR(VLOOKUP(AW68,HELPER!$F$8:$G$48,2,FALSE),""))</f>
        <v/>
      </c>
      <c r="AY68" s="147"/>
      <c r="AZ68" s="91"/>
    </row>
    <row r="69" spans="1:52" ht="14.4" customHeight="1" thickBot="1" x14ac:dyDescent="0.35">
      <c r="A69" s="147"/>
      <c r="B69" s="280" t="s">
        <v>6</v>
      </c>
      <c r="C69" s="281"/>
      <c r="D69" s="281"/>
      <c r="E69" s="281"/>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3"/>
      <c r="AY69" s="147"/>
      <c r="AZ69" s="91"/>
    </row>
    <row r="70" spans="1:52" ht="15" customHeight="1" x14ac:dyDescent="0.3">
      <c r="A70" s="147"/>
      <c r="B70" s="112">
        <v>1</v>
      </c>
      <c r="C70" s="271" t="str">
        <f>IF('INPUT DATA'!N11="","",'INPUT DATA'!N11)</f>
        <v/>
      </c>
      <c r="D70" s="272"/>
      <c r="E70" s="272"/>
      <c r="F70" s="128"/>
      <c r="G70" s="129"/>
      <c r="H70" s="129"/>
      <c r="I70" s="129"/>
      <c r="J70" s="130"/>
      <c r="K70" s="159" t="str">
        <f t="shared" si="13"/>
        <v/>
      </c>
      <c r="L70" s="184" t="str">
        <f t="shared" ref="L70:L119" si="21">IF(COUNT(F70:J70)=0,"",IFERROR(K70/$K$16*$L$16,""))</f>
        <v/>
      </c>
      <c r="M70" s="184" t="str">
        <f t="shared" si="15"/>
        <v/>
      </c>
      <c r="N70" s="128"/>
      <c r="O70" s="129"/>
      <c r="P70" s="129"/>
      <c r="Q70" s="129"/>
      <c r="R70" s="130"/>
      <c r="S70" s="159" t="str">
        <f t="shared" si="0"/>
        <v/>
      </c>
      <c r="T70" s="184" t="str">
        <f t="shared" ref="T70:T119" si="22">IF(COUNT(N70:R70)=0,"",IFERROR(S70/$S$16*$T$16,""))</f>
        <v/>
      </c>
      <c r="U70" s="184" t="str">
        <f t="shared" ref="U70:U119" si="23">IF(T70="","",T70*$U$16)</f>
        <v/>
      </c>
      <c r="V70" s="128"/>
      <c r="W70" s="129"/>
      <c r="X70" s="130"/>
      <c r="Y70" s="159" t="str">
        <f t="shared" ref="Y70:Y119" si="24">IF(COUNT(V70:X70)=0,"",SUM(V70:X70))</f>
        <v/>
      </c>
      <c r="Z70" s="159" t="str">
        <f t="shared" ref="Z70:Z119" si="25">IF(COUNT(V70:X70)=0,"",IFERROR(Y70/$Y$16*$Z$16,""))</f>
        <v/>
      </c>
      <c r="AA70" s="159" t="str">
        <f t="shared" si="17"/>
        <v/>
      </c>
      <c r="AB70" s="128"/>
      <c r="AC70" s="129"/>
      <c r="AD70" s="130"/>
      <c r="AE70" s="159" t="str">
        <f t="shared" ref="AE70:AE119" si="26">IF(COUNT(AB70:AD70)=0,"",SUM(AB70:AD70))</f>
        <v/>
      </c>
      <c r="AF70" s="159" t="str">
        <f t="shared" ref="AF70:AF119" si="27">IF(COUNT(AB70:AD70)=0,"",IFERROR(AE70/$AE$16*$AF$16,""))</f>
        <v/>
      </c>
      <c r="AG70" s="159" t="str">
        <f t="shared" si="19"/>
        <v/>
      </c>
      <c r="AH70" s="128"/>
      <c r="AI70" s="129"/>
      <c r="AJ70" s="130"/>
      <c r="AK70" s="176" t="str">
        <f t="shared" ref="AK70:AK119" si="28">IF(COUNT(AH70:AJ70)=0,"",SUM(AH70:AJ70))</f>
        <v/>
      </c>
      <c r="AL70" s="159" t="str">
        <f t="shared" ref="AL70:AL119" si="29">IF(COUNT(AH70:AJ70)=0,"",IFERROR(AK70/$AK$16*$AL$16,""))</f>
        <v/>
      </c>
      <c r="AM70" s="159" t="str">
        <f t="shared" ref="AM70:AM119" si="30">IF(AL70="","",AL70*$AM$16)</f>
        <v/>
      </c>
      <c r="AN70" s="128"/>
      <c r="AO70" s="129"/>
      <c r="AP70" s="130"/>
      <c r="AQ70" s="162" t="str">
        <f t="shared" ref="AQ70:AQ119" si="31">IF(AN70="","",IFERROR(AN70/$AN$16*$AQ$16,""))</f>
        <v/>
      </c>
      <c r="AR70" s="163" t="str">
        <f t="shared" ref="AR70:AR119" si="32">IF(AO70="","",IFERROR(AO70/$AO$16*$AR$16,""))</f>
        <v/>
      </c>
      <c r="AS70" s="187" t="str">
        <f t="shared" ref="AS70:AS119" si="33">IF(AP70="","",IFERROR(AP70/$AP$16*$AS$16,""))</f>
        <v/>
      </c>
      <c r="AT70" s="159" t="str">
        <f t="shared" ref="AT70:AT119" si="34">IF(COUNT(AN70:AP70)=0,"",SUM(AQ70:AS70))</f>
        <v/>
      </c>
      <c r="AU70" s="159" t="str">
        <f t="shared" ref="AU70:AU119" si="35">IF(AT70="","",AT70*$AU$16)</f>
        <v/>
      </c>
      <c r="AV70" s="167" t="str">
        <f t="shared" ref="AV70:AV119" si="36">IF(COUNT(F70:J70,N70:R70,V70:X70,AB70:AD70,AH70:AJ70,AN70:AP70)=0,"",SUM(M70,U70,AA70,AG70,AM70,AU70))</f>
        <v/>
      </c>
      <c r="AW70" s="170" t="str">
        <f>IF(AV70="","",IFERROR(INDEX(HELPER!$D$8:$D$48,IF(AV70&gt;=HELPER!$B$8,1,MATCH(AV70,HELPER!$B$8:$B$48,-1)+1)),""))</f>
        <v/>
      </c>
      <c r="AX70" s="173" t="str">
        <f>IF(AW70="","",IFERROR(VLOOKUP(AW70,HELPER!$F$8:$G$48,2,FALSE),""))</f>
        <v/>
      </c>
      <c r="AY70" s="147"/>
      <c r="AZ70" s="91"/>
    </row>
    <row r="71" spans="1:52" ht="15" customHeight="1" x14ac:dyDescent="0.3">
      <c r="A71" s="147"/>
      <c r="B71" s="113">
        <v>2</v>
      </c>
      <c r="C71" s="227" t="str">
        <f>IF('INPUT DATA'!N12="","",'INPUT DATA'!N12)</f>
        <v/>
      </c>
      <c r="D71" s="228"/>
      <c r="E71" s="228"/>
      <c r="F71" s="131"/>
      <c r="G71" s="127"/>
      <c r="H71" s="127"/>
      <c r="I71" s="127"/>
      <c r="J71" s="132"/>
      <c r="K71" s="160" t="str">
        <f t="shared" si="13"/>
        <v/>
      </c>
      <c r="L71" s="185" t="str">
        <f t="shared" si="21"/>
        <v/>
      </c>
      <c r="M71" s="185" t="str">
        <f t="shared" si="15"/>
        <v/>
      </c>
      <c r="N71" s="131"/>
      <c r="O71" s="127"/>
      <c r="P71" s="127"/>
      <c r="Q71" s="127"/>
      <c r="R71" s="132"/>
      <c r="S71" s="160" t="str">
        <f t="shared" si="0"/>
        <v/>
      </c>
      <c r="T71" s="185" t="str">
        <f t="shared" si="22"/>
        <v/>
      </c>
      <c r="U71" s="185" t="str">
        <f t="shared" si="23"/>
        <v/>
      </c>
      <c r="V71" s="131"/>
      <c r="W71" s="127"/>
      <c r="X71" s="132"/>
      <c r="Y71" s="160" t="str">
        <f t="shared" si="24"/>
        <v/>
      </c>
      <c r="Z71" s="160" t="str">
        <f t="shared" si="25"/>
        <v/>
      </c>
      <c r="AA71" s="160" t="str">
        <f t="shared" si="17"/>
        <v/>
      </c>
      <c r="AB71" s="131"/>
      <c r="AC71" s="127"/>
      <c r="AD71" s="132"/>
      <c r="AE71" s="160" t="str">
        <f t="shared" si="26"/>
        <v/>
      </c>
      <c r="AF71" s="160" t="str">
        <f t="shared" si="27"/>
        <v/>
      </c>
      <c r="AG71" s="160" t="str">
        <f t="shared" si="19"/>
        <v/>
      </c>
      <c r="AH71" s="131"/>
      <c r="AI71" s="127"/>
      <c r="AJ71" s="132"/>
      <c r="AK71" s="177" t="str">
        <f t="shared" si="28"/>
        <v/>
      </c>
      <c r="AL71" s="160" t="str">
        <f t="shared" si="29"/>
        <v/>
      </c>
      <c r="AM71" s="160" t="str">
        <f t="shared" si="30"/>
        <v/>
      </c>
      <c r="AN71" s="131"/>
      <c r="AO71" s="127"/>
      <c r="AP71" s="132"/>
      <c r="AQ71" s="164" t="str">
        <f t="shared" si="31"/>
        <v/>
      </c>
      <c r="AR71" s="155" t="str">
        <f t="shared" si="32"/>
        <v/>
      </c>
      <c r="AS71" s="188" t="str">
        <f t="shared" si="33"/>
        <v/>
      </c>
      <c r="AT71" s="160" t="str">
        <f t="shared" si="34"/>
        <v/>
      </c>
      <c r="AU71" s="160" t="str">
        <f t="shared" si="35"/>
        <v/>
      </c>
      <c r="AV71" s="168" t="str">
        <f t="shared" si="36"/>
        <v/>
      </c>
      <c r="AW71" s="171" t="str">
        <f>IF(AV71="","",IFERROR(INDEX(HELPER!$D$8:$D$48,IF(AV71&gt;=HELPER!$B$8,1,MATCH(AV71,HELPER!$B$8:$B$48,-1)+1)),""))</f>
        <v/>
      </c>
      <c r="AX71" s="174" t="str">
        <f>IF(AW71="","",IFERROR(VLOOKUP(AW71,HELPER!$F$8:$G$48,2,FALSE),""))</f>
        <v/>
      </c>
      <c r="AY71" s="147"/>
      <c r="AZ71" s="91"/>
    </row>
    <row r="72" spans="1:52" ht="15" customHeight="1" x14ac:dyDescent="0.3">
      <c r="A72" s="147"/>
      <c r="B72" s="113">
        <v>3</v>
      </c>
      <c r="C72" s="227" t="str">
        <f>IF('INPUT DATA'!N13="","",'INPUT DATA'!N13)</f>
        <v/>
      </c>
      <c r="D72" s="228"/>
      <c r="E72" s="228"/>
      <c r="F72" s="131"/>
      <c r="G72" s="127"/>
      <c r="H72" s="127"/>
      <c r="I72" s="127"/>
      <c r="J72" s="132"/>
      <c r="K72" s="160" t="str">
        <f t="shared" si="13"/>
        <v/>
      </c>
      <c r="L72" s="185" t="str">
        <f t="shared" si="21"/>
        <v/>
      </c>
      <c r="M72" s="185" t="str">
        <f t="shared" si="15"/>
        <v/>
      </c>
      <c r="N72" s="131"/>
      <c r="O72" s="127"/>
      <c r="P72" s="127"/>
      <c r="Q72" s="127"/>
      <c r="R72" s="132"/>
      <c r="S72" s="160" t="str">
        <f t="shared" si="0"/>
        <v/>
      </c>
      <c r="T72" s="185" t="str">
        <f t="shared" si="22"/>
        <v/>
      </c>
      <c r="U72" s="185" t="str">
        <f t="shared" si="23"/>
        <v/>
      </c>
      <c r="V72" s="131"/>
      <c r="W72" s="127"/>
      <c r="X72" s="132"/>
      <c r="Y72" s="160" t="str">
        <f t="shared" si="24"/>
        <v/>
      </c>
      <c r="Z72" s="160" t="str">
        <f t="shared" si="25"/>
        <v/>
      </c>
      <c r="AA72" s="160" t="str">
        <f t="shared" si="17"/>
        <v/>
      </c>
      <c r="AB72" s="131"/>
      <c r="AC72" s="127"/>
      <c r="AD72" s="132"/>
      <c r="AE72" s="160" t="str">
        <f t="shared" si="26"/>
        <v/>
      </c>
      <c r="AF72" s="160" t="str">
        <f t="shared" si="27"/>
        <v/>
      </c>
      <c r="AG72" s="160" t="str">
        <f t="shared" si="19"/>
        <v/>
      </c>
      <c r="AH72" s="131"/>
      <c r="AI72" s="127"/>
      <c r="AJ72" s="132"/>
      <c r="AK72" s="177" t="str">
        <f t="shared" si="28"/>
        <v/>
      </c>
      <c r="AL72" s="160" t="str">
        <f t="shared" si="29"/>
        <v/>
      </c>
      <c r="AM72" s="160" t="str">
        <f t="shared" si="30"/>
        <v/>
      </c>
      <c r="AN72" s="131"/>
      <c r="AO72" s="127"/>
      <c r="AP72" s="132"/>
      <c r="AQ72" s="164" t="str">
        <f t="shared" si="31"/>
        <v/>
      </c>
      <c r="AR72" s="155" t="str">
        <f t="shared" si="32"/>
        <v/>
      </c>
      <c r="AS72" s="188" t="str">
        <f t="shared" si="33"/>
        <v/>
      </c>
      <c r="AT72" s="160" t="str">
        <f t="shared" si="34"/>
        <v/>
      </c>
      <c r="AU72" s="160" t="str">
        <f t="shared" si="35"/>
        <v/>
      </c>
      <c r="AV72" s="168" t="str">
        <f t="shared" si="36"/>
        <v/>
      </c>
      <c r="AW72" s="171" t="str">
        <f>IF(AV72="","",IFERROR(INDEX(HELPER!$D$8:$D$48,IF(AV72&gt;=HELPER!$B$8,1,MATCH(AV72,HELPER!$B$8:$B$48,-1)+1)),""))</f>
        <v/>
      </c>
      <c r="AX72" s="174" t="str">
        <f>IF(AW72="","",IFERROR(VLOOKUP(AW72,HELPER!$F$8:$G$48,2,FALSE),""))</f>
        <v/>
      </c>
      <c r="AY72" s="147"/>
      <c r="AZ72" s="91"/>
    </row>
    <row r="73" spans="1:52" ht="15" customHeight="1" x14ac:dyDescent="0.3">
      <c r="A73" s="147"/>
      <c r="B73" s="113">
        <v>4</v>
      </c>
      <c r="C73" s="227" t="str">
        <f>IF('INPUT DATA'!N14="","",'INPUT DATA'!N14)</f>
        <v/>
      </c>
      <c r="D73" s="228"/>
      <c r="E73" s="228"/>
      <c r="F73" s="131"/>
      <c r="G73" s="127"/>
      <c r="H73" s="127"/>
      <c r="I73" s="127"/>
      <c r="J73" s="132"/>
      <c r="K73" s="160" t="str">
        <f t="shared" si="13"/>
        <v/>
      </c>
      <c r="L73" s="185" t="str">
        <f t="shared" si="21"/>
        <v/>
      </c>
      <c r="M73" s="185" t="str">
        <f t="shared" si="15"/>
        <v/>
      </c>
      <c r="N73" s="131"/>
      <c r="O73" s="127"/>
      <c r="P73" s="127"/>
      <c r="Q73" s="127"/>
      <c r="R73" s="132"/>
      <c r="S73" s="160" t="str">
        <f t="shared" si="0"/>
        <v/>
      </c>
      <c r="T73" s="185" t="str">
        <f t="shared" si="22"/>
        <v/>
      </c>
      <c r="U73" s="185" t="str">
        <f t="shared" si="23"/>
        <v/>
      </c>
      <c r="V73" s="131"/>
      <c r="W73" s="127"/>
      <c r="X73" s="132"/>
      <c r="Y73" s="160" t="str">
        <f t="shared" si="24"/>
        <v/>
      </c>
      <c r="Z73" s="160" t="str">
        <f t="shared" si="25"/>
        <v/>
      </c>
      <c r="AA73" s="160" t="str">
        <f t="shared" si="17"/>
        <v/>
      </c>
      <c r="AB73" s="131"/>
      <c r="AC73" s="127"/>
      <c r="AD73" s="132"/>
      <c r="AE73" s="160" t="str">
        <f t="shared" si="26"/>
        <v/>
      </c>
      <c r="AF73" s="160" t="str">
        <f t="shared" si="27"/>
        <v/>
      </c>
      <c r="AG73" s="160" t="str">
        <f t="shared" si="19"/>
        <v/>
      </c>
      <c r="AH73" s="131"/>
      <c r="AI73" s="127"/>
      <c r="AJ73" s="132"/>
      <c r="AK73" s="177" t="str">
        <f t="shared" si="28"/>
        <v/>
      </c>
      <c r="AL73" s="160" t="str">
        <f t="shared" si="29"/>
        <v/>
      </c>
      <c r="AM73" s="160" t="str">
        <f t="shared" si="30"/>
        <v/>
      </c>
      <c r="AN73" s="131"/>
      <c r="AO73" s="127"/>
      <c r="AP73" s="132"/>
      <c r="AQ73" s="164" t="str">
        <f t="shared" si="31"/>
        <v/>
      </c>
      <c r="AR73" s="155" t="str">
        <f t="shared" si="32"/>
        <v/>
      </c>
      <c r="AS73" s="188" t="str">
        <f t="shared" si="33"/>
        <v/>
      </c>
      <c r="AT73" s="160" t="str">
        <f t="shared" si="34"/>
        <v/>
      </c>
      <c r="AU73" s="160" t="str">
        <f t="shared" si="35"/>
        <v/>
      </c>
      <c r="AV73" s="168" t="str">
        <f t="shared" si="36"/>
        <v/>
      </c>
      <c r="AW73" s="171" t="str">
        <f>IF(AV73="","",IFERROR(INDEX(HELPER!$D$8:$D$48,IF(AV73&gt;=HELPER!$B$8,1,MATCH(AV73,HELPER!$B$8:$B$48,-1)+1)),""))</f>
        <v/>
      </c>
      <c r="AX73" s="174" t="str">
        <f>IF(AW73="","",IFERROR(VLOOKUP(AW73,HELPER!$F$8:$G$48,2,FALSE),""))</f>
        <v/>
      </c>
      <c r="AY73" s="147"/>
      <c r="AZ73" s="91"/>
    </row>
    <row r="74" spans="1:52" ht="15" customHeight="1" x14ac:dyDescent="0.3">
      <c r="A74" s="147"/>
      <c r="B74" s="113">
        <v>5</v>
      </c>
      <c r="C74" s="227" t="str">
        <f>IF('INPUT DATA'!N15="","",'INPUT DATA'!N15)</f>
        <v/>
      </c>
      <c r="D74" s="228"/>
      <c r="E74" s="228"/>
      <c r="F74" s="131"/>
      <c r="G74" s="127"/>
      <c r="H74" s="127"/>
      <c r="I74" s="127"/>
      <c r="J74" s="132"/>
      <c r="K74" s="160" t="str">
        <f t="shared" si="13"/>
        <v/>
      </c>
      <c r="L74" s="185" t="str">
        <f t="shared" si="21"/>
        <v/>
      </c>
      <c r="M74" s="185" t="str">
        <f t="shared" si="15"/>
        <v/>
      </c>
      <c r="N74" s="131"/>
      <c r="O74" s="127"/>
      <c r="P74" s="127"/>
      <c r="Q74" s="127"/>
      <c r="R74" s="132"/>
      <c r="S74" s="160" t="str">
        <f t="shared" si="0"/>
        <v/>
      </c>
      <c r="T74" s="185" t="str">
        <f t="shared" si="22"/>
        <v/>
      </c>
      <c r="U74" s="185" t="str">
        <f t="shared" si="23"/>
        <v/>
      </c>
      <c r="V74" s="131"/>
      <c r="W74" s="127"/>
      <c r="X74" s="132"/>
      <c r="Y74" s="160" t="str">
        <f t="shared" si="24"/>
        <v/>
      </c>
      <c r="Z74" s="160" t="str">
        <f t="shared" si="25"/>
        <v/>
      </c>
      <c r="AA74" s="160" t="str">
        <f t="shared" si="17"/>
        <v/>
      </c>
      <c r="AB74" s="131"/>
      <c r="AC74" s="127"/>
      <c r="AD74" s="132"/>
      <c r="AE74" s="160" t="str">
        <f t="shared" si="26"/>
        <v/>
      </c>
      <c r="AF74" s="160" t="str">
        <f t="shared" si="27"/>
        <v/>
      </c>
      <c r="AG74" s="160" t="str">
        <f t="shared" si="19"/>
        <v/>
      </c>
      <c r="AH74" s="131"/>
      <c r="AI74" s="127"/>
      <c r="AJ74" s="132"/>
      <c r="AK74" s="177" t="str">
        <f t="shared" si="28"/>
        <v/>
      </c>
      <c r="AL74" s="160" t="str">
        <f t="shared" si="29"/>
        <v/>
      </c>
      <c r="AM74" s="160" t="str">
        <f t="shared" si="30"/>
        <v/>
      </c>
      <c r="AN74" s="131"/>
      <c r="AO74" s="127"/>
      <c r="AP74" s="132"/>
      <c r="AQ74" s="164" t="str">
        <f t="shared" si="31"/>
        <v/>
      </c>
      <c r="AR74" s="155" t="str">
        <f t="shared" si="32"/>
        <v/>
      </c>
      <c r="AS74" s="188" t="str">
        <f t="shared" si="33"/>
        <v/>
      </c>
      <c r="AT74" s="160" t="str">
        <f t="shared" si="34"/>
        <v/>
      </c>
      <c r="AU74" s="160" t="str">
        <f t="shared" si="35"/>
        <v/>
      </c>
      <c r="AV74" s="168" t="str">
        <f t="shared" si="36"/>
        <v/>
      </c>
      <c r="AW74" s="171" t="str">
        <f>IF(AV74="","",IFERROR(INDEX(HELPER!$D$8:$D$48,IF(AV74&gt;=HELPER!$B$8,1,MATCH(AV74,HELPER!$B$8:$B$48,-1)+1)),""))</f>
        <v/>
      </c>
      <c r="AX74" s="174" t="str">
        <f>IF(AW74="","",IFERROR(VLOOKUP(AW74,HELPER!$F$8:$G$48,2,FALSE),""))</f>
        <v/>
      </c>
      <c r="AY74" s="147"/>
      <c r="AZ74" s="91"/>
    </row>
    <row r="75" spans="1:52" ht="15" customHeight="1" x14ac:dyDescent="0.3">
      <c r="A75" s="147"/>
      <c r="B75" s="113">
        <v>6</v>
      </c>
      <c r="C75" s="227" t="str">
        <f>IF('INPUT DATA'!N16="","",'INPUT DATA'!N16)</f>
        <v/>
      </c>
      <c r="D75" s="228"/>
      <c r="E75" s="228"/>
      <c r="F75" s="131"/>
      <c r="G75" s="127"/>
      <c r="H75" s="127"/>
      <c r="I75" s="127"/>
      <c r="J75" s="132"/>
      <c r="K75" s="160" t="str">
        <f t="shared" si="13"/>
        <v/>
      </c>
      <c r="L75" s="185" t="str">
        <f t="shared" si="21"/>
        <v/>
      </c>
      <c r="M75" s="185" t="str">
        <f t="shared" si="15"/>
        <v/>
      </c>
      <c r="N75" s="131"/>
      <c r="O75" s="127"/>
      <c r="P75" s="127"/>
      <c r="Q75" s="127"/>
      <c r="R75" s="132"/>
      <c r="S75" s="160" t="str">
        <f t="shared" si="0"/>
        <v/>
      </c>
      <c r="T75" s="185" t="str">
        <f t="shared" si="22"/>
        <v/>
      </c>
      <c r="U75" s="185" t="str">
        <f t="shared" si="23"/>
        <v/>
      </c>
      <c r="V75" s="131"/>
      <c r="W75" s="127"/>
      <c r="X75" s="132"/>
      <c r="Y75" s="160" t="str">
        <f t="shared" si="24"/>
        <v/>
      </c>
      <c r="Z75" s="160" t="str">
        <f t="shared" si="25"/>
        <v/>
      </c>
      <c r="AA75" s="160" t="str">
        <f t="shared" si="17"/>
        <v/>
      </c>
      <c r="AB75" s="131"/>
      <c r="AC75" s="127"/>
      <c r="AD75" s="132"/>
      <c r="AE75" s="160" t="str">
        <f t="shared" si="26"/>
        <v/>
      </c>
      <c r="AF75" s="160" t="str">
        <f t="shared" si="27"/>
        <v/>
      </c>
      <c r="AG75" s="160" t="str">
        <f t="shared" si="19"/>
        <v/>
      </c>
      <c r="AH75" s="131"/>
      <c r="AI75" s="127"/>
      <c r="AJ75" s="132"/>
      <c r="AK75" s="177" t="str">
        <f t="shared" si="28"/>
        <v/>
      </c>
      <c r="AL75" s="160" t="str">
        <f t="shared" si="29"/>
        <v/>
      </c>
      <c r="AM75" s="160" t="str">
        <f t="shared" si="30"/>
        <v/>
      </c>
      <c r="AN75" s="131"/>
      <c r="AO75" s="127"/>
      <c r="AP75" s="132"/>
      <c r="AQ75" s="164" t="str">
        <f t="shared" si="31"/>
        <v/>
      </c>
      <c r="AR75" s="155" t="str">
        <f t="shared" si="32"/>
        <v/>
      </c>
      <c r="AS75" s="188" t="str">
        <f t="shared" si="33"/>
        <v/>
      </c>
      <c r="AT75" s="160" t="str">
        <f t="shared" si="34"/>
        <v/>
      </c>
      <c r="AU75" s="160" t="str">
        <f t="shared" si="35"/>
        <v/>
      </c>
      <c r="AV75" s="168" t="str">
        <f t="shared" si="36"/>
        <v/>
      </c>
      <c r="AW75" s="171" t="str">
        <f>IF(AV75="","",IFERROR(INDEX(HELPER!$D$8:$D$48,IF(AV75&gt;=HELPER!$B$8,1,MATCH(AV75,HELPER!$B$8:$B$48,-1)+1)),""))</f>
        <v/>
      </c>
      <c r="AX75" s="174" t="str">
        <f>IF(AW75="","",IFERROR(VLOOKUP(AW75,HELPER!$F$8:$G$48,2,FALSE),""))</f>
        <v/>
      </c>
      <c r="AY75" s="147"/>
      <c r="AZ75" s="91"/>
    </row>
    <row r="76" spans="1:52" ht="15" customHeight="1" x14ac:dyDescent="0.3">
      <c r="A76" s="147"/>
      <c r="B76" s="113">
        <v>7</v>
      </c>
      <c r="C76" s="227" t="str">
        <f>IF('INPUT DATA'!N17="","",'INPUT DATA'!N17)</f>
        <v/>
      </c>
      <c r="D76" s="228"/>
      <c r="E76" s="228"/>
      <c r="F76" s="131"/>
      <c r="G76" s="127"/>
      <c r="H76" s="127"/>
      <c r="I76" s="127"/>
      <c r="J76" s="132"/>
      <c r="K76" s="160" t="str">
        <f t="shared" si="13"/>
        <v/>
      </c>
      <c r="L76" s="185" t="str">
        <f t="shared" si="21"/>
        <v/>
      </c>
      <c r="M76" s="185" t="str">
        <f t="shared" si="15"/>
        <v/>
      </c>
      <c r="N76" s="131"/>
      <c r="O76" s="127"/>
      <c r="P76" s="127"/>
      <c r="Q76" s="127"/>
      <c r="R76" s="132"/>
      <c r="S76" s="160" t="str">
        <f t="shared" si="0"/>
        <v/>
      </c>
      <c r="T76" s="185" t="str">
        <f t="shared" si="22"/>
        <v/>
      </c>
      <c r="U76" s="185" t="str">
        <f t="shared" si="23"/>
        <v/>
      </c>
      <c r="V76" s="131"/>
      <c r="W76" s="127"/>
      <c r="X76" s="132"/>
      <c r="Y76" s="160" t="str">
        <f t="shared" si="24"/>
        <v/>
      </c>
      <c r="Z76" s="160" t="str">
        <f t="shared" si="25"/>
        <v/>
      </c>
      <c r="AA76" s="160" t="str">
        <f t="shared" si="17"/>
        <v/>
      </c>
      <c r="AB76" s="131"/>
      <c r="AC76" s="127"/>
      <c r="AD76" s="132"/>
      <c r="AE76" s="160" t="str">
        <f t="shared" si="26"/>
        <v/>
      </c>
      <c r="AF76" s="160" t="str">
        <f t="shared" si="27"/>
        <v/>
      </c>
      <c r="AG76" s="160" t="str">
        <f t="shared" si="19"/>
        <v/>
      </c>
      <c r="AH76" s="131"/>
      <c r="AI76" s="127"/>
      <c r="AJ76" s="132"/>
      <c r="AK76" s="177" t="str">
        <f t="shared" si="28"/>
        <v/>
      </c>
      <c r="AL76" s="160" t="str">
        <f t="shared" si="29"/>
        <v/>
      </c>
      <c r="AM76" s="160" t="str">
        <f t="shared" si="30"/>
        <v/>
      </c>
      <c r="AN76" s="131"/>
      <c r="AO76" s="127"/>
      <c r="AP76" s="132"/>
      <c r="AQ76" s="164" t="str">
        <f t="shared" si="31"/>
        <v/>
      </c>
      <c r="AR76" s="155" t="str">
        <f t="shared" si="32"/>
        <v/>
      </c>
      <c r="AS76" s="188" t="str">
        <f t="shared" si="33"/>
        <v/>
      </c>
      <c r="AT76" s="160" t="str">
        <f t="shared" si="34"/>
        <v/>
      </c>
      <c r="AU76" s="160" t="str">
        <f t="shared" si="35"/>
        <v/>
      </c>
      <c r="AV76" s="168" t="str">
        <f t="shared" si="36"/>
        <v/>
      </c>
      <c r="AW76" s="171" t="str">
        <f>IF(AV76="","",IFERROR(INDEX(HELPER!$D$8:$D$48,IF(AV76&gt;=HELPER!$B$8,1,MATCH(AV76,HELPER!$B$8:$B$48,-1)+1)),""))</f>
        <v/>
      </c>
      <c r="AX76" s="174" t="str">
        <f>IF(AW76="","",IFERROR(VLOOKUP(AW76,HELPER!$F$8:$G$48,2,FALSE),""))</f>
        <v/>
      </c>
      <c r="AY76" s="147"/>
      <c r="AZ76" s="91"/>
    </row>
    <row r="77" spans="1:52" ht="15" customHeight="1" x14ac:dyDescent="0.3">
      <c r="A77" s="147"/>
      <c r="B77" s="113">
        <v>8</v>
      </c>
      <c r="C77" s="227" t="str">
        <f>IF('INPUT DATA'!N18="","",'INPUT DATA'!N18)</f>
        <v/>
      </c>
      <c r="D77" s="228"/>
      <c r="E77" s="228"/>
      <c r="F77" s="131"/>
      <c r="G77" s="127"/>
      <c r="H77" s="127"/>
      <c r="I77" s="127"/>
      <c r="J77" s="132"/>
      <c r="K77" s="160" t="str">
        <f t="shared" si="13"/>
        <v/>
      </c>
      <c r="L77" s="185" t="str">
        <f t="shared" si="21"/>
        <v/>
      </c>
      <c r="M77" s="185" t="str">
        <f t="shared" si="15"/>
        <v/>
      </c>
      <c r="N77" s="131"/>
      <c r="O77" s="127"/>
      <c r="P77" s="127"/>
      <c r="Q77" s="127"/>
      <c r="R77" s="132"/>
      <c r="S77" s="160" t="str">
        <f t="shared" si="0"/>
        <v/>
      </c>
      <c r="T77" s="185" t="str">
        <f t="shared" si="22"/>
        <v/>
      </c>
      <c r="U77" s="185" t="str">
        <f t="shared" si="23"/>
        <v/>
      </c>
      <c r="V77" s="131"/>
      <c r="W77" s="127"/>
      <c r="X77" s="132"/>
      <c r="Y77" s="160" t="str">
        <f t="shared" si="24"/>
        <v/>
      </c>
      <c r="Z77" s="160" t="str">
        <f t="shared" si="25"/>
        <v/>
      </c>
      <c r="AA77" s="160" t="str">
        <f t="shared" si="17"/>
        <v/>
      </c>
      <c r="AB77" s="131"/>
      <c r="AC77" s="127"/>
      <c r="AD77" s="132"/>
      <c r="AE77" s="160" t="str">
        <f t="shared" si="26"/>
        <v/>
      </c>
      <c r="AF77" s="160" t="str">
        <f t="shared" si="27"/>
        <v/>
      </c>
      <c r="AG77" s="160" t="str">
        <f t="shared" si="19"/>
        <v/>
      </c>
      <c r="AH77" s="131"/>
      <c r="AI77" s="127"/>
      <c r="AJ77" s="132"/>
      <c r="AK77" s="177" t="str">
        <f t="shared" si="28"/>
        <v/>
      </c>
      <c r="AL77" s="160" t="str">
        <f t="shared" si="29"/>
        <v/>
      </c>
      <c r="AM77" s="160" t="str">
        <f t="shared" si="30"/>
        <v/>
      </c>
      <c r="AN77" s="131"/>
      <c r="AO77" s="127"/>
      <c r="AP77" s="132"/>
      <c r="AQ77" s="164" t="str">
        <f t="shared" si="31"/>
        <v/>
      </c>
      <c r="AR77" s="155" t="str">
        <f t="shared" si="32"/>
        <v/>
      </c>
      <c r="AS77" s="188" t="str">
        <f t="shared" si="33"/>
        <v/>
      </c>
      <c r="AT77" s="160" t="str">
        <f t="shared" si="34"/>
        <v/>
      </c>
      <c r="AU77" s="160" t="str">
        <f t="shared" si="35"/>
        <v/>
      </c>
      <c r="AV77" s="168" t="str">
        <f t="shared" si="36"/>
        <v/>
      </c>
      <c r="AW77" s="171" t="str">
        <f>IF(AV77="","",IFERROR(INDEX(HELPER!$D$8:$D$48,IF(AV77&gt;=HELPER!$B$8,1,MATCH(AV77,HELPER!$B$8:$B$48,-1)+1)),""))</f>
        <v/>
      </c>
      <c r="AX77" s="174" t="str">
        <f>IF(AW77="","",IFERROR(VLOOKUP(AW77,HELPER!$F$8:$G$48,2,FALSE),""))</f>
        <v/>
      </c>
      <c r="AY77" s="147"/>
      <c r="AZ77" s="91"/>
    </row>
    <row r="78" spans="1:52" ht="15" customHeight="1" x14ac:dyDescent="0.3">
      <c r="A78" s="147"/>
      <c r="B78" s="113">
        <v>9</v>
      </c>
      <c r="C78" s="227" t="str">
        <f>IF('INPUT DATA'!N19="","",'INPUT DATA'!N19)</f>
        <v/>
      </c>
      <c r="D78" s="228"/>
      <c r="E78" s="228"/>
      <c r="F78" s="131"/>
      <c r="G78" s="127"/>
      <c r="H78" s="127"/>
      <c r="I78" s="127"/>
      <c r="J78" s="132"/>
      <c r="K78" s="160" t="str">
        <f t="shared" si="13"/>
        <v/>
      </c>
      <c r="L78" s="185" t="str">
        <f t="shared" si="21"/>
        <v/>
      </c>
      <c r="M78" s="185" t="str">
        <f t="shared" si="15"/>
        <v/>
      </c>
      <c r="N78" s="131"/>
      <c r="O78" s="127"/>
      <c r="P78" s="127"/>
      <c r="Q78" s="127"/>
      <c r="R78" s="132"/>
      <c r="S78" s="160" t="str">
        <f t="shared" si="0"/>
        <v/>
      </c>
      <c r="T78" s="185" t="str">
        <f t="shared" si="22"/>
        <v/>
      </c>
      <c r="U78" s="185" t="str">
        <f t="shared" si="23"/>
        <v/>
      </c>
      <c r="V78" s="131"/>
      <c r="W78" s="127"/>
      <c r="X78" s="132"/>
      <c r="Y78" s="160" t="str">
        <f t="shared" si="24"/>
        <v/>
      </c>
      <c r="Z78" s="160" t="str">
        <f t="shared" si="25"/>
        <v/>
      </c>
      <c r="AA78" s="160" t="str">
        <f t="shared" si="17"/>
        <v/>
      </c>
      <c r="AB78" s="131"/>
      <c r="AC78" s="127"/>
      <c r="AD78" s="132"/>
      <c r="AE78" s="160" t="str">
        <f t="shared" si="26"/>
        <v/>
      </c>
      <c r="AF78" s="160" t="str">
        <f t="shared" si="27"/>
        <v/>
      </c>
      <c r="AG78" s="160" t="str">
        <f t="shared" si="19"/>
        <v/>
      </c>
      <c r="AH78" s="131"/>
      <c r="AI78" s="127"/>
      <c r="AJ78" s="132"/>
      <c r="AK78" s="177" t="str">
        <f t="shared" si="28"/>
        <v/>
      </c>
      <c r="AL78" s="160" t="str">
        <f t="shared" si="29"/>
        <v/>
      </c>
      <c r="AM78" s="160" t="str">
        <f t="shared" si="30"/>
        <v/>
      </c>
      <c r="AN78" s="131"/>
      <c r="AO78" s="127"/>
      <c r="AP78" s="132"/>
      <c r="AQ78" s="164" t="str">
        <f t="shared" si="31"/>
        <v/>
      </c>
      <c r="AR78" s="155" t="str">
        <f t="shared" si="32"/>
        <v/>
      </c>
      <c r="AS78" s="188" t="str">
        <f t="shared" si="33"/>
        <v/>
      </c>
      <c r="AT78" s="160" t="str">
        <f t="shared" si="34"/>
        <v/>
      </c>
      <c r="AU78" s="160" t="str">
        <f t="shared" si="35"/>
        <v/>
      </c>
      <c r="AV78" s="168" t="str">
        <f t="shared" si="36"/>
        <v/>
      </c>
      <c r="AW78" s="171" t="str">
        <f>IF(AV78="","",IFERROR(INDEX(HELPER!$D$8:$D$48,IF(AV78&gt;=HELPER!$B$8,1,MATCH(AV78,HELPER!$B$8:$B$48,-1)+1)),""))</f>
        <v/>
      </c>
      <c r="AX78" s="174" t="str">
        <f>IF(AW78="","",IFERROR(VLOOKUP(AW78,HELPER!$F$8:$G$48,2,FALSE),""))</f>
        <v/>
      </c>
      <c r="AY78" s="147"/>
      <c r="AZ78" s="91"/>
    </row>
    <row r="79" spans="1:52" ht="15" customHeight="1" x14ac:dyDescent="0.3">
      <c r="A79" s="147"/>
      <c r="B79" s="113">
        <v>10</v>
      </c>
      <c r="C79" s="227" t="str">
        <f>IF('INPUT DATA'!N20="","",'INPUT DATA'!N20)</f>
        <v/>
      </c>
      <c r="D79" s="228"/>
      <c r="E79" s="228"/>
      <c r="F79" s="131"/>
      <c r="G79" s="127"/>
      <c r="H79" s="127"/>
      <c r="I79" s="127"/>
      <c r="J79" s="132"/>
      <c r="K79" s="160" t="str">
        <f t="shared" si="13"/>
        <v/>
      </c>
      <c r="L79" s="185" t="str">
        <f t="shared" si="21"/>
        <v/>
      </c>
      <c r="M79" s="185" t="str">
        <f t="shared" si="15"/>
        <v/>
      </c>
      <c r="N79" s="131"/>
      <c r="O79" s="127"/>
      <c r="P79" s="127"/>
      <c r="Q79" s="127"/>
      <c r="R79" s="132"/>
      <c r="S79" s="160" t="str">
        <f t="shared" si="0"/>
        <v/>
      </c>
      <c r="T79" s="185" t="str">
        <f t="shared" si="22"/>
        <v/>
      </c>
      <c r="U79" s="185" t="str">
        <f t="shared" si="23"/>
        <v/>
      </c>
      <c r="V79" s="131"/>
      <c r="W79" s="127"/>
      <c r="X79" s="132"/>
      <c r="Y79" s="160" t="str">
        <f t="shared" si="24"/>
        <v/>
      </c>
      <c r="Z79" s="160" t="str">
        <f t="shared" si="25"/>
        <v/>
      </c>
      <c r="AA79" s="160" t="str">
        <f t="shared" si="17"/>
        <v/>
      </c>
      <c r="AB79" s="131"/>
      <c r="AC79" s="127"/>
      <c r="AD79" s="132"/>
      <c r="AE79" s="160" t="str">
        <f t="shared" si="26"/>
        <v/>
      </c>
      <c r="AF79" s="160" t="str">
        <f t="shared" si="27"/>
        <v/>
      </c>
      <c r="AG79" s="160" t="str">
        <f t="shared" si="19"/>
        <v/>
      </c>
      <c r="AH79" s="131"/>
      <c r="AI79" s="127"/>
      <c r="AJ79" s="132"/>
      <c r="AK79" s="177" t="str">
        <f t="shared" si="28"/>
        <v/>
      </c>
      <c r="AL79" s="160" t="str">
        <f t="shared" si="29"/>
        <v/>
      </c>
      <c r="AM79" s="160" t="str">
        <f t="shared" si="30"/>
        <v/>
      </c>
      <c r="AN79" s="131"/>
      <c r="AO79" s="127"/>
      <c r="AP79" s="132"/>
      <c r="AQ79" s="164" t="str">
        <f t="shared" si="31"/>
        <v/>
      </c>
      <c r="AR79" s="155" t="str">
        <f t="shared" si="32"/>
        <v/>
      </c>
      <c r="AS79" s="188" t="str">
        <f t="shared" si="33"/>
        <v/>
      </c>
      <c r="AT79" s="160" t="str">
        <f t="shared" si="34"/>
        <v/>
      </c>
      <c r="AU79" s="160" t="str">
        <f t="shared" si="35"/>
        <v/>
      </c>
      <c r="AV79" s="168" t="str">
        <f t="shared" si="36"/>
        <v/>
      </c>
      <c r="AW79" s="171" t="str">
        <f>IF(AV79="","",IFERROR(INDEX(HELPER!$D$8:$D$48,IF(AV79&gt;=HELPER!$B$8,1,MATCH(AV79,HELPER!$B$8:$B$48,-1)+1)),""))</f>
        <v/>
      </c>
      <c r="AX79" s="174" t="str">
        <f>IF(AW79="","",IFERROR(VLOOKUP(AW79,HELPER!$F$8:$G$48,2,FALSE),""))</f>
        <v/>
      </c>
      <c r="AY79" s="147"/>
      <c r="AZ79" s="91"/>
    </row>
    <row r="80" spans="1:52" ht="15" customHeight="1" x14ac:dyDescent="0.3">
      <c r="A80" s="147"/>
      <c r="B80" s="113">
        <v>11</v>
      </c>
      <c r="C80" s="227" t="str">
        <f>IF('INPUT DATA'!N21="","",'INPUT DATA'!N21)</f>
        <v/>
      </c>
      <c r="D80" s="228"/>
      <c r="E80" s="228"/>
      <c r="F80" s="131"/>
      <c r="G80" s="127"/>
      <c r="H80" s="127"/>
      <c r="I80" s="127"/>
      <c r="J80" s="132"/>
      <c r="K80" s="160" t="str">
        <f t="shared" si="13"/>
        <v/>
      </c>
      <c r="L80" s="185" t="str">
        <f t="shared" si="21"/>
        <v/>
      </c>
      <c r="M80" s="185" t="str">
        <f t="shared" si="15"/>
        <v/>
      </c>
      <c r="N80" s="131"/>
      <c r="O80" s="127"/>
      <c r="P80" s="127"/>
      <c r="Q80" s="127"/>
      <c r="R80" s="132"/>
      <c r="S80" s="160" t="str">
        <f t="shared" si="0"/>
        <v/>
      </c>
      <c r="T80" s="185" t="str">
        <f t="shared" si="22"/>
        <v/>
      </c>
      <c r="U80" s="185" t="str">
        <f t="shared" si="23"/>
        <v/>
      </c>
      <c r="V80" s="131"/>
      <c r="W80" s="127"/>
      <c r="X80" s="132"/>
      <c r="Y80" s="160" t="str">
        <f t="shared" si="24"/>
        <v/>
      </c>
      <c r="Z80" s="160" t="str">
        <f t="shared" si="25"/>
        <v/>
      </c>
      <c r="AA80" s="160" t="str">
        <f t="shared" si="17"/>
        <v/>
      </c>
      <c r="AB80" s="131"/>
      <c r="AC80" s="127"/>
      <c r="AD80" s="132"/>
      <c r="AE80" s="160" t="str">
        <f t="shared" si="26"/>
        <v/>
      </c>
      <c r="AF80" s="160" t="str">
        <f t="shared" si="27"/>
        <v/>
      </c>
      <c r="AG80" s="160" t="str">
        <f t="shared" si="19"/>
        <v/>
      </c>
      <c r="AH80" s="131"/>
      <c r="AI80" s="127"/>
      <c r="AJ80" s="132"/>
      <c r="AK80" s="177" t="str">
        <f t="shared" si="28"/>
        <v/>
      </c>
      <c r="AL80" s="160" t="str">
        <f t="shared" si="29"/>
        <v/>
      </c>
      <c r="AM80" s="160" t="str">
        <f t="shared" si="30"/>
        <v/>
      </c>
      <c r="AN80" s="131"/>
      <c r="AO80" s="127"/>
      <c r="AP80" s="132"/>
      <c r="AQ80" s="164" t="str">
        <f t="shared" si="31"/>
        <v/>
      </c>
      <c r="AR80" s="155" t="str">
        <f t="shared" si="32"/>
        <v/>
      </c>
      <c r="AS80" s="188" t="str">
        <f t="shared" si="33"/>
        <v/>
      </c>
      <c r="AT80" s="160" t="str">
        <f t="shared" si="34"/>
        <v/>
      </c>
      <c r="AU80" s="160" t="str">
        <f t="shared" si="35"/>
        <v/>
      </c>
      <c r="AV80" s="168" t="str">
        <f t="shared" si="36"/>
        <v/>
      </c>
      <c r="AW80" s="171" t="str">
        <f>IF(AV80="","",IFERROR(INDEX(HELPER!$D$8:$D$48,IF(AV80&gt;=HELPER!$B$8,1,MATCH(AV80,HELPER!$B$8:$B$48,-1)+1)),""))</f>
        <v/>
      </c>
      <c r="AX80" s="174" t="str">
        <f>IF(AW80="","",IFERROR(VLOOKUP(AW80,HELPER!$F$8:$G$48,2,FALSE),""))</f>
        <v/>
      </c>
      <c r="AY80" s="147"/>
      <c r="AZ80" s="91"/>
    </row>
    <row r="81" spans="1:52" ht="15" customHeight="1" x14ac:dyDescent="0.3">
      <c r="A81" s="147"/>
      <c r="B81" s="113">
        <v>12</v>
      </c>
      <c r="C81" s="227" t="str">
        <f>IF('INPUT DATA'!N22="","",'INPUT DATA'!N22)</f>
        <v/>
      </c>
      <c r="D81" s="228"/>
      <c r="E81" s="228"/>
      <c r="F81" s="131"/>
      <c r="G81" s="127"/>
      <c r="H81" s="127"/>
      <c r="I81" s="127"/>
      <c r="J81" s="132"/>
      <c r="K81" s="160" t="str">
        <f t="shared" si="13"/>
        <v/>
      </c>
      <c r="L81" s="185" t="str">
        <f t="shared" si="21"/>
        <v/>
      </c>
      <c r="M81" s="185" t="str">
        <f t="shared" si="15"/>
        <v/>
      </c>
      <c r="N81" s="131"/>
      <c r="O81" s="127"/>
      <c r="P81" s="127"/>
      <c r="Q81" s="127"/>
      <c r="R81" s="132"/>
      <c r="S81" s="160" t="str">
        <f t="shared" si="0"/>
        <v/>
      </c>
      <c r="T81" s="185" t="str">
        <f t="shared" si="22"/>
        <v/>
      </c>
      <c r="U81" s="185" t="str">
        <f t="shared" si="23"/>
        <v/>
      </c>
      <c r="V81" s="131"/>
      <c r="W81" s="127"/>
      <c r="X81" s="132"/>
      <c r="Y81" s="160" t="str">
        <f t="shared" si="24"/>
        <v/>
      </c>
      <c r="Z81" s="160" t="str">
        <f t="shared" si="25"/>
        <v/>
      </c>
      <c r="AA81" s="160" t="str">
        <f t="shared" si="17"/>
        <v/>
      </c>
      <c r="AB81" s="131"/>
      <c r="AC81" s="127"/>
      <c r="AD81" s="132"/>
      <c r="AE81" s="160" t="str">
        <f t="shared" si="26"/>
        <v/>
      </c>
      <c r="AF81" s="160" t="str">
        <f t="shared" si="27"/>
        <v/>
      </c>
      <c r="AG81" s="160" t="str">
        <f t="shared" si="19"/>
        <v/>
      </c>
      <c r="AH81" s="131"/>
      <c r="AI81" s="127"/>
      <c r="AJ81" s="132"/>
      <c r="AK81" s="177" t="str">
        <f t="shared" si="28"/>
        <v/>
      </c>
      <c r="AL81" s="160" t="str">
        <f t="shared" si="29"/>
        <v/>
      </c>
      <c r="AM81" s="160" t="str">
        <f t="shared" si="30"/>
        <v/>
      </c>
      <c r="AN81" s="131"/>
      <c r="AO81" s="127"/>
      <c r="AP81" s="132"/>
      <c r="AQ81" s="164" t="str">
        <f t="shared" si="31"/>
        <v/>
      </c>
      <c r="AR81" s="155" t="str">
        <f t="shared" si="32"/>
        <v/>
      </c>
      <c r="AS81" s="188" t="str">
        <f t="shared" si="33"/>
        <v/>
      </c>
      <c r="AT81" s="160" t="str">
        <f t="shared" si="34"/>
        <v/>
      </c>
      <c r="AU81" s="160" t="str">
        <f t="shared" si="35"/>
        <v/>
      </c>
      <c r="AV81" s="168" t="str">
        <f t="shared" si="36"/>
        <v/>
      </c>
      <c r="AW81" s="171" t="str">
        <f>IF(AV81="","",IFERROR(INDEX(HELPER!$D$8:$D$48,IF(AV81&gt;=HELPER!$B$8,1,MATCH(AV81,HELPER!$B$8:$B$48,-1)+1)),""))</f>
        <v/>
      </c>
      <c r="AX81" s="174" t="str">
        <f>IF(AW81="","",IFERROR(VLOOKUP(AW81,HELPER!$F$8:$G$48,2,FALSE),""))</f>
        <v/>
      </c>
      <c r="AY81" s="147"/>
      <c r="AZ81" s="91"/>
    </row>
    <row r="82" spans="1:52" ht="15" customHeight="1" x14ac:dyDescent="0.3">
      <c r="A82" s="147"/>
      <c r="B82" s="113">
        <v>13</v>
      </c>
      <c r="C82" s="227" t="str">
        <f>IF('INPUT DATA'!N23="","",'INPUT DATA'!N23)</f>
        <v/>
      </c>
      <c r="D82" s="228"/>
      <c r="E82" s="228"/>
      <c r="F82" s="131"/>
      <c r="G82" s="127"/>
      <c r="H82" s="127"/>
      <c r="I82" s="127"/>
      <c r="J82" s="132"/>
      <c r="K82" s="160" t="str">
        <f t="shared" si="13"/>
        <v/>
      </c>
      <c r="L82" s="185" t="str">
        <f t="shared" si="21"/>
        <v/>
      </c>
      <c r="M82" s="185" t="str">
        <f t="shared" si="15"/>
        <v/>
      </c>
      <c r="N82" s="131"/>
      <c r="O82" s="127"/>
      <c r="P82" s="127"/>
      <c r="Q82" s="127"/>
      <c r="R82" s="132"/>
      <c r="S82" s="160" t="str">
        <f t="shared" si="0"/>
        <v/>
      </c>
      <c r="T82" s="185" t="str">
        <f t="shared" si="22"/>
        <v/>
      </c>
      <c r="U82" s="185" t="str">
        <f t="shared" si="23"/>
        <v/>
      </c>
      <c r="V82" s="131"/>
      <c r="W82" s="127"/>
      <c r="X82" s="132"/>
      <c r="Y82" s="160" t="str">
        <f t="shared" si="24"/>
        <v/>
      </c>
      <c r="Z82" s="160" t="str">
        <f t="shared" si="25"/>
        <v/>
      </c>
      <c r="AA82" s="160" t="str">
        <f t="shared" si="17"/>
        <v/>
      </c>
      <c r="AB82" s="131"/>
      <c r="AC82" s="127"/>
      <c r="AD82" s="132"/>
      <c r="AE82" s="160" t="str">
        <f t="shared" si="26"/>
        <v/>
      </c>
      <c r="AF82" s="160" t="str">
        <f t="shared" si="27"/>
        <v/>
      </c>
      <c r="AG82" s="160" t="str">
        <f t="shared" si="19"/>
        <v/>
      </c>
      <c r="AH82" s="131"/>
      <c r="AI82" s="127"/>
      <c r="AJ82" s="132"/>
      <c r="AK82" s="177" t="str">
        <f t="shared" si="28"/>
        <v/>
      </c>
      <c r="AL82" s="160" t="str">
        <f t="shared" si="29"/>
        <v/>
      </c>
      <c r="AM82" s="160" t="str">
        <f t="shared" si="30"/>
        <v/>
      </c>
      <c r="AN82" s="131"/>
      <c r="AO82" s="127"/>
      <c r="AP82" s="132"/>
      <c r="AQ82" s="164" t="str">
        <f t="shared" si="31"/>
        <v/>
      </c>
      <c r="AR82" s="155" t="str">
        <f t="shared" si="32"/>
        <v/>
      </c>
      <c r="AS82" s="188" t="str">
        <f t="shared" si="33"/>
        <v/>
      </c>
      <c r="AT82" s="160" t="str">
        <f t="shared" si="34"/>
        <v/>
      </c>
      <c r="AU82" s="160" t="str">
        <f t="shared" si="35"/>
        <v/>
      </c>
      <c r="AV82" s="168" t="str">
        <f t="shared" si="36"/>
        <v/>
      </c>
      <c r="AW82" s="171" t="str">
        <f>IF(AV82="","",IFERROR(INDEX(HELPER!$D$8:$D$48,IF(AV82&gt;=HELPER!$B$8,1,MATCH(AV82,HELPER!$B$8:$B$48,-1)+1)),""))</f>
        <v/>
      </c>
      <c r="AX82" s="174" t="str">
        <f>IF(AW82="","",IFERROR(VLOOKUP(AW82,HELPER!$F$8:$G$48,2,FALSE),""))</f>
        <v/>
      </c>
      <c r="AY82" s="147"/>
      <c r="AZ82" s="91"/>
    </row>
    <row r="83" spans="1:52" ht="15" customHeight="1" x14ac:dyDescent="0.3">
      <c r="A83" s="147"/>
      <c r="B83" s="113">
        <v>14</v>
      </c>
      <c r="C83" s="227" t="str">
        <f>IF('INPUT DATA'!N24="","",'INPUT DATA'!N24)</f>
        <v/>
      </c>
      <c r="D83" s="228"/>
      <c r="E83" s="228"/>
      <c r="F83" s="131"/>
      <c r="G83" s="127"/>
      <c r="H83" s="127"/>
      <c r="I83" s="127"/>
      <c r="J83" s="132"/>
      <c r="K83" s="160" t="str">
        <f t="shared" si="13"/>
        <v/>
      </c>
      <c r="L83" s="185" t="str">
        <f t="shared" si="21"/>
        <v/>
      </c>
      <c r="M83" s="185" t="str">
        <f t="shared" si="15"/>
        <v/>
      </c>
      <c r="N83" s="131"/>
      <c r="O83" s="127"/>
      <c r="P83" s="127"/>
      <c r="Q83" s="127"/>
      <c r="R83" s="132"/>
      <c r="S83" s="160" t="str">
        <f t="shared" ref="S83:S119" si="37">IF(COUNT($N83:$R83)=0,"",SUM($N83:$R83))</f>
        <v/>
      </c>
      <c r="T83" s="185" t="str">
        <f t="shared" si="22"/>
        <v/>
      </c>
      <c r="U83" s="185" t="str">
        <f t="shared" si="23"/>
        <v/>
      </c>
      <c r="V83" s="131"/>
      <c r="W83" s="127"/>
      <c r="X83" s="132"/>
      <c r="Y83" s="160" t="str">
        <f t="shared" si="24"/>
        <v/>
      </c>
      <c r="Z83" s="160" t="str">
        <f t="shared" si="25"/>
        <v/>
      </c>
      <c r="AA83" s="160" t="str">
        <f t="shared" si="17"/>
        <v/>
      </c>
      <c r="AB83" s="131"/>
      <c r="AC83" s="127"/>
      <c r="AD83" s="132"/>
      <c r="AE83" s="160" t="str">
        <f t="shared" si="26"/>
        <v/>
      </c>
      <c r="AF83" s="160" t="str">
        <f t="shared" si="27"/>
        <v/>
      </c>
      <c r="AG83" s="160" t="str">
        <f t="shared" si="19"/>
        <v/>
      </c>
      <c r="AH83" s="131"/>
      <c r="AI83" s="127"/>
      <c r="AJ83" s="132"/>
      <c r="AK83" s="177" t="str">
        <f t="shared" si="28"/>
        <v/>
      </c>
      <c r="AL83" s="160" t="str">
        <f t="shared" si="29"/>
        <v/>
      </c>
      <c r="AM83" s="160" t="str">
        <f t="shared" si="30"/>
        <v/>
      </c>
      <c r="AN83" s="131"/>
      <c r="AO83" s="127"/>
      <c r="AP83" s="132"/>
      <c r="AQ83" s="164" t="str">
        <f t="shared" si="31"/>
        <v/>
      </c>
      <c r="AR83" s="155" t="str">
        <f t="shared" si="32"/>
        <v/>
      </c>
      <c r="AS83" s="188" t="str">
        <f t="shared" si="33"/>
        <v/>
      </c>
      <c r="AT83" s="160" t="str">
        <f t="shared" si="34"/>
        <v/>
      </c>
      <c r="AU83" s="160" t="str">
        <f t="shared" si="35"/>
        <v/>
      </c>
      <c r="AV83" s="168" t="str">
        <f t="shared" si="36"/>
        <v/>
      </c>
      <c r="AW83" s="171" t="str">
        <f>IF(AV83="","",IFERROR(INDEX(HELPER!$D$8:$D$48,IF(AV83&gt;=HELPER!$B$8,1,MATCH(AV83,HELPER!$B$8:$B$48,-1)+1)),""))</f>
        <v/>
      </c>
      <c r="AX83" s="174" t="str">
        <f>IF(AW83="","",IFERROR(VLOOKUP(AW83,HELPER!$F$8:$G$48,2,FALSE),""))</f>
        <v/>
      </c>
      <c r="AY83" s="147"/>
      <c r="AZ83" s="91"/>
    </row>
    <row r="84" spans="1:52" ht="15" customHeight="1" x14ac:dyDescent="0.3">
      <c r="A84" s="147"/>
      <c r="B84" s="113">
        <v>15</v>
      </c>
      <c r="C84" s="227" t="str">
        <f>IF('INPUT DATA'!N25="","",'INPUT DATA'!N25)</f>
        <v/>
      </c>
      <c r="D84" s="228"/>
      <c r="E84" s="228"/>
      <c r="F84" s="131"/>
      <c r="G84" s="127"/>
      <c r="H84" s="127"/>
      <c r="I84" s="127"/>
      <c r="J84" s="132"/>
      <c r="K84" s="160" t="str">
        <f t="shared" ref="K84:K119" si="38">IF(COUNT($F84:$J84)=0,"",SUM($F84:$J84))</f>
        <v/>
      </c>
      <c r="L84" s="185" t="str">
        <f t="shared" si="21"/>
        <v/>
      </c>
      <c r="M84" s="185" t="str">
        <f t="shared" ref="M84:M119" si="39">IF(L84="","",L84*$M$16)</f>
        <v/>
      </c>
      <c r="N84" s="131"/>
      <c r="O84" s="127"/>
      <c r="P84" s="127"/>
      <c r="Q84" s="127"/>
      <c r="R84" s="132"/>
      <c r="S84" s="160" t="str">
        <f t="shared" si="37"/>
        <v/>
      </c>
      <c r="T84" s="185" t="str">
        <f t="shared" si="22"/>
        <v/>
      </c>
      <c r="U84" s="185" t="str">
        <f t="shared" si="23"/>
        <v/>
      </c>
      <c r="V84" s="131"/>
      <c r="W84" s="127"/>
      <c r="X84" s="132"/>
      <c r="Y84" s="160" t="str">
        <f t="shared" si="24"/>
        <v/>
      </c>
      <c r="Z84" s="160" t="str">
        <f t="shared" si="25"/>
        <v/>
      </c>
      <c r="AA84" s="160" t="str">
        <f t="shared" ref="AA84:AA119" si="40">IF(Z84="","",Z84*$AA$16)</f>
        <v/>
      </c>
      <c r="AB84" s="131"/>
      <c r="AC84" s="127"/>
      <c r="AD84" s="132"/>
      <c r="AE84" s="160" t="str">
        <f t="shared" si="26"/>
        <v/>
      </c>
      <c r="AF84" s="160" t="str">
        <f t="shared" si="27"/>
        <v/>
      </c>
      <c r="AG84" s="160" t="str">
        <f t="shared" ref="AG84:AG119" si="41">IF(AF84="","",AF84*$AG$16)</f>
        <v/>
      </c>
      <c r="AH84" s="131"/>
      <c r="AI84" s="127"/>
      <c r="AJ84" s="132"/>
      <c r="AK84" s="177" t="str">
        <f t="shared" si="28"/>
        <v/>
      </c>
      <c r="AL84" s="160" t="str">
        <f t="shared" si="29"/>
        <v/>
      </c>
      <c r="AM84" s="160" t="str">
        <f t="shared" si="30"/>
        <v/>
      </c>
      <c r="AN84" s="131"/>
      <c r="AO84" s="127"/>
      <c r="AP84" s="132"/>
      <c r="AQ84" s="164" t="str">
        <f t="shared" si="31"/>
        <v/>
      </c>
      <c r="AR84" s="155" t="str">
        <f t="shared" si="32"/>
        <v/>
      </c>
      <c r="AS84" s="188" t="str">
        <f t="shared" si="33"/>
        <v/>
      </c>
      <c r="AT84" s="160" t="str">
        <f t="shared" si="34"/>
        <v/>
      </c>
      <c r="AU84" s="160" t="str">
        <f t="shared" si="35"/>
        <v/>
      </c>
      <c r="AV84" s="168" t="str">
        <f t="shared" si="36"/>
        <v/>
      </c>
      <c r="AW84" s="171" t="str">
        <f>IF(AV84="","",IFERROR(INDEX(HELPER!$D$8:$D$48,IF(AV84&gt;=HELPER!$B$8,1,MATCH(AV84,HELPER!$B$8:$B$48,-1)+1)),""))</f>
        <v/>
      </c>
      <c r="AX84" s="174" t="str">
        <f>IF(AW84="","",IFERROR(VLOOKUP(AW84,HELPER!$F$8:$G$48,2,FALSE),""))</f>
        <v/>
      </c>
      <c r="AY84" s="147"/>
      <c r="AZ84" s="91"/>
    </row>
    <row r="85" spans="1:52" ht="15" customHeight="1" x14ac:dyDescent="0.3">
      <c r="A85" s="147"/>
      <c r="B85" s="113">
        <v>16</v>
      </c>
      <c r="C85" s="227" t="str">
        <f>IF('INPUT DATA'!N26="","",'INPUT DATA'!N26)</f>
        <v/>
      </c>
      <c r="D85" s="228"/>
      <c r="E85" s="228"/>
      <c r="F85" s="131"/>
      <c r="G85" s="127"/>
      <c r="H85" s="127"/>
      <c r="I85" s="127"/>
      <c r="J85" s="132"/>
      <c r="K85" s="160" t="str">
        <f t="shared" si="38"/>
        <v/>
      </c>
      <c r="L85" s="185" t="str">
        <f t="shared" si="21"/>
        <v/>
      </c>
      <c r="M85" s="185" t="str">
        <f t="shared" si="39"/>
        <v/>
      </c>
      <c r="N85" s="131"/>
      <c r="O85" s="127"/>
      <c r="P85" s="127"/>
      <c r="Q85" s="127"/>
      <c r="R85" s="132"/>
      <c r="S85" s="160" t="str">
        <f t="shared" si="37"/>
        <v/>
      </c>
      <c r="T85" s="185" t="str">
        <f t="shared" si="22"/>
        <v/>
      </c>
      <c r="U85" s="185" t="str">
        <f t="shared" si="23"/>
        <v/>
      </c>
      <c r="V85" s="131"/>
      <c r="W85" s="127"/>
      <c r="X85" s="132"/>
      <c r="Y85" s="160" t="str">
        <f t="shared" si="24"/>
        <v/>
      </c>
      <c r="Z85" s="160" t="str">
        <f t="shared" si="25"/>
        <v/>
      </c>
      <c r="AA85" s="160" t="str">
        <f t="shared" si="40"/>
        <v/>
      </c>
      <c r="AB85" s="131"/>
      <c r="AC85" s="127"/>
      <c r="AD85" s="132"/>
      <c r="AE85" s="160" t="str">
        <f t="shared" si="26"/>
        <v/>
      </c>
      <c r="AF85" s="160" t="str">
        <f t="shared" si="27"/>
        <v/>
      </c>
      <c r="AG85" s="160" t="str">
        <f t="shared" si="41"/>
        <v/>
      </c>
      <c r="AH85" s="131"/>
      <c r="AI85" s="127"/>
      <c r="AJ85" s="132"/>
      <c r="AK85" s="177" t="str">
        <f t="shared" si="28"/>
        <v/>
      </c>
      <c r="AL85" s="160" t="str">
        <f t="shared" si="29"/>
        <v/>
      </c>
      <c r="AM85" s="160" t="str">
        <f t="shared" si="30"/>
        <v/>
      </c>
      <c r="AN85" s="131"/>
      <c r="AO85" s="127"/>
      <c r="AP85" s="132"/>
      <c r="AQ85" s="164" t="str">
        <f t="shared" si="31"/>
        <v/>
      </c>
      <c r="AR85" s="155" t="str">
        <f t="shared" si="32"/>
        <v/>
      </c>
      <c r="AS85" s="188" t="str">
        <f t="shared" si="33"/>
        <v/>
      </c>
      <c r="AT85" s="160" t="str">
        <f t="shared" si="34"/>
        <v/>
      </c>
      <c r="AU85" s="160" t="str">
        <f t="shared" si="35"/>
        <v/>
      </c>
      <c r="AV85" s="168" t="str">
        <f t="shared" si="36"/>
        <v/>
      </c>
      <c r="AW85" s="171" t="str">
        <f>IF(AV85="","",IFERROR(INDEX(HELPER!$D$8:$D$48,IF(AV85&gt;=HELPER!$B$8,1,MATCH(AV85,HELPER!$B$8:$B$48,-1)+1)),""))</f>
        <v/>
      </c>
      <c r="AX85" s="174" t="str">
        <f>IF(AW85="","",IFERROR(VLOOKUP(AW85,HELPER!$F$8:$G$48,2,FALSE),""))</f>
        <v/>
      </c>
      <c r="AY85" s="147"/>
      <c r="AZ85" s="91"/>
    </row>
    <row r="86" spans="1:52" ht="15" customHeight="1" x14ac:dyDescent="0.3">
      <c r="A86" s="147"/>
      <c r="B86" s="113">
        <v>17</v>
      </c>
      <c r="C86" s="227" t="str">
        <f>IF('INPUT DATA'!N27="","",'INPUT DATA'!N27)</f>
        <v/>
      </c>
      <c r="D86" s="228"/>
      <c r="E86" s="228"/>
      <c r="F86" s="131"/>
      <c r="G86" s="127"/>
      <c r="H86" s="127"/>
      <c r="I86" s="127"/>
      <c r="J86" s="132"/>
      <c r="K86" s="160" t="str">
        <f t="shared" si="38"/>
        <v/>
      </c>
      <c r="L86" s="185" t="str">
        <f t="shared" si="21"/>
        <v/>
      </c>
      <c r="M86" s="185" t="str">
        <f t="shared" si="39"/>
        <v/>
      </c>
      <c r="N86" s="131"/>
      <c r="O86" s="127"/>
      <c r="P86" s="127"/>
      <c r="Q86" s="127"/>
      <c r="R86" s="132"/>
      <c r="S86" s="160" t="str">
        <f t="shared" si="37"/>
        <v/>
      </c>
      <c r="T86" s="185" t="str">
        <f t="shared" si="22"/>
        <v/>
      </c>
      <c r="U86" s="185" t="str">
        <f t="shared" si="23"/>
        <v/>
      </c>
      <c r="V86" s="131"/>
      <c r="W86" s="127"/>
      <c r="X86" s="132"/>
      <c r="Y86" s="160" t="str">
        <f t="shared" si="24"/>
        <v/>
      </c>
      <c r="Z86" s="160" t="str">
        <f t="shared" si="25"/>
        <v/>
      </c>
      <c r="AA86" s="160" t="str">
        <f t="shared" si="40"/>
        <v/>
      </c>
      <c r="AB86" s="131"/>
      <c r="AC86" s="127"/>
      <c r="AD86" s="132"/>
      <c r="AE86" s="160" t="str">
        <f t="shared" si="26"/>
        <v/>
      </c>
      <c r="AF86" s="160" t="str">
        <f t="shared" si="27"/>
        <v/>
      </c>
      <c r="AG86" s="160" t="str">
        <f t="shared" si="41"/>
        <v/>
      </c>
      <c r="AH86" s="131"/>
      <c r="AI86" s="127"/>
      <c r="AJ86" s="132"/>
      <c r="AK86" s="177" t="str">
        <f t="shared" si="28"/>
        <v/>
      </c>
      <c r="AL86" s="160" t="str">
        <f t="shared" si="29"/>
        <v/>
      </c>
      <c r="AM86" s="160" t="str">
        <f t="shared" si="30"/>
        <v/>
      </c>
      <c r="AN86" s="131"/>
      <c r="AO86" s="127"/>
      <c r="AP86" s="132"/>
      <c r="AQ86" s="164" t="str">
        <f t="shared" si="31"/>
        <v/>
      </c>
      <c r="AR86" s="155" t="str">
        <f t="shared" si="32"/>
        <v/>
      </c>
      <c r="AS86" s="188" t="str">
        <f t="shared" si="33"/>
        <v/>
      </c>
      <c r="AT86" s="160" t="str">
        <f t="shared" si="34"/>
        <v/>
      </c>
      <c r="AU86" s="160" t="str">
        <f t="shared" si="35"/>
        <v/>
      </c>
      <c r="AV86" s="168" t="str">
        <f t="shared" si="36"/>
        <v/>
      </c>
      <c r="AW86" s="171" t="str">
        <f>IF(AV86="","",IFERROR(INDEX(HELPER!$D$8:$D$48,IF(AV86&gt;=HELPER!$B$8,1,MATCH(AV86,HELPER!$B$8:$B$48,-1)+1)),""))</f>
        <v/>
      </c>
      <c r="AX86" s="174" t="str">
        <f>IF(AW86="","",IFERROR(VLOOKUP(AW86,HELPER!$F$8:$G$48,2,FALSE),""))</f>
        <v/>
      </c>
      <c r="AY86" s="147"/>
      <c r="AZ86" s="91"/>
    </row>
    <row r="87" spans="1:52" ht="15" customHeight="1" x14ac:dyDescent="0.3">
      <c r="A87" s="147"/>
      <c r="B87" s="113">
        <v>18</v>
      </c>
      <c r="C87" s="227" t="str">
        <f>IF('INPUT DATA'!N28="","",'INPUT DATA'!N28)</f>
        <v/>
      </c>
      <c r="D87" s="228"/>
      <c r="E87" s="228"/>
      <c r="F87" s="131"/>
      <c r="G87" s="127"/>
      <c r="H87" s="127"/>
      <c r="I87" s="127"/>
      <c r="J87" s="132"/>
      <c r="K87" s="160" t="str">
        <f t="shared" si="38"/>
        <v/>
      </c>
      <c r="L87" s="185" t="str">
        <f t="shared" si="21"/>
        <v/>
      </c>
      <c r="M87" s="185" t="str">
        <f t="shared" si="39"/>
        <v/>
      </c>
      <c r="N87" s="131"/>
      <c r="O87" s="127"/>
      <c r="P87" s="127"/>
      <c r="Q87" s="127"/>
      <c r="R87" s="132"/>
      <c r="S87" s="160" t="str">
        <f t="shared" si="37"/>
        <v/>
      </c>
      <c r="T87" s="185" t="str">
        <f t="shared" si="22"/>
        <v/>
      </c>
      <c r="U87" s="185" t="str">
        <f t="shared" si="23"/>
        <v/>
      </c>
      <c r="V87" s="131"/>
      <c r="W87" s="127"/>
      <c r="X87" s="132"/>
      <c r="Y87" s="160" t="str">
        <f t="shared" si="24"/>
        <v/>
      </c>
      <c r="Z87" s="160" t="str">
        <f t="shared" si="25"/>
        <v/>
      </c>
      <c r="AA87" s="160" t="str">
        <f t="shared" si="40"/>
        <v/>
      </c>
      <c r="AB87" s="131"/>
      <c r="AC87" s="127"/>
      <c r="AD87" s="132"/>
      <c r="AE87" s="160" t="str">
        <f t="shared" si="26"/>
        <v/>
      </c>
      <c r="AF87" s="160" t="str">
        <f t="shared" si="27"/>
        <v/>
      </c>
      <c r="AG87" s="160" t="str">
        <f t="shared" si="41"/>
        <v/>
      </c>
      <c r="AH87" s="131"/>
      <c r="AI87" s="127"/>
      <c r="AJ87" s="132"/>
      <c r="AK87" s="177" t="str">
        <f t="shared" si="28"/>
        <v/>
      </c>
      <c r="AL87" s="160" t="str">
        <f t="shared" si="29"/>
        <v/>
      </c>
      <c r="AM87" s="160" t="str">
        <f t="shared" si="30"/>
        <v/>
      </c>
      <c r="AN87" s="131"/>
      <c r="AO87" s="127"/>
      <c r="AP87" s="132"/>
      <c r="AQ87" s="164" t="str">
        <f t="shared" si="31"/>
        <v/>
      </c>
      <c r="AR87" s="155" t="str">
        <f t="shared" si="32"/>
        <v/>
      </c>
      <c r="AS87" s="188" t="str">
        <f t="shared" si="33"/>
        <v/>
      </c>
      <c r="AT87" s="160" t="str">
        <f t="shared" si="34"/>
        <v/>
      </c>
      <c r="AU87" s="160" t="str">
        <f t="shared" si="35"/>
        <v/>
      </c>
      <c r="AV87" s="168" t="str">
        <f t="shared" si="36"/>
        <v/>
      </c>
      <c r="AW87" s="171" t="str">
        <f>IF(AV87="","",IFERROR(INDEX(HELPER!$D$8:$D$48,IF(AV87&gt;=HELPER!$B$8,1,MATCH(AV87,HELPER!$B$8:$B$48,-1)+1)),""))</f>
        <v/>
      </c>
      <c r="AX87" s="174" t="str">
        <f>IF(AW87="","",IFERROR(VLOOKUP(AW87,HELPER!$F$8:$G$48,2,FALSE),""))</f>
        <v/>
      </c>
      <c r="AY87" s="147"/>
      <c r="AZ87" s="91"/>
    </row>
    <row r="88" spans="1:52" ht="15" customHeight="1" x14ac:dyDescent="0.3">
      <c r="A88" s="147"/>
      <c r="B88" s="113">
        <v>19</v>
      </c>
      <c r="C88" s="227" t="str">
        <f>IF('INPUT DATA'!N29="","",'INPUT DATA'!N29)</f>
        <v/>
      </c>
      <c r="D88" s="228"/>
      <c r="E88" s="228"/>
      <c r="F88" s="131"/>
      <c r="G88" s="127"/>
      <c r="H88" s="127"/>
      <c r="I88" s="127"/>
      <c r="J88" s="132"/>
      <c r="K88" s="160" t="str">
        <f t="shared" si="38"/>
        <v/>
      </c>
      <c r="L88" s="185" t="str">
        <f t="shared" si="21"/>
        <v/>
      </c>
      <c r="M88" s="185" t="str">
        <f t="shared" si="39"/>
        <v/>
      </c>
      <c r="N88" s="131"/>
      <c r="O88" s="127"/>
      <c r="P88" s="127"/>
      <c r="Q88" s="127"/>
      <c r="R88" s="132"/>
      <c r="S88" s="160" t="str">
        <f t="shared" si="37"/>
        <v/>
      </c>
      <c r="T88" s="185" t="str">
        <f t="shared" si="22"/>
        <v/>
      </c>
      <c r="U88" s="185" t="str">
        <f t="shared" si="23"/>
        <v/>
      </c>
      <c r="V88" s="131"/>
      <c r="W88" s="127"/>
      <c r="X88" s="132"/>
      <c r="Y88" s="160" t="str">
        <f t="shared" si="24"/>
        <v/>
      </c>
      <c r="Z88" s="160" t="str">
        <f t="shared" si="25"/>
        <v/>
      </c>
      <c r="AA88" s="160" t="str">
        <f t="shared" si="40"/>
        <v/>
      </c>
      <c r="AB88" s="131"/>
      <c r="AC88" s="127"/>
      <c r="AD88" s="132"/>
      <c r="AE88" s="160" t="str">
        <f t="shared" si="26"/>
        <v/>
      </c>
      <c r="AF88" s="160" t="str">
        <f t="shared" si="27"/>
        <v/>
      </c>
      <c r="AG88" s="160" t="str">
        <f t="shared" si="41"/>
        <v/>
      </c>
      <c r="AH88" s="131"/>
      <c r="AI88" s="127"/>
      <c r="AJ88" s="132"/>
      <c r="AK88" s="177" t="str">
        <f t="shared" si="28"/>
        <v/>
      </c>
      <c r="AL88" s="160" t="str">
        <f t="shared" si="29"/>
        <v/>
      </c>
      <c r="AM88" s="160" t="str">
        <f t="shared" si="30"/>
        <v/>
      </c>
      <c r="AN88" s="131"/>
      <c r="AO88" s="127"/>
      <c r="AP88" s="132"/>
      <c r="AQ88" s="164" t="str">
        <f t="shared" si="31"/>
        <v/>
      </c>
      <c r="AR88" s="155" t="str">
        <f t="shared" si="32"/>
        <v/>
      </c>
      <c r="AS88" s="188" t="str">
        <f t="shared" si="33"/>
        <v/>
      </c>
      <c r="AT88" s="160" t="str">
        <f t="shared" si="34"/>
        <v/>
      </c>
      <c r="AU88" s="160" t="str">
        <f t="shared" si="35"/>
        <v/>
      </c>
      <c r="AV88" s="168" t="str">
        <f t="shared" si="36"/>
        <v/>
      </c>
      <c r="AW88" s="171" t="str">
        <f>IF(AV88="","",IFERROR(INDEX(HELPER!$D$8:$D$48,IF(AV88&gt;=HELPER!$B$8,1,MATCH(AV88,HELPER!$B$8:$B$48,-1)+1)),""))</f>
        <v/>
      </c>
      <c r="AX88" s="174" t="str">
        <f>IF(AW88="","",IFERROR(VLOOKUP(AW88,HELPER!$F$8:$G$48,2,FALSE),""))</f>
        <v/>
      </c>
      <c r="AY88" s="147"/>
      <c r="AZ88" s="91"/>
    </row>
    <row r="89" spans="1:52" ht="15" customHeight="1" x14ac:dyDescent="0.3">
      <c r="A89" s="147"/>
      <c r="B89" s="114">
        <v>20</v>
      </c>
      <c r="C89" s="227" t="str">
        <f>IF('INPUT DATA'!N30="","",'INPUT DATA'!N30)</f>
        <v/>
      </c>
      <c r="D89" s="228"/>
      <c r="E89" s="228"/>
      <c r="F89" s="131"/>
      <c r="G89" s="127"/>
      <c r="H89" s="127"/>
      <c r="I89" s="127"/>
      <c r="J89" s="132"/>
      <c r="K89" s="160" t="str">
        <f t="shared" si="38"/>
        <v/>
      </c>
      <c r="L89" s="185" t="str">
        <f t="shared" si="21"/>
        <v/>
      </c>
      <c r="M89" s="185" t="str">
        <f t="shared" si="39"/>
        <v/>
      </c>
      <c r="N89" s="131"/>
      <c r="O89" s="127"/>
      <c r="P89" s="127"/>
      <c r="Q89" s="127"/>
      <c r="R89" s="132"/>
      <c r="S89" s="160" t="str">
        <f t="shared" si="37"/>
        <v/>
      </c>
      <c r="T89" s="185" t="str">
        <f t="shared" si="22"/>
        <v/>
      </c>
      <c r="U89" s="185" t="str">
        <f t="shared" si="23"/>
        <v/>
      </c>
      <c r="V89" s="131"/>
      <c r="W89" s="127"/>
      <c r="X89" s="132"/>
      <c r="Y89" s="160" t="str">
        <f t="shared" si="24"/>
        <v/>
      </c>
      <c r="Z89" s="160" t="str">
        <f t="shared" si="25"/>
        <v/>
      </c>
      <c r="AA89" s="160" t="str">
        <f t="shared" si="40"/>
        <v/>
      </c>
      <c r="AB89" s="131"/>
      <c r="AC89" s="127"/>
      <c r="AD89" s="132"/>
      <c r="AE89" s="160" t="str">
        <f t="shared" si="26"/>
        <v/>
      </c>
      <c r="AF89" s="160" t="str">
        <f t="shared" si="27"/>
        <v/>
      </c>
      <c r="AG89" s="160" t="str">
        <f t="shared" si="41"/>
        <v/>
      </c>
      <c r="AH89" s="131"/>
      <c r="AI89" s="127"/>
      <c r="AJ89" s="132"/>
      <c r="AK89" s="177" t="str">
        <f t="shared" si="28"/>
        <v/>
      </c>
      <c r="AL89" s="160" t="str">
        <f t="shared" si="29"/>
        <v/>
      </c>
      <c r="AM89" s="160" t="str">
        <f t="shared" si="30"/>
        <v/>
      </c>
      <c r="AN89" s="131"/>
      <c r="AO89" s="127"/>
      <c r="AP89" s="132"/>
      <c r="AQ89" s="164" t="str">
        <f t="shared" si="31"/>
        <v/>
      </c>
      <c r="AR89" s="155" t="str">
        <f t="shared" si="32"/>
        <v/>
      </c>
      <c r="AS89" s="188" t="str">
        <f t="shared" si="33"/>
        <v/>
      </c>
      <c r="AT89" s="160" t="str">
        <f t="shared" si="34"/>
        <v/>
      </c>
      <c r="AU89" s="160" t="str">
        <f t="shared" si="35"/>
        <v/>
      </c>
      <c r="AV89" s="168" t="str">
        <f t="shared" si="36"/>
        <v/>
      </c>
      <c r="AW89" s="171" t="str">
        <f>IF(AV89="","",IFERROR(INDEX(HELPER!$D$8:$D$48,IF(AV89&gt;=HELPER!$B$8,1,MATCH(AV89,HELPER!$B$8:$B$48,-1)+1)),""))</f>
        <v/>
      </c>
      <c r="AX89" s="174" t="str">
        <f>IF(AW89="","",IFERROR(VLOOKUP(AW89,HELPER!$F$8:$G$48,2,FALSE),""))</f>
        <v/>
      </c>
      <c r="AY89" s="147"/>
      <c r="AZ89" s="91"/>
    </row>
    <row r="90" spans="1:52" ht="15" customHeight="1" x14ac:dyDescent="0.3">
      <c r="A90" s="147"/>
      <c r="B90" s="114">
        <v>21</v>
      </c>
      <c r="C90" s="227" t="str">
        <f>IF('INPUT DATA'!N31="","",'INPUT DATA'!N31)</f>
        <v/>
      </c>
      <c r="D90" s="228"/>
      <c r="E90" s="228"/>
      <c r="F90" s="131"/>
      <c r="G90" s="127"/>
      <c r="H90" s="127"/>
      <c r="I90" s="127"/>
      <c r="J90" s="132"/>
      <c r="K90" s="160" t="str">
        <f t="shared" si="38"/>
        <v/>
      </c>
      <c r="L90" s="185" t="str">
        <f t="shared" si="21"/>
        <v/>
      </c>
      <c r="M90" s="185" t="str">
        <f t="shared" si="39"/>
        <v/>
      </c>
      <c r="N90" s="131"/>
      <c r="O90" s="127"/>
      <c r="P90" s="127"/>
      <c r="Q90" s="127"/>
      <c r="R90" s="132"/>
      <c r="S90" s="160" t="str">
        <f t="shared" si="37"/>
        <v/>
      </c>
      <c r="T90" s="185" t="str">
        <f t="shared" si="22"/>
        <v/>
      </c>
      <c r="U90" s="185" t="str">
        <f t="shared" si="23"/>
        <v/>
      </c>
      <c r="V90" s="131"/>
      <c r="W90" s="127"/>
      <c r="X90" s="132"/>
      <c r="Y90" s="160" t="str">
        <f t="shared" si="24"/>
        <v/>
      </c>
      <c r="Z90" s="160" t="str">
        <f t="shared" si="25"/>
        <v/>
      </c>
      <c r="AA90" s="160" t="str">
        <f t="shared" si="40"/>
        <v/>
      </c>
      <c r="AB90" s="131"/>
      <c r="AC90" s="127"/>
      <c r="AD90" s="132"/>
      <c r="AE90" s="160" t="str">
        <f t="shared" si="26"/>
        <v/>
      </c>
      <c r="AF90" s="160" t="str">
        <f t="shared" si="27"/>
        <v/>
      </c>
      <c r="AG90" s="160" t="str">
        <f t="shared" si="41"/>
        <v/>
      </c>
      <c r="AH90" s="131"/>
      <c r="AI90" s="127"/>
      <c r="AJ90" s="132"/>
      <c r="AK90" s="177" t="str">
        <f t="shared" si="28"/>
        <v/>
      </c>
      <c r="AL90" s="160" t="str">
        <f t="shared" si="29"/>
        <v/>
      </c>
      <c r="AM90" s="160" t="str">
        <f t="shared" si="30"/>
        <v/>
      </c>
      <c r="AN90" s="131"/>
      <c r="AO90" s="127"/>
      <c r="AP90" s="132"/>
      <c r="AQ90" s="164" t="str">
        <f t="shared" si="31"/>
        <v/>
      </c>
      <c r="AR90" s="155" t="str">
        <f t="shared" si="32"/>
        <v/>
      </c>
      <c r="AS90" s="188" t="str">
        <f t="shared" si="33"/>
        <v/>
      </c>
      <c r="AT90" s="160" t="str">
        <f t="shared" si="34"/>
        <v/>
      </c>
      <c r="AU90" s="160" t="str">
        <f t="shared" si="35"/>
        <v/>
      </c>
      <c r="AV90" s="168" t="str">
        <f t="shared" si="36"/>
        <v/>
      </c>
      <c r="AW90" s="171" t="str">
        <f>IF(AV90="","",IFERROR(INDEX(HELPER!$D$8:$D$48,IF(AV90&gt;=HELPER!$B$8,1,MATCH(AV90,HELPER!$B$8:$B$48,-1)+1)),""))</f>
        <v/>
      </c>
      <c r="AX90" s="174" t="str">
        <f>IF(AW90="","",IFERROR(VLOOKUP(AW90,HELPER!$F$8:$G$48,2,FALSE),""))</f>
        <v/>
      </c>
      <c r="AY90" s="147"/>
      <c r="AZ90" s="91"/>
    </row>
    <row r="91" spans="1:52" ht="15" customHeight="1" x14ac:dyDescent="0.3">
      <c r="A91" s="147"/>
      <c r="B91" s="114">
        <v>22</v>
      </c>
      <c r="C91" s="227" t="str">
        <f>IF('INPUT DATA'!N32="","",'INPUT DATA'!N32)</f>
        <v/>
      </c>
      <c r="D91" s="228"/>
      <c r="E91" s="228"/>
      <c r="F91" s="131"/>
      <c r="G91" s="127"/>
      <c r="H91" s="127"/>
      <c r="I91" s="127"/>
      <c r="J91" s="132"/>
      <c r="K91" s="160" t="str">
        <f t="shared" si="38"/>
        <v/>
      </c>
      <c r="L91" s="185" t="str">
        <f t="shared" si="21"/>
        <v/>
      </c>
      <c r="M91" s="185" t="str">
        <f t="shared" si="39"/>
        <v/>
      </c>
      <c r="N91" s="131"/>
      <c r="O91" s="127"/>
      <c r="P91" s="127"/>
      <c r="Q91" s="127"/>
      <c r="R91" s="132"/>
      <c r="S91" s="160" t="str">
        <f t="shared" si="37"/>
        <v/>
      </c>
      <c r="T91" s="185" t="str">
        <f t="shared" si="22"/>
        <v/>
      </c>
      <c r="U91" s="185" t="str">
        <f t="shared" si="23"/>
        <v/>
      </c>
      <c r="V91" s="131"/>
      <c r="W91" s="127"/>
      <c r="X91" s="132"/>
      <c r="Y91" s="160" t="str">
        <f t="shared" si="24"/>
        <v/>
      </c>
      <c r="Z91" s="160" t="str">
        <f t="shared" si="25"/>
        <v/>
      </c>
      <c r="AA91" s="160" t="str">
        <f t="shared" si="40"/>
        <v/>
      </c>
      <c r="AB91" s="131"/>
      <c r="AC91" s="127"/>
      <c r="AD91" s="132"/>
      <c r="AE91" s="160" t="str">
        <f t="shared" si="26"/>
        <v/>
      </c>
      <c r="AF91" s="160" t="str">
        <f t="shared" si="27"/>
        <v/>
      </c>
      <c r="AG91" s="160" t="str">
        <f t="shared" si="41"/>
        <v/>
      </c>
      <c r="AH91" s="131"/>
      <c r="AI91" s="127"/>
      <c r="AJ91" s="132"/>
      <c r="AK91" s="177" t="str">
        <f t="shared" si="28"/>
        <v/>
      </c>
      <c r="AL91" s="160" t="str">
        <f t="shared" si="29"/>
        <v/>
      </c>
      <c r="AM91" s="160" t="str">
        <f t="shared" si="30"/>
        <v/>
      </c>
      <c r="AN91" s="131"/>
      <c r="AO91" s="127"/>
      <c r="AP91" s="132"/>
      <c r="AQ91" s="164" t="str">
        <f t="shared" si="31"/>
        <v/>
      </c>
      <c r="AR91" s="155" t="str">
        <f t="shared" si="32"/>
        <v/>
      </c>
      <c r="AS91" s="188" t="str">
        <f t="shared" si="33"/>
        <v/>
      </c>
      <c r="AT91" s="160" t="str">
        <f t="shared" si="34"/>
        <v/>
      </c>
      <c r="AU91" s="160" t="str">
        <f t="shared" si="35"/>
        <v/>
      </c>
      <c r="AV91" s="168" t="str">
        <f t="shared" si="36"/>
        <v/>
      </c>
      <c r="AW91" s="171" t="str">
        <f>IF(AV91="","",IFERROR(INDEX(HELPER!$D$8:$D$48,IF(AV91&gt;=HELPER!$B$8,1,MATCH(AV91,HELPER!$B$8:$B$48,-1)+1)),""))</f>
        <v/>
      </c>
      <c r="AX91" s="174" t="str">
        <f>IF(AW91="","",IFERROR(VLOOKUP(AW91,HELPER!$F$8:$G$48,2,FALSE),""))</f>
        <v/>
      </c>
      <c r="AY91" s="147"/>
      <c r="AZ91" s="91"/>
    </row>
    <row r="92" spans="1:52" ht="15" customHeight="1" x14ac:dyDescent="0.3">
      <c r="A92" s="147"/>
      <c r="B92" s="114">
        <v>23</v>
      </c>
      <c r="C92" s="227" t="str">
        <f>IF('INPUT DATA'!N33="","",'INPUT DATA'!N33)</f>
        <v/>
      </c>
      <c r="D92" s="228"/>
      <c r="E92" s="228"/>
      <c r="F92" s="131"/>
      <c r="G92" s="127"/>
      <c r="H92" s="127"/>
      <c r="I92" s="127"/>
      <c r="J92" s="132"/>
      <c r="K92" s="160" t="str">
        <f t="shared" si="38"/>
        <v/>
      </c>
      <c r="L92" s="185" t="str">
        <f t="shared" si="21"/>
        <v/>
      </c>
      <c r="M92" s="185" t="str">
        <f t="shared" si="39"/>
        <v/>
      </c>
      <c r="N92" s="131"/>
      <c r="O92" s="127"/>
      <c r="P92" s="127"/>
      <c r="Q92" s="127"/>
      <c r="R92" s="132"/>
      <c r="S92" s="160" t="str">
        <f t="shared" si="37"/>
        <v/>
      </c>
      <c r="T92" s="185" t="str">
        <f t="shared" si="22"/>
        <v/>
      </c>
      <c r="U92" s="185" t="str">
        <f t="shared" si="23"/>
        <v/>
      </c>
      <c r="V92" s="131"/>
      <c r="W92" s="127"/>
      <c r="X92" s="132"/>
      <c r="Y92" s="160" t="str">
        <f t="shared" si="24"/>
        <v/>
      </c>
      <c r="Z92" s="160" t="str">
        <f t="shared" si="25"/>
        <v/>
      </c>
      <c r="AA92" s="160" t="str">
        <f t="shared" si="40"/>
        <v/>
      </c>
      <c r="AB92" s="131"/>
      <c r="AC92" s="127"/>
      <c r="AD92" s="132"/>
      <c r="AE92" s="160" t="str">
        <f t="shared" si="26"/>
        <v/>
      </c>
      <c r="AF92" s="160" t="str">
        <f t="shared" si="27"/>
        <v/>
      </c>
      <c r="AG92" s="160" t="str">
        <f t="shared" si="41"/>
        <v/>
      </c>
      <c r="AH92" s="131"/>
      <c r="AI92" s="127"/>
      <c r="AJ92" s="132"/>
      <c r="AK92" s="177" t="str">
        <f t="shared" si="28"/>
        <v/>
      </c>
      <c r="AL92" s="160" t="str">
        <f t="shared" si="29"/>
        <v/>
      </c>
      <c r="AM92" s="160" t="str">
        <f t="shared" si="30"/>
        <v/>
      </c>
      <c r="AN92" s="131"/>
      <c r="AO92" s="127"/>
      <c r="AP92" s="132"/>
      <c r="AQ92" s="164" t="str">
        <f t="shared" si="31"/>
        <v/>
      </c>
      <c r="AR92" s="155" t="str">
        <f t="shared" si="32"/>
        <v/>
      </c>
      <c r="AS92" s="188" t="str">
        <f t="shared" si="33"/>
        <v/>
      </c>
      <c r="AT92" s="160" t="str">
        <f t="shared" si="34"/>
        <v/>
      </c>
      <c r="AU92" s="160" t="str">
        <f t="shared" si="35"/>
        <v/>
      </c>
      <c r="AV92" s="168" t="str">
        <f t="shared" si="36"/>
        <v/>
      </c>
      <c r="AW92" s="171" t="str">
        <f>IF(AV92="","",IFERROR(INDEX(HELPER!$D$8:$D$48,IF(AV92&gt;=HELPER!$B$8,1,MATCH(AV92,HELPER!$B$8:$B$48,-1)+1)),""))</f>
        <v/>
      </c>
      <c r="AX92" s="174" t="str">
        <f>IF(AW92="","",IFERROR(VLOOKUP(AW92,HELPER!$F$8:$G$48,2,FALSE),""))</f>
        <v/>
      </c>
      <c r="AY92" s="147"/>
      <c r="AZ92" s="91"/>
    </row>
    <row r="93" spans="1:52" ht="15" customHeight="1" x14ac:dyDescent="0.3">
      <c r="A93" s="147"/>
      <c r="B93" s="114">
        <v>24</v>
      </c>
      <c r="C93" s="227" t="str">
        <f>IF('INPUT DATA'!N34="","",'INPUT DATA'!N34)</f>
        <v/>
      </c>
      <c r="D93" s="228"/>
      <c r="E93" s="228"/>
      <c r="F93" s="131"/>
      <c r="G93" s="127"/>
      <c r="H93" s="127"/>
      <c r="I93" s="127"/>
      <c r="J93" s="132"/>
      <c r="K93" s="160" t="str">
        <f t="shared" si="38"/>
        <v/>
      </c>
      <c r="L93" s="185" t="str">
        <f t="shared" si="21"/>
        <v/>
      </c>
      <c r="M93" s="185" t="str">
        <f t="shared" si="39"/>
        <v/>
      </c>
      <c r="N93" s="131"/>
      <c r="O93" s="127"/>
      <c r="P93" s="127"/>
      <c r="Q93" s="127"/>
      <c r="R93" s="132"/>
      <c r="S93" s="160" t="str">
        <f t="shared" si="37"/>
        <v/>
      </c>
      <c r="T93" s="185" t="str">
        <f t="shared" si="22"/>
        <v/>
      </c>
      <c r="U93" s="185" t="str">
        <f t="shared" si="23"/>
        <v/>
      </c>
      <c r="V93" s="131"/>
      <c r="W93" s="127"/>
      <c r="X93" s="132"/>
      <c r="Y93" s="160" t="str">
        <f t="shared" si="24"/>
        <v/>
      </c>
      <c r="Z93" s="160" t="str">
        <f t="shared" si="25"/>
        <v/>
      </c>
      <c r="AA93" s="160" t="str">
        <f t="shared" si="40"/>
        <v/>
      </c>
      <c r="AB93" s="131"/>
      <c r="AC93" s="127"/>
      <c r="AD93" s="132"/>
      <c r="AE93" s="160" t="str">
        <f t="shared" si="26"/>
        <v/>
      </c>
      <c r="AF93" s="160" t="str">
        <f t="shared" si="27"/>
        <v/>
      </c>
      <c r="AG93" s="160" t="str">
        <f t="shared" si="41"/>
        <v/>
      </c>
      <c r="AH93" s="131"/>
      <c r="AI93" s="127"/>
      <c r="AJ93" s="132"/>
      <c r="AK93" s="177" t="str">
        <f t="shared" si="28"/>
        <v/>
      </c>
      <c r="AL93" s="160" t="str">
        <f t="shared" si="29"/>
        <v/>
      </c>
      <c r="AM93" s="160" t="str">
        <f t="shared" si="30"/>
        <v/>
      </c>
      <c r="AN93" s="131"/>
      <c r="AO93" s="127"/>
      <c r="AP93" s="132"/>
      <c r="AQ93" s="164" t="str">
        <f t="shared" si="31"/>
        <v/>
      </c>
      <c r="AR93" s="155" t="str">
        <f t="shared" si="32"/>
        <v/>
      </c>
      <c r="AS93" s="188" t="str">
        <f t="shared" si="33"/>
        <v/>
      </c>
      <c r="AT93" s="160" t="str">
        <f t="shared" si="34"/>
        <v/>
      </c>
      <c r="AU93" s="160" t="str">
        <f t="shared" si="35"/>
        <v/>
      </c>
      <c r="AV93" s="168" t="str">
        <f t="shared" si="36"/>
        <v/>
      </c>
      <c r="AW93" s="171" t="str">
        <f>IF(AV93="","",IFERROR(INDEX(HELPER!$D$8:$D$48,IF(AV93&gt;=HELPER!$B$8,1,MATCH(AV93,HELPER!$B$8:$B$48,-1)+1)),""))</f>
        <v/>
      </c>
      <c r="AX93" s="174" t="str">
        <f>IF(AW93="","",IFERROR(VLOOKUP(AW93,HELPER!$F$8:$G$48,2,FALSE),""))</f>
        <v/>
      </c>
      <c r="AY93" s="147"/>
      <c r="AZ93" s="91"/>
    </row>
    <row r="94" spans="1:52" ht="15" customHeight="1" x14ac:dyDescent="0.3">
      <c r="A94" s="147"/>
      <c r="B94" s="114">
        <v>25</v>
      </c>
      <c r="C94" s="227" t="str">
        <f>IF('INPUT DATA'!N35="","",'INPUT DATA'!N35)</f>
        <v/>
      </c>
      <c r="D94" s="228"/>
      <c r="E94" s="228"/>
      <c r="F94" s="131"/>
      <c r="G94" s="127"/>
      <c r="H94" s="127"/>
      <c r="I94" s="127"/>
      <c r="J94" s="132"/>
      <c r="K94" s="160" t="str">
        <f t="shared" si="38"/>
        <v/>
      </c>
      <c r="L94" s="185" t="str">
        <f t="shared" si="21"/>
        <v/>
      </c>
      <c r="M94" s="185" t="str">
        <f t="shared" si="39"/>
        <v/>
      </c>
      <c r="N94" s="131"/>
      <c r="O94" s="127"/>
      <c r="P94" s="127"/>
      <c r="Q94" s="127"/>
      <c r="R94" s="132"/>
      <c r="S94" s="160" t="str">
        <f t="shared" si="37"/>
        <v/>
      </c>
      <c r="T94" s="185" t="str">
        <f t="shared" si="22"/>
        <v/>
      </c>
      <c r="U94" s="185" t="str">
        <f t="shared" si="23"/>
        <v/>
      </c>
      <c r="V94" s="131"/>
      <c r="W94" s="127"/>
      <c r="X94" s="132"/>
      <c r="Y94" s="160" t="str">
        <f t="shared" si="24"/>
        <v/>
      </c>
      <c r="Z94" s="160" t="str">
        <f t="shared" si="25"/>
        <v/>
      </c>
      <c r="AA94" s="160" t="str">
        <f t="shared" si="40"/>
        <v/>
      </c>
      <c r="AB94" s="131"/>
      <c r="AC94" s="127"/>
      <c r="AD94" s="132"/>
      <c r="AE94" s="160" t="str">
        <f t="shared" si="26"/>
        <v/>
      </c>
      <c r="AF94" s="160" t="str">
        <f t="shared" si="27"/>
        <v/>
      </c>
      <c r="AG94" s="160" t="str">
        <f t="shared" si="41"/>
        <v/>
      </c>
      <c r="AH94" s="131"/>
      <c r="AI94" s="127"/>
      <c r="AJ94" s="132"/>
      <c r="AK94" s="177" t="str">
        <f t="shared" si="28"/>
        <v/>
      </c>
      <c r="AL94" s="160" t="str">
        <f t="shared" si="29"/>
        <v/>
      </c>
      <c r="AM94" s="160" t="str">
        <f t="shared" si="30"/>
        <v/>
      </c>
      <c r="AN94" s="131"/>
      <c r="AO94" s="127"/>
      <c r="AP94" s="132"/>
      <c r="AQ94" s="164" t="str">
        <f t="shared" si="31"/>
        <v/>
      </c>
      <c r="AR94" s="155" t="str">
        <f t="shared" si="32"/>
        <v/>
      </c>
      <c r="AS94" s="188" t="str">
        <f t="shared" si="33"/>
        <v/>
      </c>
      <c r="AT94" s="160" t="str">
        <f t="shared" si="34"/>
        <v/>
      </c>
      <c r="AU94" s="160" t="str">
        <f t="shared" si="35"/>
        <v/>
      </c>
      <c r="AV94" s="168" t="str">
        <f t="shared" si="36"/>
        <v/>
      </c>
      <c r="AW94" s="171" t="str">
        <f>IF(AV94="","",IFERROR(INDEX(HELPER!$D$8:$D$48,IF(AV94&gt;=HELPER!$B$8,1,MATCH(AV94,HELPER!$B$8:$B$48,-1)+1)),""))</f>
        <v/>
      </c>
      <c r="AX94" s="174" t="str">
        <f>IF(AW94="","",IFERROR(VLOOKUP(AW94,HELPER!$F$8:$G$48,2,FALSE),""))</f>
        <v/>
      </c>
      <c r="AY94" s="147"/>
      <c r="AZ94" s="91"/>
    </row>
    <row r="95" spans="1:52" ht="15" customHeight="1" x14ac:dyDescent="0.3">
      <c r="A95" s="147"/>
      <c r="B95" s="114">
        <v>26</v>
      </c>
      <c r="C95" s="227" t="str">
        <f>IF('INPUT DATA'!N36="","",'INPUT DATA'!N36)</f>
        <v/>
      </c>
      <c r="D95" s="228"/>
      <c r="E95" s="228"/>
      <c r="F95" s="131"/>
      <c r="G95" s="127"/>
      <c r="H95" s="127"/>
      <c r="I95" s="127"/>
      <c r="J95" s="132"/>
      <c r="K95" s="160" t="str">
        <f t="shared" si="38"/>
        <v/>
      </c>
      <c r="L95" s="185" t="str">
        <f t="shared" si="21"/>
        <v/>
      </c>
      <c r="M95" s="185" t="str">
        <f t="shared" si="39"/>
        <v/>
      </c>
      <c r="N95" s="131"/>
      <c r="O95" s="127"/>
      <c r="P95" s="127"/>
      <c r="Q95" s="127"/>
      <c r="R95" s="132"/>
      <c r="S95" s="160" t="str">
        <f t="shared" si="37"/>
        <v/>
      </c>
      <c r="T95" s="185" t="str">
        <f t="shared" si="22"/>
        <v/>
      </c>
      <c r="U95" s="185" t="str">
        <f t="shared" si="23"/>
        <v/>
      </c>
      <c r="V95" s="131"/>
      <c r="W95" s="127"/>
      <c r="X95" s="132"/>
      <c r="Y95" s="160" t="str">
        <f t="shared" si="24"/>
        <v/>
      </c>
      <c r="Z95" s="160" t="str">
        <f t="shared" si="25"/>
        <v/>
      </c>
      <c r="AA95" s="160" t="str">
        <f t="shared" si="40"/>
        <v/>
      </c>
      <c r="AB95" s="131"/>
      <c r="AC95" s="127"/>
      <c r="AD95" s="132"/>
      <c r="AE95" s="160" t="str">
        <f t="shared" si="26"/>
        <v/>
      </c>
      <c r="AF95" s="160" t="str">
        <f t="shared" si="27"/>
        <v/>
      </c>
      <c r="AG95" s="160" t="str">
        <f t="shared" si="41"/>
        <v/>
      </c>
      <c r="AH95" s="131"/>
      <c r="AI95" s="127"/>
      <c r="AJ95" s="132"/>
      <c r="AK95" s="177" t="str">
        <f t="shared" si="28"/>
        <v/>
      </c>
      <c r="AL95" s="160" t="str">
        <f t="shared" si="29"/>
        <v/>
      </c>
      <c r="AM95" s="160" t="str">
        <f t="shared" si="30"/>
        <v/>
      </c>
      <c r="AN95" s="131"/>
      <c r="AO95" s="127"/>
      <c r="AP95" s="132"/>
      <c r="AQ95" s="164" t="str">
        <f t="shared" si="31"/>
        <v/>
      </c>
      <c r="AR95" s="155" t="str">
        <f t="shared" si="32"/>
        <v/>
      </c>
      <c r="AS95" s="188" t="str">
        <f t="shared" si="33"/>
        <v/>
      </c>
      <c r="AT95" s="160" t="str">
        <f t="shared" si="34"/>
        <v/>
      </c>
      <c r="AU95" s="160" t="str">
        <f t="shared" si="35"/>
        <v/>
      </c>
      <c r="AV95" s="168" t="str">
        <f t="shared" si="36"/>
        <v/>
      </c>
      <c r="AW95" s="171" t="str">
        <f>IF(AV95="","",IFERROR(INDEX(HELPER!$D$8:$D$48,IF(AV95&gt;=HELPER!$B$8,1,MATCH(AV95,HELPER!$B$8:$B$48,-1)+1)),""))</f>
        <v/>
      </c>
      <c r="AX95" s="174" t="str">
        <f>IF(AW95="","",IFERROR(VLOOKUP(AW95,HELPER!$F$8:$G$48,2,FALSE),""))</f>
        <v/>
      </c>
      <c r="AY95" s="147"/>
      <c r="AZ95" s="91"/>
    </row>
    <row r="96" spans="1:52" ht="15" customHeight="1" x14ac:dyDescent="0.3">
      <c r="A96" s="147"/>
      <c r="B96" s="114">
        <v>27</v>
      </c>
      <c r="C96" s="227" t="str">
        <f>IF('INPUT DATA'!N37="","",'INPUT DATA'!N37)</f>
        <v/>
      </c>
      <c r="D96" s="228"/>
      <c r="E96" s="228"/>
      <c r="F96" s="131"/>
      <c r="G96" s="127"/>
      <c r="H96" s="127"/>
      <c r="I96" s="127"/>
      <c r="J96" s="132"/>
      <c r="K96" s="160" t="str">
        <f t="shared" si="38"/>
        <v/>
      </c>
      <c r="L96" s="185" t="str">
        <f t="shared" si="21"/>
        <v/>
      </c>
      <c r="M96" s="185" t="str">
        <f t="shared" si="39"/>
        <v/>
      </c>
      <c r="N96" s="131"/>
      <c r="O96" s="127"/>
      <c r="P96" s="127"/>
      <c r="Q96" s="127"/>
      <c r="R96" s="132"/>
      <c r="S96" s="160" t="str">
        <f t="shared" si="37"/>
        <v/>
      </c>
      <c r="T96" s="185" t="str">
        <f t="shared" si="22"/>
        <v/>
      </c>
      <c r="U96" s="185" t="str">
        <f t="shared" si="23"/>
        <v/>
      </c>
      <c r="V96" s="131"/>
      <c r="W96" s="127"/>
      <c r="X96" s="132"/>
      <c r="Y96" s="160" t="str">
        <f t="shared" si="24"/>
        <v/>
      </c>
      <c r="Z96" s="160" t="str">
        <f t="shared" si="25"/>
        <v/>
      </c>
      <c r="AA96" s="160" t="str">
        <f t="shared" si="40"/>
        <v/>
      </c>
      <c r="AB96" s="131"/>
      <c r="AC96" s="127"/>
      <c r="AD96" s="132"/>
      <c r="AE96" s="160" t="str">
        <f t="shared" si="26"/>
        <v/>
      </c>
      <c r="AF96" s="160" t="str">
        <f t="shared" si="27"/>
        <v/>
      </c>
      <c r="AG96" s="160" t="str">
        <f t="shared" si="41"/>
        <v/>
      </c>
      <c r="AH96" s="131"/>
      <c r="AI96" s="127"/>
      <c r="AJ96" s="132"/>
      <c r="AK96" s="177" t="str">
        <f t="shared" si="28"/>
        <v/>
      </c>
      <c r="AL96" s="160" t="str">
        <f t="shared" si="29"/>
        <v/>
      </c>
      <c r="AM96" s="160" t="str">
        <f t="shared" si="30"/>
        <v/>
      </c>
      <c r="AN96" s="131"/>
      <c r="AO96" s="127"/>
      <c r="AP96" s="132"/>
      <c r="AQ96" s="164" t="str">
        <f t="shared" si="31"/>
        <v/>
      </c>
      <c r="AR96" s="155" t="str">
        <f t="shared" si="32"/>
        <v/>
      </c>
      <c r="AS96" s="188" t="str">
        <f t="shared" si="33"/>
        <v/>
      </c>
      <c r="AT96" s="160" t="str">
        <f t="shared" si="34"/>
        <v/>
      </c>
      <c r="AU96" s="160" t="str">
        <f t="shared" si="35"/>
        <v/>
      </c>
      <c r="AV96" s="168" t="str">
        <f t="shared" si="36"/>
        <v/>
      </c>
      <c r="AW96" s="171" t="str">
        <f>IF(AV96="","",IFERROR(INDEX(HELPER!$D$8:$D$48,IF(AV96&gt;=HELPER!$B$8,1,MATCH(AV96,HELPER!$B$8:$B$48,-1)+1)),""))</f>
        <v/>
      </c>
      <c r="AX96" s="174" t="str">
        <f>IF(AW96="","",IFERROR(VLOOKUP(AW96,HELPER!$F$8:$G$48,2,FALSE),""))</f>
        <v/>
      </c>
      <c r="AY96" s="147"/>
      <c r="AZ96" s="91"/>
    </row>
    <row r="97" spans="1:52" ht="15" customHeight="1" x14ac:dyDescent="0.3">
      <c r="A97" s="147"/>
      <c r="B97" s="114">
        <v>28</v>
      </c>
      <c r="C97" s="227" t="str">
        <f>IF('INPUT DATA'!N38="","",'INPUT DATA'!N38)</f>
        <v/>
      </c>
      <c r="D97" s="228"/>
      <c r="E97" s="228"/>
      <c r="F97" s="131"/>
      <c r="G97" s="127"/>
      <c r="H97" s="127"/>
      <c r="I97" s="127"/>
      <c r="J97" s="132"/>
      <c r="K97" s="160" t="str">
        <f t="shared" si="38"/>
        <v/>
      </c>
      <c r="L97" s="185" t="str">
        <f t="shared" si="21"/>
        <v/>
      </c>
      <c r="M97" s="185" t="str">
        <f t="shared" si="39"/>
        <v/>
      </c>
      <c r="N97" s="131"/>
      <c r="O97" s="127"/>
      <c r="P97" s="127"/>
      <c r="Q97" s="127"/>
      <c r="R97" s="132"/>
      <c r="S97" s="160" t="str">
        <f t="shared" si="37"/>
        <v/>
      </c>
      <c r="T97" s="185" t="str">
        <f t="shared" si="22"/>
        <v/>
      </c>
      <c r="U97" s="185" t="str">
        <f t="shared" si="23"/>
        <v/>
      </c>
      <c r="V97" s="131"/>
      <c r="W97" s="127"/>
      <c r="X97" s="132"/>
      <c r="Y97" s="160" t="str">
        <f t="shared" si="24"/>
        <v/>
      </c>
      <c r="Z97" s="160" t="str">
        <f t="shared" si="25"/>
        <v/>
      </c>
      <c r="AA97" s="160" t="str">
        <f t="shared" si="40"/>
        <v/>
      </c>
      <c r="AB97" s="131"/>
      <c r="AC97" s="127"/>
      <c r="AD97" s="132"/>
      <c r="AE97" s="160" t="str">
        <f t="shared" si="26"/>
        <v/>
      </c>
      <c r="AF97" s="160" t="str">
        <f t="shared" si="27"/>
        <v/>
      </c>
      <c r="AG97" s="160" t="str">
        <f t="shared" si="41"/>
        <v/>
      </c>
      <c r="AH97" s="131"/>
      <c r="AI97" s="127"/>
      <c r="AJ97" s="132"/>
      <c r="AK97" s="177" t="str">
        <f t="shared" si="28"/>
        <v/>
      </c>
      <c r="AL97" s="160" t="str">
        <f t="shared" si="29"/>
        <v/>
      </c>
      <c r="AM97" s="160" t="str">
        <f t="shared" si="30"/>
        <v/>
      </c>
      <c r="AN97" s="131"/>
      <c r="AO97" s="127"/>
      <c r="AP97" s="132"/>
      <c r="AQ97" s="164" t="str">
        <f t="shared" si="31"/>
        <v/>
      </c>
      <c r="AR97" s="155" t="str">
        <f t="shared" si="32"/>
        <v/>
      </c>
      <c r="AS97" s="188" t="str">
        <f t="shared" si="33"/>
        <v/>
      </c>
      <c r="AT97" s="160" t="str">
        <f t="shared" si="34"/>
        <v/>
      </c>
      <c r="AU97" s="160" t="str">
        <f t="shared" si="35"/>
        <v/>
      </c>
      <c r="AV97" s="168" t="str">
        <f t="shared" si="36"/>
        <v/>
      </c>
      <c r="AW97" s="171" t="str">
        <f>IF(AV97="","",IFERROR(INDEX(HELPER!$D$8:$D$48,IF(AV97&gt;=HELPER!$B$8,1,MATCH(AV97,HELPER!$B$8:$B$48,-1)+1)),""))</f>
        <v/>
      </c>
      <c r="AX97" s="174" t="str">
        <f>IF(AW97="","",IFERROR(VLOOKUP(AW97,HELPER!$F$8:$G$48,2,FALSE),""))</f>
        <v/>
      </c>
      <c r="AY97" s="147"/>
      <c r="AZ97" s="91"/>
    </row>
    <row r="98" spans="1:52" ht="15" customHeight="1" x14ac:dyDescent="0.3">
      <c r="A98" s="147"/>
      <c r="B98" s="114">
        <v>29</v>
      </c>
      <c r="C98" s="227" t="str">
        <f>IF('INPUT DATA'!N39="","",'INPUT DATA'!N39)</f>
        <v/>
      </c>
      <c r="D98" s="228"/>
      <c r="E98" s="228"/>
      <c r="F98" s="131"/>
      <c r="G98" s="127"/>
      <c r="H98" s="127"/>
      <c r="I98" s="127"/>
      <c r="J98" s="132"/>
      <c r="K98" s="160" t="str">
        <f t="shared" si="38"/>
        <v/>
      </c>
      <c r="L98" s="185" t="str">
        <f t="shared" si="21"/>
        <v/>
      </c>
      <c r="M98" s="185" t="str">
        <f t="shared" si="39"/>
        <v/>
      </c>
      <c r="N98" s="131"/>
      <c r="O98" s="127"/>
      <c r="P98" s="127"/>
      <c r="Q98" s="127"/>
      <c r="R98" s="132"/>
      <c r="S98" s="160" t="str">
        <f t="shared" si="37"/>
        <v/>
      </c>
      <c r="T98" s="185" t="str">
        <f t="shared" si="22"/>
        <v/>
      </c>
      <c r="U98" s="185" t="str">
        <f t="shared" si="23"/>
        <v/>
      </c>
      <c r="V98" s="131"/>
      <c r="W98" s="127"/>
      <c r="X98" s="132"/>
      <c r="Y98" s="160" t="str">
        <f t="shared" si="24"/>
        <v/>
      </c>
      <c r="Z98" s="160" t="str">
        <f t="shared" si="25"/>
        <v/>
      </c>
      <c r="AA98" s="160" t="str">
        <f t="shared" si="40"/>
        <v/>
      </c>
      <c r="AB98" s="131"/>
      <c r="AC98" s="127"/>
      <c r="AD98" s="132"/>
      <c r="AE98" s="160" t="str">
        <f t="shared" si="26"/>
        <v/>
      </c>
      <c r="AF98" s="160" t="str">
        <f t="shared" si="27"/>
        <v/>
      </c>
      <c r="AG98" s="160" t="str">
        <f t="shared" si="41"/>
        <v/>
      </c>
      <c r="AH98" s="131"/>
      <c r="AI98" s="127"/>
      <c r="AJ98" s="132"/>
      <c r="AK98" s="177" t="str">
        <f t="shared" si="28"/>
        <v/>
      </c>
      <c r="AL98" s="160" t="str">
        <f t="shared" si="29"/>
        <v/>
      </c>
      <c r="AM98" s="160" t="str">
        <f t="shared" si="30"/>
        <v/>
      </c>
      <c r="AN98" s="131"/>
      <c r="AO98" s="127"/>
      <c r="AP98" s="132"/>
      <c r="AQ98" s="164" t="str">
        <f t="shared" si="31"/>
        <v/>
      </c>
      <c r="AR98" s="155" t="str">
        <f t="shared" si="32"/>
        <v/>
      </c>
      <c r="AS98" s="188" t="str">
        <f t="shared" si="33"/>
        <v/>
      </c>
      <c r="AT98" s="160" t="str">
        <f t="shared" si="34"/>
        <v/>
      </c>
      <c r="AU98" s="160" t="str">
        <f t="shared" si="35"/>
        <v/>
      </c>
      <c r="AV98" s="168" t="str">
        <f t="shared" si="36"/>
        <v/>
      </c>
      <c r="AW98" s="171" t="str">
        <f>IF(AV98="","",IFERROR(INDEX(HELPER!$D$8:$D$48,IF(AV98&gt;=HELPER!$B$8,1,MATCH(AV98,HELPER!$B$8:$B$48,-1)+1)),""))</f>
        <v/>
      </c>
      <c r="AX98" s="174" t="str">
        <f>IF(AW98="","",IFERROR(VLOOKUP(AW98,HELPER!$F$8:$G$48,2,FALSE),""))</f>
        <v/>
      </c>
      <c r="AY98" s="147"/>
      <c r="AZ98" s="91"/>
    </row>
    <row r="99" spans="1:52" ht="15" customHeight="1" x14ac:dyDescent="0.3">
      <c r="A99" s="147"/>
      <c r="B99" s="114">
        <v>30</v>
      </c>
      <c r="C99" s="227" t="str">
        <f>IF('INPUT DATA'!N40="","",'INPUT DATA'!N40)</f>
        <v/>
      </c>
      <c r="D99" s="228"/>
      <c r="E99" s="228"/>
      <c r="F99" s="131"/>
      <c r="G99" s="127"/>
      <c r="H99" s="127"/>
      <c r="I99" s="127"/>
      <c r="J99" s="132"/>
      <c r="K99" s="160" t="str">
        <f t="shared" si="38"/>
        <v/>
      </c>
      <c r="L99" s="185" t="str">
        <f t="shared" si="21"/>
        <v/>
      </c>
      <c r="M99" s="185" t="str">
        <f t="shared" si="39"/>
        <v/>
      </c>
      <c r="N99" s="131"/>
      <c r="O99" s="127"/>
      <c r="P99" s="127"/>
      <c r="Q99" s="127"/>
      <c r="R99" s="132"/>
      <c r="S99" s="160" t="str">
        <f t="shared" si="37"/>
        <v/>
      </c>
      <c r="T99" s="185" t="str">
        <f t="shared" si="22"/>
        <v/>
      </c>
      <c r="U99" s="185" t="str">
        <f t="shared" si="23"/>
        <v/>
      </c>
      <c r="V99" s="131"/>
      <c r="W99" s="127"/>
      <c r="X99" s="132"/>
      <c r="Y99" s="160" t="str">
        <f t="shared" si="24"/>
        <v/>
      </c>
      <c r="Z99" s="160" t="str">
        <f t="shared" si="25"/>
        <v/>
      </c>
      <c r="AA99" s="160" t="str">
        <f t="shared" si="40"/>
        <v/>
      </c>
      <c r="AB99" s="131"/>
      <c r="AC99" s="127"/>
      <c r="AD99" s="132"/>
      <c r="AE99" s="160" t="str">
        <f t="shared" si="26"/>
        <v/>
      </c>
      <c r="AF99" s="160" t="str">
        <f t="shared" si="27"/>
        <v/>
      </c>
      <c r="AG99" s="160" t="str">
        <f t="shared" si="41"/>
        <v/>
      </c>
      <c r="AH99" s="131"/>
      <c r="AI99" s="127"/>
      <c r="AJ99" s="132"/>
      <c r="AK99" s="177" t="str">
        <f t="shared" si="28"/>
        <v/>
      </c>
      <c r="AL99" s="160" t="str">
        <f t="shared" si="29"/>
        <v/>
      </c>
      <c r="AM99" s="160" t="str">
        <f t="shared" si="30"/>
        <v/>
      </c>
      <c r="AN99" s="131"/>
      <c r="AO99" s="127"/>
      <c r="AP99" s="132"/>
      <c r="AQ99" s="164" t="str">
        <f t="shared" si="31"/>
        <v/>
      </c>
      <c r="AR99" s="155" t="str">
        <f t="shared" si="32"/>
        <v/>
      </c>
      <c r="AS99" s="188" t="str">
        <f t="shared" si="33"/>
        <v/>
      </c>
      <c r="AT99" s="160" t="str">
        <f t="shared" si="34"/>
        <v/>
      </c>
      <c r="AU99" s="160" t="str">
        <f t="shared" si="35"/>
        <v/>
      </c>
      <c r="AV99" s="168" t="str">
        <f t="shared" si="36"/>
        <v/>
      </c>
      <c r="AW99" s="171" t="str">
        <f>IF(AV99="","",IFERROR(INDEX(HELPER!$D$8:$D$48,IF(AV99&gt;=HELPER!$B$8,1,MATCH(AV99,HELPER!$B$8:$B$48,-1)+1)),""))</f>
        <v/>
      </c>
      <c r="AX99" s="174" t="str">
        <f>IF(AW99="","",IFERROR(VLOOKUP(AW99,HELPER!$F$8:$G$48,2,FALSE),""))</f>
        <v/>
      </c>
      <c r="AY99" s="147"/>
      <c r="AZ99" s="91"/>
    </row>
    <row r="100" spans="1:52" ht="15" customHeight="1" x14ac:dyDescent="0.3">
      <c r="A100" s="147"/>
      <c r="B100" s="114">
        <v>31</v>
      </c>
      <c r="C100" s="227" t="str">
        <f>IF('INPUT DATA'!N41="","",'INPUT DATA'!N41)</f>
        <v/>
      </c>
      <c r="D100" s="228"/>
      <c r="E100" s="228"/>
      <c r="F100" s="131"/>
      <c r="G100" s="127"/>
      <c r="H100" s="127"/>
      <c r="I100" s="127"/>
      <c r="J100" s="132"/>
      <c r="K100" s="160" t="str">
        <f t="shared" si="38"/>
        <v/>
      </c>
      <c r="L100" s="185" t="str">
        <f t="shared" si="21"/>
        <v/>
      </c>
      <c r="M100" s="185" t="str">
        <f t="shared" si="39"/>
        <v/>
      </c>
      <c r="N100" s="131"/>
      <c r="O100" s="127"/>
      <c r="P100" s="127"/>
      <c r="Q100" s="127"/>
      <c r="R100" s="132"/>
      <c r="S100" s="160" t="str">
        <f t="shared" si="37"/>
        <v/>
      </c>
      <c r="T100" s="185" t="str">
        <f t="shared" si="22"/>
        <v/>
      </c>
      <c r="U100" s="185" t="str">
        <f t="shared" si="23"/>
        <v/>
      </c>
      <c r="V100" s="131"/>
      <c r="W100" s="127"/>
      <c r="X100" s="132"/>
      <c r="Y100" s="160" t="str">
        <f t="shared" si="24"/>
        <v/>
      </c>
      <c r="Z100" s="160" t="str">
        <f t="shared" si="25"/>
        <v/>
      </c>
      <c r="AA100" s="160" t="str">
        <f t="shared" si="40"/>
        <v/>
      </c>
      <c r="AB100" s="131"/>
      <c r="AC100" s="127"/>
      <c r="AD100" s="132"/>
      <c r="AE100" s="160" t="str">
        <f t="shared" si="26"/>
        <v/>
      </c>
      <c r="AF100" s="160" t="str">
        <f t="shared" si="27"/>
        <v/>
      </c>
      <c r="AG100" s="160" t="str">
        <f t="shared" si="41"/>
        <v/>
      </c>
      <c r="AH100" s="131"/>
      <c r="AI100" s="127"/>
      <c r="AJ100" s="132"/>
      <c r="AK100" s="177" t="str">
        <f t="shared" si="28"/>
        <v/>
      </c>
      <c r="AL100" s="160" t="str">
        <f t="shared" si="29"/>
        <v/>
      </c>
      <c r="AM100" s="160" t="str">
        <f t="shared" si="30"/>
        <v/>
      </c>
      <c r="AN100" s="131"/>
      <c r="AO100" s="127"/>
      <c r="AP100" s="132"/>
      <c r="AQ100" s="164" t="str">
        <f t="shared" si="31"/>
        <v/>
      </c>
      <c r="AR100" s="155" t="str">
        <f t="shared" si="32"/>
        <v/>
      </c>
      <c r="AS100" s="188" t="str">
        <f t="shared" si="33"/>
        <v/>
      </c>
      <c r="AT100" s="160" t="str">
        <f t="shared" si="34"/>
        <v/>
      </c>
      <c r="AU100" s="160" t="str">
        <f t="shared" si="35"/>
        <v/>
      </c>
      <c r="AV100" s="168" t="str">
        <f t="shared" si="36"/>
        <v/>
      </c>
      <c r="AW100" s="171" t="str">
        <f>IF(AV100="","",IFERROR(INDEX(HELPER!$D$8:$D$48,IF(AV100&gt;=HELPER!$B$8,1,MATCH(AV100,HELPER!$B$8:$B$48,-1)+1)),""))</f>
        <v/>
      </c>
      <c r="AX100" s="174" t="str">
        <f>IF(AW100="","",IFERROR(VLOOKUP(AW100,HELPER!$F$8:$G$48,2,FALSE),""))</f>
        <v/>
      </c>
      <c r="AY100" s="147"/>
      <c r="AZ100" s="91"/>
    </row>
    <row r="101" spans="1:52" ht="15" customHeight="1" x14ac:dyDescent="0.3">
      <c r="A101" s="147"/>
      <c r="B101" s="114">
        <v>32</v>
      </c>
      <c r="C101" s="227" t="str">
        <f>IF('INPUT DATA'!N42="","",'INPUT DATA'!N42)</f>
        <v/>
      </c>
      <c r="D101" s="228"/>
      <c r="E101" s="228"/>
      <c r="F101" s="131"/>
      <c r="G101" s="127"/>
      <c r="H101" s="127"/>
      <c r="I101" s="127"/>
      <c r="J101" s="132"/>
      <c r="K101" s="160" t="str">
        <f t="shared" si="38"/>
        <v/>
      </c>
      <c r="L101" s="185" t="str">
        <f t="shared" si="21"/>
        <v/>
      </c>
      <c r="M101" s="185" t="str">
        <f t="shared" si="39"/>
        <v/>
      </c>
      <c r="N101" s="131"/>
      <c r="O101" s="127"/>
      <c r="P101" s="127"/>
      <c r="Q101" s="127"/>
      <c r="R101" s="132"/>
      <c r="S101" s="160" t="str">
        <f t="shared" si="37"/>
        <v/>
      </c>
      <c r="T101" s="185" t="str">
        <f t="shared" si="22"/>
        <v/>
      </c>
      <c r="U101" s="185" t="str">
        <f t="shared" si="23"/>
        <v/>
      </c>
      <c r="V101" s="131"/>
      <c r="W101" s="127"/>
      <c r="X101" s="132"/>
      <c r="Y101" s="160" t="str">
        <f t="shared" si="24"/>
        <v/>
      </c>
      <c r="Z101" s="160" t="str">
        <f t="shared" si="25"/>
        <v/>
      </c>
      <c r="AA101" s="160" t="str">
        <f t="shared" si="40"/>
        <v/>
      </c>
      <c r="AB101" s="131"/>
      <c r="AC101" s="127"/>
      <c r="AD101" s="132"/>
      <c r="AE101" s="160" t="str">
        <f t="shared" si="26"/>
        <v/>
      </c>
      <c r="AF101" s="160" t="str">
        <f t="shared" si="27"/>
        <v/>
      </c>
      <c r="AG101" s="160" t="str">
        <f t="shared" si="41"/>
        <v/>
      </c>
      <c r="AH101" s="131"/>
      <c r="AI101" s="127"/>
      <c r="AJ101" s="132"/>
      <c r="AK101" s="177" t="str">
        <f t="shared" si="28"/>
        <v/>
      </c>
      <c r="AL101" s="160" t="str">
        <f t="shared" si="29"/>
        <v/>
      </c>
      <c r="AM101" s="160" t="str">
        <f t="shared" si="30"/>
        <v/>
      </c>
      <c r="AN101" s="131"/>
      <c r="AO101" s="127"/>
      <c r="AP101" s="132"/>
      <c r="AQ101" s="164" t="str">
        <f t="shared" si="31"/>
        <v/>
      </c>
      <c r="AR101" s="155" t="str">
        <f t="shared" si="32"/>
        <v/>
      </c>
      <c r="AS101" s="188" t="str">
        <f t="shared" si="33"/>
        <v/>
      </c>
      <c r="AT101" s="160" t="str">
        <f t="shared" si="34"/>
        <v/>
      </c>
      <c r="AU101" s="160" t="str">
        <f t="shared" si="35"/>
        <v/>
      </c>
      <c r="AV101" s="168" t="str">
        <f t="shared" si="36"/>
        <v/>
      </c>
      <c r="AW101" s="171" t="str">
        <f>IF(AV101="","",IFERROR(INDEX(HELPER!$D$8:$D$48,IF(AV101&gt;=HELPER!$B$8,1,MATCH(AV101,HELPER!$B$8:$B$48,-1)+1)),""))</f>
        <v/>
      </c>
      <c r="AX101" s="174" t="str">
        <f>IF(AW101="","",IFERROR(VLOOKUP(AW101,HELPER!$F$8:$G$48,2,FALSE),""))</f>
        <v/>
      </c>
      <c r="AY101" s="147"/>
      <c r="AZ101" s="91"/>
    </row>
    <row r="102" spans="1:52" ht="15" customHeight="1" x14ac:dyDescent="0.3">
      <c r="A102" s="147"/>
      <c r="B102" s="114">
        <v>33</v>
      </c>
      <c r="C102" s="227" t="str">
        <f>IF('INPUT DATA'!N43="","",'INPUT DATA'!N43)</f>
        <v/>
      </c>
      <c r="D102" s="228"/>
      <c r="E102" s="228"/>
      <c r="F102" s="131"/>
      <c r="G102" s="127"/>
      <c r="H102" s="127"/>
      <c r="I102" s="127"/>
      <c r="J102" s="132"/>
      <c r="K102" s="160" t="str">
        <f t="shared" si="38"/>
        <v/>
      </c>
      <c r="L102" s="185" t="str">
        <f t="shared" si="21"/>
        <v/>
      </c>
      <c r="M102" s="185" t="str">
        <f t="shared" si="39"/>
        <v/>
      </c>
      <c r="N102" s="131"/>
      <c r="O102" s="127"/>
      <c r="P102" s="127"/>
      <c r="Q102" s="127"/>
      <c r="R102" s="132"/>
      <c r="S102" s="160" t="str">
        <f t="shared" si="37"/>
        <v/>
      </c>
      <c r="T102" s="185" t="str">
        <f t="shared" si="22"/>
        <v/>
      </c>
      <c r="U102" s="185" t="str">
        <f t="shared" si="23"/>
        <v/>
      </c>
      <c r="V102" s="131"/>
      <c r="W102" s="127"/>
      <c r="X102" s="132"/>
      <c r="Y102" s="160" t="str">
        <f t="shared" si="24"/>
        <v/>
      </c>
      <c r="Z102" s="160" t="str">
        <f t="shared" si="25"/>
        <v/>
      </c>
      <c r="AA102" s="160" t="str">
        <f t="shared" si="40"/>
        <v/>
      </c>
      <c r="AB102" s="131"/>
      <c r="AC102" s="127"/>
      <c r="AD102" s="132"/>
      <c r="AE102" s="160" t="str">
        <f t="shared" si="26"/>
        <v/>
      </c>
      <c r="AF102" s="160" t="str">
        <f t="shared" si="27"/>
        <v/>
      </c>
      <c r="AG102" s="160" t="str">
        <f t="shared" si="41"/>
        <v/>
      </c>
      <c r="AH102" s="131"/>
      <c r="AI102" s="127"/>
      <c r="AJ102" s="132"/>
      <c r="AK102" s="177" t="str">
        <f t="shared" si="28"/>
        <v/>
      </c>
      <c r="AL102" s="160" t="str">
        <f t="shared" si="29"/>
        <v/>
      </c>
      <c r="AM102" s="160" t="str">
        <f t="shared" si="30"/>
        <v/>
      </c>
      <c r="AN102" s="131"/>
      <c r="AO102" s="127"/>
      <c r="AP102" s="132"/>
      <c r="AQ102" s="164" t="str">
        <f t="shared" si="31"/>
        <v/>
      </c>
      <c r="AR102" s="155" t="str">
        <f t="shared" si="32"/>
        <v/>
      </c>
      <c r="AS102" s="188" t="str">
        <f t="shared" si="33"/>
        <v/>
      </c>
      <c r="AT102" s="160" t="str">
        <f t="shared" si="34"/>
        <v/>
      </c>
      <c r="AU102" s="160" t="str">
        <f t="shared" si="35"/>
        <v/>
      </c>
      <c r="AV102" s="168" t="str">
        <f t="shared" si="36"/>
        <v/>
      </c>
      <c r="AW102" s="171" t="str">
        <f>IF(AV102="","",IFERROR(INDEX(HELPER!$D$8:$D$48,IF(AV102&gt;=HELPER!$B$8,1,MATCH(AV102,HELPER!$B$8:$B$48,-1)+1)),""))</f>
        <v/>
      </c>
      <c r="AX102" s="174" t="str">
        <f>IF(AW102="","",IFERROR(VLOOKUP(AW102,HELPER!$F$8:$G$48,2,FALSE),""))</f>
        <v/>
      </c>
      <c r="AY102" s="147"/>
      <c r="AZ102" s="91"/>
    </row>
    <row r="103" spans="1:52" ht="15" customHeight="1" x14ac:dyDescent="0.3">
      <c r="A103" s="147"/>
      <c r="B103" s="114">
        <v>34</v>
      </c>
      <c r="C103" s="227" t="str">
        <f>IF('INPUT DATA'!N44="","",'INPUT DATA'!N44)</f>
        <v/>
      </c>
      <c r="D103" s="228"/>
      <c r="E103" s="228"/>
      <c r="F103" s="131"/>
      <c r="G103" s="127"/>
      <c r="H103" s="127"/>
      <c r="I103" s="127"/>
      <c r="J103" s="132"/>
      <c r="K103" s="160" t="str">
        <f t="shared" si="38"/>
        <v/>
      </c>
      <c r="L103" s="185" t="str">
        <f t="shared" si="21"/>
        <v/>
      </c>
      <c r="M103" s="185" t="str">
        <f t="shared" si="39"/>
        <v/>
      </c>
      <c r="N103" s="131"/>
      <c r="O103" s="127"/>
      <c r="P103" s="127"/>
      <c r="Q103" s="127"/>
      <c r="R103" s="132"/>
      <c r="S103" s="160" t="str">
        <f t="shared" si="37"/>
        <v/>
      </c>
      <c r="T103" s="185" t="str">
        <f t="shared" si="22"/>
        <v/>
      </c>
      <c r="U103" s="185" t="str">
        <f t="shared" si="23"/>
        <v/>
      </c>
      <c r="V103" s="131"/>
      <c r="W103" s="127"/>
      <c r="X103" s="132"/>
      <c r="Y103" s="160" t="str">
        <f t="shared" si="24"/>
        <v/>
      </c>
      <c r="Z103" s="160" t="str">
        <f t="shared" si="25"/>
        <v/>
      </c>
      <c r="AA103" s="160" t="str">
        <f t="shared" si="40"/>
        <v/>
      </c>
      <c r="AB103" s="131"/>
      <c r="AC103" s="127"/>
      <c r="AD103" s="132"/>
      <c r="AE103" s="160" t="str">
        <f t="shared" si="26"/>
        <v/>
      </c>
      <c r="AF103" s="160" t="str">
        <f t="shared" si="27"/>
        <v/>
      </c>
      <c r="AG103" s="160" t="str">
        <f t="shared" si="41"/>
        <v/>
      </c>
      <c r="AH103" s="131"/>
      <c r="AI103" s="127"/>
      <c r="AJ103" s="132"/>
      <c r="AK103" s="177" t="str">
        <f t="shared" si="28"/>
        <v/>
      </c>
      <c r="AL103" s="160" t="str">
        <f t="shared" si="29"/>
        <v/>
      </c>
      <c r="AM103" s="160" t="str">
        <f t="shared" si="30"/>
        <v/>
      </c>
      <c r="AN103" s="131"/>
      <c r="AO103" s="127"/>
      <c r="AP103" s="132"/>
      <c r="AQ103" s="164" t="str">
        <f t="shared" si="31"/>
        <v/>
      </c>
      <c r="AR103" s="155" t="str">
        <f t="shared" si="32"/>
        <v/>
      </c>
      <c r="AS103" s="188" t="str">
        <f t="shared" si="33"/>
        <v/>
      </c>
      <c r="AT103" s="160" t="str">
        <f t="shared" si="34"/>
        <v/>
      </c>
      <c r="AU103" s="160" t="str">
        <f t="shared" si="35"/>
        <v/>
      </c>
      <c r="AV103" s="168" t="str">
        <f t="shared" si="36"/>
        <v/>
      </c>
      <c r="AW103" s="171" t="str">
        <f>IF(AV103="","",IFERROR(INDEX(HELPER!$D$8:$D$48,IF(AV103&gt;=HELPER!$B$8,1,MATCH(AV103,HELPER!$B$8:$B$48,-1)+1)),""))</f>
        <v/>
      </c>
      <c r="AX103" s="174" t="str">
        <f>IF(AW103="","",IFERROR(VLOOKUP(AW103,HELPER!$F$8:$G$48,2,FALSE),""))</f>
        <v/>
      </c>
      <c r="AY103" s="147"/>
      <c r="AZ103" s="91"/>
    </row>
    <row r="104" spans="1:52" ht="15" customHeight="1" x14ac:dyDescent="0.3">
      <c r="A104" s="147"/>
      <c r="B104" s="114">
        <v>35</v>
      </c>
      <c r="C104" s="227" t="str">
        <f>IF('INPUT DATA'!N45="","",'INPUT DATA'!N45)</f>
        <v/>
      </c>
      <c r="D104" s="228"/>
      <c r="E104" s="228"/>
      <c r="F104" s="131"/>
      <c r="G104" s="127"/>
      <c r="H104" s="127"/>
      <c r="I104" s="127"/>
      <c r="J104" s="132"/>
      <c r="K104" s="160" t="str">
        <f t="shared" si="38"/>
        <v/>
      </c>
      <c r="L104" s="185" t="str">
        <f t="shared" si="21"/>
        <v/>
      </c>
      <c r="M104" s="185" t="str">
        <f t="shared" si="39"/>
        <v/>
      </c>
      <c r="N104" s="131"/>
      <c r="O104" s="127"/>
      <c r="P104" s="127"/>
      <c r="Q104" s="127"/>
      <c r="R104" s="132"/>
      <c r="S104" s="160" t="str">
        <f t="shared" si="37"/>
        <v/>
      </c>
      <c r="T104" s="185" t="str">
        <f t="shared" si="22"/>
        <v/>
      </c>
      <c r="U104" s="185" t="str">
        <f t="shared" si="23"/>
        <v/>
      </c>
      <c r="V104" s="131"/>
      <c r="W104" s="127"/>
      <c r="X104" s="132"/>
      <c r="Y104" s="160" t="str">
        <f t="shared" si="24"/>
        <v/>
      </c>
      <c r="Z104" s="160" t="str">
        <f t="shared" si="25"/>
        <v/>
      </c>
      <c r="AA104" s="160" t="str">
        <f t="shared" si="40"/>
        <v/>
      </c>
      <c r="AB104" s="131"/>
      <c r="AC104" s="127"/>
      <c r="AD104" s="132"/>
      <c r="AE104" s="160" t="str">
        <f t="shared" si="26"/>
        <v/>
      </c>
      <c r="AF104" s="160" t="str">
        <f t="shared" si="27"/>
        <v/>
      </c>
      <c r="AG104" s="160" t="str">
        <f t="shared" si="41"/>
        <v/>
      </c>
      <c r="AH104" s="131"/>
      <c r="AI104" s="127"/>
      <c r="AJ104" s="132"/>
      <c r="AK104" s="177" t="str">
        <f t="shared" si="28"/>
        <v/>
      </c>
      <c r="AL104" s="160" t="str">
        <f t="shared" si="29"/>
        <v/>
      </c>
      <c r="AM104" s="160" t="str">
        <f t="shared" si="30"/>
        <v/>
      </c>
      <c r="AN104" s="131"/>
      <c r="AO104" s="127"/>
      <c r="AP104" s="132"/>
      <c r="AQ104" s="164" t="str">
        <f t="shared" si="31"/>
        <v/>
      </c>
      <c r="AR104" s="155" t="str">
        <f t="shared" si="32"/>
        <v/>
      </c>
      <c r="AS104" s="188" t="str">
        <f t="shared" si="33"/>
        <v/>
      </c>
      <c r="AT104" s="160" t="str">
        <f t="shared" si="34"/>
        <v/>
      </c>
      <c r="AU104" s="160" t="str">
        <f t="shared" si="35"/>
        <v/>
      </c>
      <c r="AV104" s="168" t="str">
        <f t="shared" si="36"/>
        <v/>
      </c>
      <c r="AW104" s="171" t="str">
        <f>IF(AV104="","",IFERROR(INDEX(HELPER!$D$8:$D$48,IF(AV104&gt;=HELPER!$B$8,1,MATCH(AV104,HELPER!$B$8:$B$48,-1)+1)),""))</f>
        <v/>
      </c>
      <c r="AX104" s="174" t="str">
        <f>IF(AW104="","",IFERROR(VLOOKUP(AW104,HELPER!$F$8:$G$48,2,FALSE),""))</f>
        <v/>
      </c>
      <c r="AY104" s="147"/>
      <c r="AZ104" s="91"/>
    </row>
    <row r="105" spans="1:52" ht="15" customHeight="1" x14ac:dyDescent="0.3">
      <c r="A105" s="147"/>
      <c r="B105" s="114">
        <v>36</v>
      </c>
      <c r="C105" s="227" t="str">
        <f>IF('INPUT DATA'!N46="","",'INPUT DATA'!N46)</f>
        <v/>
      </c>
      <c r="D105" s="228"/>
      <c r="E105" s="228"/>
      <c r="F105" s="131"/>
      <c r="G105" s="127"/>
      <c r="H105" s="127"/>
      <c r="I105" s="127"/>
      <c r="J105" s="132"/>
      <c r="K105" s="160" t="str">
        <f t="shared" si="38"/>
        <v/>
      </c>
      <c r="L105" s="185" t="str">
        <f t="shared" si="21"/>
        <v/>
      </c>
      <c r="M105" s="185" t="str">
        <f t="shared" si="39"/>
        <v/>
      </c>
      <c r="N105" s="131"/>
      <c r="O105" s="127"/>
      <c r="P105" s="127"/>
      <c r="Q105" s="127"/>
      <c r="R105" s="132"/>
      <c r="S105" s="160" t="str">
        <f t="shared" si="37"/>
        <v/>
      </c>
      <c r="T105" s="185" t="str">
        <f t="shared" si="22"/>
        <v/>
      </c>
      <c r="U105" s="185" t="str">
        <f t="shared" si="23"/>
        <v/>
      </c>
      <c r="V105" s="131"/>
      <c r="W105" s="127"/>
      <c r="X105" s="132"/>
      <c r="Y105" s="160" t="str">
        <f t="shared" si="24"/>
        <v/>
      </c>
      <c r="Z105" s="160" t="str">
        <f t="shared" si="25"/>
        <v/>
      </c>
      <c r="AA105" s="160" t="str">
        <f t="shared" si="40"/>
        <v/>
      </c>
      <c r="AB105" s="131"/>
      <c r="AC105" s="127"/>
      <c r="AD105" s="132"/>
      <c r="AE105" s="160" t="str">
        <f t="shared" si="26"/>
        <v/>
      </c>
      <c r="AF105" s="160" t="str">
        <f t="shared" si="27"/>
        <v/>
      </c>
      <c r="AG105" s="160" t="str">
        <f t="shared" si="41"/>
        <v/>
      </c>
      <c r="AH105" s="131"/>
      <c r="AI105" s="127"/>
      <c r="AJ105" s="132"/>
      <c r="AK105" s="177" t="str">
        <f t="shared" si="28"/>
        <v/>
      </c>
      <c r="AL105" s="160" t="str">
        <f t="shared" si="29"/>
        <v/>
      </c>
      <c r="AM105" s="160" t="str">
        <f t="shared" si="30"/>
        <v/>
      </c>
      <c r="AN105" s="131"/>
      <c r="AO105" s="127"/>
      <c r="AP105" s="132"/>
      <c r="AQ105" s="164" t="str">
        <f t="shared" si="31"/>
        <v/>
      </c>
      <c r="AR105" s="155" t="str">
        <f t="shared" si="32"/>
        <v/>
      </c>
      <c r="AS105" s="188" t="str">
        <f t="shared" si="33"/>
        <v/>
      </c>
      <c r="AT105" s="160" t="str">
        <f t="shared" si="34"/>
        <v/>
      </c>
      <c r="AU105" s="160" t="str">
        <f t="shared" si="35"/>
        <v/>
      </c>
      <c r="AV105" s="168" t="str">
        <f t="shared" si="36"/>
        <v/>
      </c>
      <c r="AW105" s="171" t="str">
        <f>IF(AV105="","",IFERROR(INDEX(HELPER!$D$8:$D$48,IF(AV105&gt;=HELPER!$B$8,1,MATCH(AV105,HELPER!$B$8:$B$48,-1)+1)),""))</f>
        <v/>
      </c>
      <c r="AX105" s="174" t="str">
        <f>IF(AW105="","",IFERROR(VLOOKUP(AW105,HELPER!$F$8:$G$48,2,FALSE),""))</f>
        <v/>
      </c>
      <c r="AY105" s="147"/>
      <c r="AZ105" s="91"/>
    </row>
    <row r="106" spans="1:52" ht="15" customHeight="1" x14ac:dyDescent="0.3">
      <c r="A106" s="147"/>
      <c r="B106" s="114">
        <v>37</v>
      </c>
      <c r="C106" s="227" t="str">
        <f>IF('INPUT DATA'!N47="","",'INPUT DATA'!N47)</f>
        <v/>
      </c>
      <c r="D106" s="228"/>
      <c r="E106" s="228"/>
      <c r="F106" s="131"/>
      <c r="G106" s="127"/>
      <c r="H106" s="127"/>
      <c r="I106" s="127"/>
      <c r="J106" s="132"/>
      <c r="K106" s="160" t="str">
        <f t="shared" si="38"/>
        <v/>
      </c>
      <c r="L106" s="185" t="str">
        <f t="shared" si="21"/>
        <v/>
      </c>
      <c r="M106" s="185" t="str">
        <f t="shared" si="39"/>
        <v/>
      </c>
      <c r="N106" s="131"/>
      <c r="O106" s="127"/>
      <c r="P106" s="127"/>
      <c r="Q106" s="127"/>
      <c r="R106" s="132"/>
      <c r="S106" s="160" t="str">
        <f t="shared" si="37"/>
        <v/>
      </c>
      <c r="T106" s="185" t="str">
        <f t="shared" si="22"/>
        <v/>
      </c>
      <c r="U106" s="185" t="str">
        <f t="shared" si="23"/>
        <v/>
      </c>
      <c r="V106" s="131"/>
      <c r="W106" s="127"/>
      <c r="X106" s="132"/>
      <c r="Y106" s="160" t="str">
        <f t="shared" si="24"/>
        <v/>
      </c>
      <c r="Z106" s="160" t="str">
        <f t="shared" si="25"/>
        <v/>
      </c>
      <c r="AA106" s="160" t="str">
        <f t="shared" si="40"/>
        <v/>
      </c>
      <c r="AB106" s="131"/>
      <c r="AC106" s="127"/>
      <c r="AD106" s="132"/>
      <c r="AE106" s="160" t="str">
        <f t="shared" si="26"/>
        <v/>
      </c>
      <c r="AF106" s="160" t="str">
        <f t="shared" si="27"/>
        <v/>
      </c>
      <c r="AG106" s="160" t="str">
        <f t="shared" si="41"/>
        <v/>
      </c>
      <c r="AH106" s="131"/>
      <c r="AI106" s="127"/>
      <c r="AJ106" s="132"/>
      <c r="AK106" s="177" t="str">
        <f t="shared" si="28"/>
        <v/>
      </c>
      <c r="AL106" s="160" t="str">
        <f t="shared" si="29"/>
        <v/>
      </c>
      <c r="AM106" s="160" t="str">
        <f t="shared" si="30"/>
        <v/>
      </c>
      <c r="AN106" s="131"/>
      <c r="AO106" s="127"/>
      <c r="AP106" s="132"/>
      <c r="AQ106" s="164" t="str">
        <f t="shared" si="31"/>
        <v/>
      </c>
      <c r="AR106" s="155" t="str">
        <f t="shared" si="32"/>
        <v/>
      </c>
      <c r="AS106" s="188" t="str">
        <f t="shared" si="33"/>
        <v/>
      </c>
      <c r="AT106" s="160" t="str">
        <f t="shared" si="34"/>
        <v/>
      </c>
      <c r="AU106" s="160" t="str">
        <f t="shared" si="35"/>
        <v/>
      </c>
      <c r="AV106" s="168" t="str">
        <f t="shared" si="36"/>
        <v/>
      </c>
      <c r="AW106" s="171" t="str">
        <f>IF(AV106="","",IFERROR(INDEX(HELPER!$D$8:$D$48,IF(AV106&gt;=HELPER!$B$8,1,MATCH(AV106,HELPER!$B$8:$B$48,-1)+1)),""))</f>
        <v/>
      </c>
      <c r="AX106" s="174" t="str">
        <f>IF(AW106="","",IFERROR(VLOOKUP(AW106,HELPER!$F$8:$G$48,2,FALSE),""))</f>
        <v/>
      </c>
      <c r="AY106" s="147"/>
      <c r="AZ106" s="91"/>
    </row>
    <row r="107" spans="1:52" ht="15" customHeight="1" x14ac:dyDescent="0.3">
      <c r="A107" s="147"/>
      <c r="B107" s="114">
        <v>38</v>
      </c>
      <c r="C107" s="227" t="str">
        <f>IF('INPUT DATA'!N48="","",'INPUT DATA'!N48)</f>
        <v/>
      </c>
      <c r="D107" s="228"/>
      <c r="E107" s="228"/>
      <c r="F107" s="131"/>
      <c r="G107" s="127"/>
      <c r="H107" s="127"/>
      <c r="I107" s="127"/>
      <c r="J107" s="132"/>
      <c r="K107" s="160" t="str">
        <f t="shared" si="38"/>
        <v/>
      </c>
      <c r="L107" s="185" t="str">
        <f t="shared" si="21"/>
        <v/>
      </c>
      <c r="M107" s="185" t="str">
        <f t="shared" si="39"/>
        <v/>
      </c>
      <c r="N107" s="131"/>
      <c r="O107" s="127"/>
      <c r="P107" s="127"/>
      <c r="Q107" s="127"/>
      <c r="R107" s="132"/>
      <c r="S107" s="160" t="str">
        <f t="shared" si="37"/>
        <v/>
      </c>
      <c r="T107" s="185" t="str">
        <f t="shared" si="22"/>
        <v/>
      </c>
      <c r="U107" s="185" t="str">
        <f t="shared" si="23"/>
        <v/>
      </c>
      <c r="V107" s="131"/>
      <c r="W107" s="127"/>
      <c r="X107" s="132"/>
      <c r="Y107" s="160" t="str">
        <f t="shared" si="24"/>
        <v/>
      </c>
      <c r="Z107" s="160" t="str">
        <f t="shared" si="25"/>
        <v/>
      </c>
      <c r="AA107" s="160" t="str">
        <f t="shared" si="40"/>
        <v/>
      </c>
      <c r="AB107" s="131"/>
      <c r="AC107" s="127"/>
      <c r="AD107" s="132"/>
      <c r="AE107" s="160" t="str">
        <f t="shared" si="26"/>
        <v/>
      </c>
      <c r="AF107" s="160" t="str">
        <f t="shared" si="27"/>
        <v/>
      </c>
      <c r="AG107" s="160" t="str">
        <f t="shared" si="41"/>
        <v/>
      </c>
      <c r="AH107" s="131"/>
      <c r="AI107" s="127"/>
      <c r="AJ107" s="132"/>
      <c r="AK107" s="177" t="str">
        <f t="shared" si="28"/>
        <v/>
      </c>
      <c r="AL107" s="160" t="str">
        <f t="shared" si="29"/>
        <v/>
      </c>
      <c r="AM107" s="160" t="str">
        <f t="shared" si="30"/>
        <v/>
      </c>
      <c r="AN107" s="131"/>
      <c r="AO107" s="127"/>
      <c r="AP107" s="132"/>
      <c r="AQ107" s="164" t="str">
        <f t="shared" si="31"/>
        <v/>
      </c>
      <c r="AR107" s="155" t="str">
        <f t="shared" si="32"/>
        <v/>
      </c>
      <c r="AS107" s="188" t="str">
        <f t="shared" si="33"/>
        <v/>
      </c>
      <c r="AT107" s="160" t="str">
        <f t="shared" si="34"/>
        <v/>
      </c>
      <c r="AU107" s="160" t="str">
        <f t="shared" si="35"/>
        <v/>
      </c>
      <c r="AV107" s="168" t="str">
        <f t="shared" si="36"/>
        <v/>
      </c>
      <c r="AW107" s="171" t="str">
        <f>IF(AV107="","",IFERROR(INDEX(HELPER!$D$8:$D$48,IF(AV107&gt;=HELPER!$B$8,1,MATCH(AV107,HELPER!$B$8:$B$48,-1)+1)),""))</f>
        <v/>
      </c>
      <c r="AX107" s="174" t="str">
        <f>IF(AW107="","",IFERROR(VLOOKUP(AW107,HELPER!$F$8:$G$48,2,FALSE),""))</f>
        <v/>
      </c>
      <c r="AY107" s="147"/>
      <c r="AZ107" s="91"/>
    </row>
    <row r="108" spans="1:52" ht="15" customHeight="1" x14ac:dyDescent="0.3">
      <c r="A108" s="147"/>
      <c r="B108" s="114">
        <v>39</v>
      </c>
      <c r="C108" s="227" t="str">
        <f>IF('INPUT DATA'!N49="","",'INPUT DATA'!N49)</f>
        <v/>
      </c>
      <c r="D108" s="228"/>
      <c r="E108" s="228"/>
      <c r="F108" s="131"/>
      <c r="G108" s="127"/>
      <c r="H108" s="127"/>
      <c r="I108" s="127"/>
      <c r="J108" s="132"/>
      <c r="K108" s="160" t="str">
        <f t="shared" si="38"/>
        <v/>
      </c>
      <c r="L108" s="185" t="str">
        <f t="shared" si="21"/>
        <v/>
      </c>
      <c r="M108" s="185" t="str">
        <f t="shared" si="39"/>
        <v/>
      </c>
      <c r="N108" s="131"/>
      <c r="O108" s="127"/>
      <c r="P108" s="127"/>
      <c r="Q108" s="127"/>
      <c r="R108" s="132"/>
      <c r="S108" s="160" t="str">
        <f t="shared" si="37"/>
        <v/>
      </c>
      <c r="T108" s="185" t="str">
        <f t="shared" si="22"/>
        <v/>
      </c>
      <c r="U108" s="185" t="str">
        <f t="shared" si="23"/>
        <v/>
      </c>
      <c r="V108" s="131"/>
      <c r="W108" s="127"/>
      <c r="X108" s="132"/>
      <c r="Y108" s="160" t="str">
        <f t="shared" si="24"/>
        <v/>
      </c>
      <c r="Z108" s="160" t="str">
        <f t="shared" si="25"/>
        <v/>
      </c>
      <c r="AA108" s="160" t="str">
        <f t="shared" si="40"/>
        <v/>
      </c>
      <c r="AB108" s="131"/>
      <c r="AC108" s="127"/>
      <c r="AD108" s="132"/>
      <c r="AE108" s="160" t="str">
        <f t="shared" si="26"/>
        <v/>
      </c>
      <c r="AF108" s="160" t="str">
        <f t="shared" si="27"/>
        <v/>
      </c>
      <c r="AG108" s="160" t="str">
        <f t="shared" si="41"/>
        <v/>
      </c>
      <c r="AH108" s="131"/>
      <c r="AI108" s="127"/>
      <c r="AJ108" s="132"/>
      <c r="AK108" s="177" t="str">
        <f t="shared" si="28"/>
        <v/>
      </c>
      <c r="AL108" s="160" t="str">
        <f t="shared" si="29"/>
        <v/>
      </c>
      <c r="AM108" s="160" t="str">
        <f t="shared" si="30"/>
        <v/>
      </c>
      <c r="AN108" s="131"/>
      <c r="AO108" s="127"/>
      <c r="AP108" s="132"/>
      <c r="AQ108" s="164" t="str">
        <f t="shared" si="31"/>
        <v/>
      </c>
      <c r="AR108" s="155" t="str">
        <f t="shared" si="32"/>
        <v/>
      </c>
      <c r="AS108" s="188" t="str">
        <f t="shared" si="33"/>
        <v/>
      </c>
      <c r="AT108" s="160" t="str">
        <f t="shared" si="34"/>
        <v/>
      </c>
      <c r="AU108" s="160" t="str">
        <f t="shared" si="35"/>
        <v/>
      </c>
      <c r="AV108" s="168" t="str">
        <f t="shared" si="36"/>
        <v/>
      </c>
      <c r="AW108" s="171" t="str">
        <f>IF(AV108="","",IFERROR(INDEX(HELPER!$D$8:$D$48,IF(AV108&gt;=HELPER!$B$8,1,MATCH(AV108,HELPER!$B$8:$B$48,-1)+1)),""))</f>
        <v/>
      </c>
      <c r="AX108" s="174" t="str">
        <f>IF(AW108="","",IFERROR(VLOOKUP(AW108,HELPER!$F$8:$G$48,2,FALSE),""))</f>
        <v/>
      </c>
      <c r="AY108" s="147"/>
      <c r="AZ108" s="91"/>
    </row>
    <row r="109" spans="1:52" ht="15" customHeight="1" x14ac:dyDescent="0.3">
      <c r="A109" s="147"/>
      <c r="B109" s="114">
        <v>40</v>
      </c>
      <c r="C109" s="227" t="str">
        <f>IF('INPUT DATA'!N50="","",'INPUT DATA'!N50)</f>
        <v/>
      </c>
      <c r="D109" s="228"/>
      <c r="E109" s="228"/>
      <c r="F109" s="131"/>
      <c r="G109" s="127"/>
      <c r="H109" s="127"/>
      <c r="I109" s="127"/>
      <c r="J109" s="132"/>
      <c r="K109" s="160" t="str">
        <f t="shared" si="38"/>
        <v/>
      </c>
      <c r="L109" s="185" t="str">
        <f t="shared" si="21"/>
        <v/>
      </c>
      <c r="M109" s="185" t="str">
        <f t="shared" si="39"/>
        <v/>
      </c>
      <c r="N109" s="131"/>
      <c r="O109" s="127"/>
      <c r="P109" s="127"/>
      <c r="Q109" s="127"/>
      <c r="R109" s="132"/>
      <c r="S109" s="160" t="str">
        <f t="shared" si="37"/>
        <v/>
      </c>
      <c r="T109" s="185" t="str">
        <f t="shared" si="22"/>
        <v/>
      </c>
      <c r="U109" s="185" t="str">
        <f t="shared" si="23"/>
        <v/>
      </c>
      <c r="V109" s="131"/>
      <c r="W109" s="127"/>
      <c r="X109" s="132"/>
      <c r="Y109" s="160" t="str">
        <f t="shared" si="24"/>
        <v/>
      </c>
      <c r="Z109" s="160" t="str">
        <f t="shared" si="25"/>
        <v/>
      </c>
      <c r="AA109" s="160" t="str">
        <f t="shared" si="40"/>
        <v/>
      </c>
      <c r="AB109" s="131"/>
      <c r="AC109" s="127"/>
      <c r="AD109" s="132"/>
      <c r="AE109" s="160" t="str">
        <f t="shared" si="26"/>
        <v/>
      </c>
      <c r="AF109" s="160" t="str">
        <f t="shared" si="27"/>
        <v/>
      </c>
      <c r="AG109" s="160" t="str">
        <f t="shared" si="41"/>
        <v/>
      </c>
      <c r="AH109" s="131"/>
      <c r="AI109" s="127"/>
      <c r="AJ109" s="132"/>
      <c r="AK109" s="177" t="str">
        <f t="shared" si="28"/>
        <v/>
      </c>
      <c r="AL109" s="160" t="str">
        <f t="shared" si="29"/>
        <v/>
      </c>
      <c r="AM109" s="160" t="str">
        <f t="shared" si="30"/>
        <v/>
      </c>
      <c r="AN109" s="131"/>
      <c r="AO109" s="127"/>
      <c r="AP109" s="132"/>
      <c r="AQ109" s="164" t="str">
        <f t="shared" si="31"/>
        <v/>
      </c>
      <c r="AR109" s="155" t="str">
        <f t="shared" si="32"/>
        <v/>
      </c>
      <c r="AS109" s="188" t="str">
        <f t="shared" si="33"/>
        <v/>
      </c>
      <c r="AT109" s="160" t="str">
        <f t="shared" si="34"/>
        <v/>
      </c>
      <c r="AU109" s="160" t="str">
        <f t="shared" si="35"/>
        <v/>
      </c>
      <c r="AV109" s="168" t="str">
        <f t="shared" si="36"/>
        <v/>
      </c>
      <c r="AW109" s="171" t="str">
        <f>IF(AV109="","",IFERROR(INDEX(HELPER!$D$8:$D$48,IF(AV109&gt;=HELPER!$B$8,1,MATCH(AV109,HELPER!$B$8:$B$48,-1)+1)),""))</f>
        <v/>
      </c>
      <c r="AX109" s="174" t="str">
        <f>IF(AW109="","",IFERROR(VLOOKUP(AW109,HELPER!$F$8:$G$48,2,FALSE),""))</f>
        <v/>
      </c>
      <c r="AY109" s="147"/>
      <c r="AZ109" s="91"/>
    </row>
    <row r="110" spans="1:52" ht="15" customHeight="1" x14ac:dyDescent="0.3">
      <c r="A110" s="147"/>
      <c r="B110" s="114">
        <v>41</v>
      </c>
      <c r="C110" s="227" t="str">
        <f>IF('INPUT DATA'!N51="","",'INPUT DATA'!N51)</f>
        <v/>
      </c>
      <c r="D110" s="228"/>
      <c r="E110" s="228"/>
      <c r="F110" s="131"/>
      <c r="G110" s="127"/>
      <c r="H110" s="127"/>
      <c r="I110" s="127"/>
      <c r="J110" s="132"/>
      <c r="K110" s="160" t="str">
        <f t="shared" si="38"/>
        <v/>
      </c>
      <c r="L110" s="185" t="str">
        <f t="shared" si="21"/>
        <v/>
      </c>
      <c r="M110" s="185" t="str">
        <f t="shared" si="39"/>
        <v/>
      </c>
      <c r="N110" s="131"/>
      <c r="O110" s="127"/>
      <c r="P110" s="127"/>
      <c r="Q110" s="127"/>
      <c r="R110" s="132"/>
      <c r="S110" s="160" t="str">
        <f t="shared" si="37"/>
        <v/>
      </c>
      <c r="T110" s="185" t="str">
        <f t="shared" si="22"/>
        <v/>
      </c>
      <c r="U110" s="185" t="str">
        <f t="shared" si="23"/>
        <v/>
      </c>
      <c r="V110" s="131"/>
      <c r="W110" s="127"/>
      <c r="X110" s="132"/>
      <c r="Y110" s="160" t="str">
        <f t="shared" si="24"/>
        <v/>
      </c>
      <c r="Z110" s="160" t="str">
        <f t="shared" si="25"/>
        <v/>
      </c>
      <c r="AA110" s="160" t="str">
        <f t="shared" si="40"/>
        <v/>
      </c>
      <c r="AB110" s="131"/>
      <c r="AC110" s="127"/>
      <c r="AD110" s="132"/>
      <c r="AE110" s="160" t="str">
        <f t="shared" si="26"/>
        <v/>
      </c>
      <c r="AF110" s="160" t="str">
        <f t="shared" si="27"/>
        <v/>
      </c>
      <c r="AG110" s="160" t="str">
        <f t="shared" si="41"/>
        <v/>
      </c>
      <c r="AH110" s="131"/>
      <c r="AI110" s="127"/>
      <c r="AJ110" s="132"/>
      <c r="AK110" s="177" t="str">
        <f t="shared" si="28"/>
        <v/>
      </c>
      <c r="AL110" s="160" t="str">
        <f t="shared" si="29"/>
        <v/>
      </c>
      <c r="AM110" s="160" t="str">
        <f t="shared" si="30"/>
        <v/>
      </c>
      <c r="AN110" s="131"/>
      <c r="AO110" s="127"/>
      <c r="AP110" s="132"/>
      <c r="AQ110" s="164" t="str">
        <f t="shared" si="31"/>
        <v/>
      </c>
      <c r="AR110" s="155" t="str">
        <f t="shared" si="32"/>
        <v/>
      </c>
      <c r="AS110" s="188" t="str">
        <f t="shared" si="33"/>
        <v/>
      </c>
      <c r="AT110" s="160" t="str">
        <f t="shared" si="34"/>
        <v/>
      </c>
      <c r="AU110" s="160" t="str">
        <f t="shared" si="35"/>
        <v/>
      </c>
      <c r="AV110" s="168" t="str">
        <f t="shared" si="36"/>
        <v/>
      </c>
      <c r="AW110" s="171" t="str">
        <f>IF(AV110="","",IFERROR(INDEX(HELPER!$D$8:$D$48,IF(AV110&gt;=HELPER!$B$8,1,MATCH(AV110,HELPER!$B$8:$B$48,-1)+1)),""))</f>
        <v/>
      </c>
      <c r="AX110" s="174" t="str">
        <f>IF(AW110="","",IFERROR(VLOOKUP(AW110,HELPER!$F$8:$G$48,2,FALSE),""))</f>
        <v/>
      </c>
      <c r="AY110" s="147"/>
      <c r="AZ110" s="91"/>
    </row>
    <row r="111" spans="1:52" ht="15" customHeight="1" x14ac:dyDescent="0.3">
      <c r="A111" s="147"/>
      <c r="B111" s="114">
        <v>42</v>
      </c>
      <c r="C111" s="227" t="str">
        <f>IF('INPUT DATA'!N52="","",'INPUT DATA'!N52)</f>
        <v/>
      </c>
      <c r="D111" s="228"/>
      <c r="E111" s="228"/>
      <c r="F111" s="131"/>
      <c r="G111" s="127"/>
      <c r="H111" s="127"/>
      <c r="I111" s="127"/>
      <c r="J111" s="132"/>
      <c r="K111" s="160" t="str">
        <f t="shared" si="38"/>
        <v/>
      </c>
      <c r="L111" s="185" t="str">
        <f t="shared" si="21"/>
        <v/>
      </c>
      <c r="M111" s="185" t="str">
        <f t="shared" si="39"/>
        <v/>
      </c>
      <c r="N111" s="131"/>
      <c r="O111" s="127"/>
      <c r="P111" s="127"/>
      <c r="Q111" s="127"/>
      <c r="R111" s="132"/>
      <c r="S111" s="160" t="str">
        <f t="shared" si="37"/>
        <v/>
      </c>
      <c r="T111" s="185" t="str">
        <f t="shared" si="22"/>
        <v/>
      </c>
      <c r="U111" s="185" t="str">
        <f t="shared" si="23"/>
        <v/>
      </c>
      <c r="V111" s="131"/>
      <c r="W111" s="127"/>
      <c r="X111" s="132"/>
      <c r="Y111" s="160" t="str">
        <f t="shared" si="24"/>
        <v/>
      </c>
      <c r="Z111" s="160" t="str">
        <f t="shared" si="25"/>
        <v/>
      </c>
      <c r="AA111" s="160" t="str">
        <f t="shared" si="40"/>
        <v/>
      </c>
      <c r="AB111" s="131"/>
      <c r="AC111" s="127"/>
      <c r="AD111" s="132"/>
      <c r="AE111" s="160" t="str">
        <f t="shared" si="26"/>
        <v/>
      </c>
      <c r="AF111" s="160" t="str">
        <f t="shared" si="27"/>
        <v/>
      </c>
      <c r="AG111" s="160" t="str">
        <f t="shared" si="41"/>
        <v/>
      </c>
      <c r="AH111" s="131"/>
      <c r="AI111" s="127"/>
      <c r="AJ111" s="132"/>
      <c r="AK111" s="177" t="str">
        <f t="shared" si="28"/>
        <v/>
      </c>
      <c r="AL111" s="160" t="str">
        <f t="shared" si="29"/>
        <v/>
      </c>
      <c r="AM111" s="160" t="str">
        <f t="shared" si="30"/>
        <v/>
      </c>
      <c r="AN111" s="131"/>
      <c r="AO111" s="127"/>
      <c r="AP111" s="132"/>
      <c r="AQ111" s="164" t="str">
        <f t="shared" si="31"/>
        <v/>
      </c>
      <c r="AR111" s="155" t="str">
        <f t="shared" si="32"/>
        <v/>
      </c>
      <c r="AS111" s="188" t="str">
        <f t="shared" si="33"/>
        <v/>
      </c>
      <c r="AT111" s="160" t="str">
        <f t="shared" si="34"/>
        <v/>
      </c>
      <c r="AU111" s="160" t="str">
        <f t="shared" si="35"/>
        <v/>
      </c>
      <c r="AV111" s="168" t="str">
        <f t="shared" si="36"/>
        <v/>
      </c>
      <c r="AW111" s="171" t="str">
        <f>IF(AV111="","",IFERROR(INDEX(HELPER!$D$8:$D$48,IF(AV111&gt;=HELPER!$B$8,1,MATCH(AV111,HELPER!$B$8:$B$48,-1)+1)),""))</f>
        <v/>
      </c>
      <c r="AX111" s="174" t="str">
        <f>IF(AW111="","",IFERROR(VLOOKUP(AW111,HELPER!$F$8:$G$48,2,FALSE),""))</f>
        <v/>
      </c>
      <c r="AY111" s="147"/>
      <c r="AZ111" s="91"/>
    </row>
    <row r="112" spans="1:52" ht="15" customHeight="1" x14ac:dyDescent="0.3">
      <c r="A112" s="147"/>
      <c r="B112" s="114">
        <v>43</v>
      </c>
      <c r="C112" s="227" t="str">
        <f>IF('INPUT DATA'!N53="","",'INPUT DATA'!N53)</f>
        <v/>
      </c>
      <c r="D112" s="228"/>
      <c r="E112" s="228"/>
      <c r="F112" s="131"/>
      <c r="G112" s="127"/>
      <c r="H112" s="127"/>
      <c r="I112" s="127"/>
      <c r="J112" s="132"/>
      <c r="K112" s="160" t="str">
        <f t="shared" si="38"/>
        <v/>
      </c>
      <c r="L112" s="185" t="str">
        <f t="shared" si="21"/>
        <v/>
      </c>
      <c r="M112" s="185" t="str">
        <f t="shared" si="39"/>
        <v/>
      </c>
      <c r="N112" s="131"/>
      <c r="O112" s="127"/>
      <c r="P112" s="127"/>
      <c r="Q112" s="127"/>
      <c r="R112" s="132"/>
      <c r="S112" s="160" t="str">
        <f t="shared" si="37"/>
        <v/>
      </c>
      <c r="T112" s="185" t="str">
        <f t="shared" si="22"/>
        <v/>
      </c>
      <c r="U112" s="185" t="str">
        <f t="shared" si="23"/>
        <v/>
      </c>
      <c r="V112" s="131"/>
      <c r="W112" s="127"/>
      <c r="X112" s="132"/>
      <c r="Y112" s="160" t="str">
        <f t="shared" si="24"/>
        <v/>
      </c>
      <c r="Z112" s="160" t="str">
        <f t="shared" si="25"/>
        <v/>
      </c>
      <c r="AA112" s="160" t="str">
        <f t="shared" si="40"/>
        <v/>
      </c>
      <c r="AB112" s="131"/>
      <c r="AC112" s="127"/>
      <c r="AD112" s="132"/>
      <c r="AE112" s="160" t="str">
        <f t="shared" si="26"/>
        <v/>
      </c>
      <c r="AF112" s="160" t="str">
        <f t="shared" si="27"/>
        <v/>
      </c>
      <c r="AG112" s="160" t="str">
        <f t="shared" si="41"/>
        <v/>
      </c>
      <c r="AH112" s="131"/>
      <c r="AI112" s="127"/>
      <c r="AJ112" s="132"/>
      <c r="AK112" s="177" t="str">
        <f t="shared" si="28"/>
        <v/>
      </c>
      <c r="AL112" s="160" t="str">
        <f t="shared" si="29"/>
        <v/>
      </c>
      <c r="AM112" s="160" t="str">
        <f t="shared" si="30"/>
        <v/>
      </c>
      <c r="AN112" s="131"/>
      <c r="AO112" s="127"/>
      <c r="AP112" s="132"/>
      <c r="AQ112" s="164" t="str">
        <f t="shared" si="31"/>
        <v/>
      </c>
      <c r="AR112" s="155" t="str">
        <f t="shared" si="32"/>
        <v/>
      </c>
      <c r="AS112" s="188" t="str">
        <f t="shared" si="33"/>
        <v/>
      </c>
      <c r="AT112" s="160" t="str">
        <f t="shared" si="34"/>
        <v/>
      </c>
      <c r="AU112" s="160" t="str">
        <f t="shared" si="35"/>
        <v/>
      </c>
      <c r="AV112" s="168" t="str">
        <f t="shared" si="36"/>
        <v/>
      </c>
      <c r="AW112" s="171" t="str">
        <f>IF(AV112="","",IFERROR(INDEX(HELPER!$D$8:$D$48,IF(AV112&gt;=HELPER!$B$8,1,MATCH(AV112,HELPER!$B$8:$B$48,-1)+1)),""))</f>
        <v/>
      </c>
      <c r="AX112" s="174" t="str">
        <f>IF(AW112="","",IFERROR(VLOOKUP(AW112,HELPER!$F$8:$G$48,2,FALSE),""))</f>
        <v/>
      </c>
      <c r="AY112" s="147"/>
      <c r="AZ112" s="91"/>
    </row>
    <row r="113" spans="1:52" ht="15" customHeight="1" x14ac:dyDescent="0.3">
      <c r="A113" s="147"/>
      <c r="B113" s="114">
        <v>44</v>
      </c>
      <c r="C113" s="227" t="str">
        <f>IF('INPUT DATA'!N54="","",'INPUT DATA'!N54)</f>
        <v/>
      </c>
      <c r="D113" s="228"/>
      <c r="E113" s="228"/>
      <c r="F113" s="131"/>
      <c r="G113" s="127"/>
      <c r="H113" s="127"/>
      <c r="I113" s="127"/>
      <c r="J113" s="132"/>
      <c r="K113" s="160" t="str">
        <f t="shared" si="38"/>
        <v/>
      </c>
      <c r="L113" s="185" t="str">
        <f t="shared" si="21"/>
        <v/>
      </c>
      <c r="M113" s="185" t="str">
        <f t="shared" si="39"/>
        <v/>
      </c>
      <c r="N113" s="131"/>
      <c r="O113" s="127"/>
      <c r="P113" s="127"/>
      <c r="Q113" s="127"/>
      <c r="R113" s="132"/>
      <c r="S113" s="160" t="str">
        <f t="shared" si="37"/>
        <v/>
      </c>
      <c r="T113" s="185" t="str">
        <f t="shared" si="22"/>
        <v/>
      </c>
      <c r="U113" s="185" t="str">
        <f t="shared" si="23"/>
        <v/>
      </c>
      <c r="V113" s="131"/>
      <c r="W113" s="127"/>
      <c r="X113" s="132"/>
      <c r="Y113" s="160" t="str">
        <f t="shared" si="24"/>
        <v/>
      </c>
      <c r="Z113" s="160" t="str">
        <f t="shared" si="25"/>
        <v/>
      </c>
      <c r="AA113" s="160" t="str">
        <f t="shared" si="40"/>
        <v/>
      </c>
      <c r="AB113" s="131"/>
      <c r="AC113" s="127"/>
      <c r="AD113" s="132"/>
      <c r="AE113" s="160" t="str">
        <f t="shared" si="26"/>
        <v/>
      </c>
      <c r="AF113" s="160" t="str">
        <f t="shared" si="27"/>
        <v/>
      </c>
      <c r="AG113" s="160" t="str">
        <f t="shared" si="41"/>
        <v/>
      </c>
      <c r="AH113" s="131"/>
      <c r="AI113" s="127"/>
      <c r="AJ113" s="132"/>
      <c r="AK113" s="177" t="str">
        <f t="shared" si="28"/>
        <v/>
      </c>
      <c r="AL113" s="160" t="str">
        <f t="shared" si="29"/>
        <v/>
      </c>
      <c r="AM113" s="160" t="str">
        <f t="shared" si="30"/>
        <v/>
      </c>
      <c r="AN113" s="131"/>
      <c r="AO113" s="127"/>
      <c r="AP113" s="132"/>
      <c r="AQ113" s="164" t="str">
        <f t="shared" si="31"/>
        <v/>
      </c>
      <c r="AR113" s="155" t="str">
        <f t="shared" si="32"/>
        <v/>
      </c>
      <c r="AS113" s="188" t="str">
        <f t="shared" si="33"/>
        <v/>
      </c>
      <c r="AT113" s="160" t="str">
        <f t="shared" si="34"/>
        <v/>
      </c>
      <c r="AU113" s="160" t="str">
        <f t="shared" si="35"/>
        <v/>
      </c>
      <c r="AV113" s="168" t="str">
        <f t="shared" si="36"/>
        <v/>
      </c>
      <c r="AW113" s="171" t="str">
        <f>IF(AV113="","",IFERROR(INDEX(HELPER!$D$8:$D$48,IF(AV113&gt;=HELPER!$B$8,1,MATCH(AV113,HELPER!$B$8:$B$48,-1)+1)),""))</f>
        <v/>
      </c>
      <c r="AX113" s="174" t="str">
        <f>IF(AW113="","",IFERROR(VLOOKUP(AW113,HELPER!$F$8:$G$48,2,FALSE),""))</f>
        <v/>
      </c>
      <c r="AY113" s="147"/>
      <c r="AZ113" s="91"/>
    </row>
    <row r="114" spans="1:52" ht="15" customHeight="1" x14ac:dyDescent="0.3">
      <c r="A114" s="147"/>
      <c r="B114" s="114">
        <v>45</v>
      </c>
      <c r="C114" s="227" t="str">
        <f>IF('INPUT DATA'!N55="","",'INPUT DATA'!N55)</f>
        <v/>
      </c>
      <c r="D114" s="228"/>
      <c r="E114" s="228"/>
      <c r="F114" s="131"/>
      <c r="G114" s="127"/>
      <c r="H114" s="127"/>
      <c r="I114" s="127"/>
      <c r="J114" s="132"/>
      <c r="K114" s="160" t="str">
        <f t="shared" si="38"/>
        <v/>
      </c>
      <c r="L114" s="185" t="str">
        <f t="shared" si="21"/>
        <v/>
      </c>
      <c r="M114" s="185" t="str">
        <f t="shared" si="39"/>
        <v/>
      </c>
      <c r="N114" s="131"/>
      <c r="O114" s="127"/>
      <c r="P114" s="127"/>
      <c r="Q114" s="127"/>
      <c r="R114" s="132"/>
      <c r="S114" s="160" t="str">
        <f t="shared" si="37"/>
        <v/>
      </c>
      <c r="T114" s="185" t="str">
        <f t="shared" si="22"/>
        <v/>
      </c>
      <c r="U114" s="185" t="str">
        <f t="shared" si="23"/>
        <v/>
      </c>
      <c r="V114" s="131"/>
      <c r="W114" s="127"/>
      <c r="X114" s="132"/>
      <c r="Y114" s="160" t="str">
        <f t="shared" si="24"/>
        <v/>
      </c>
      <c r="Z114" s="160" t="str">
        <f t="shared" si="25"/>
        <v/>
      </c>
      <c r="AA114" s="160" t="str">
        <f t="shared" si="40"/>
        <v/>
      </c>
      <c r="AB114" s="131"/>
      <c r="AC114" s="127"/>
      <c r="AD114" s="132"/>
      <c r="AE114" s="160" t="str">
        <f t="shared" si="26"/>
        <v/>
      </c>
      <c r="AF114" s="160" t="str">
        <f t="shared" si="27"/>
        <v/>
      </c>
      <c r="AG114" s="160" t="str">
        <f t="shared" si="41"/>
        <v/>
      </c>
      <c r="AH114" s="131"/>
      <c r="AI114" s="127"/>
      <c r="AJ114" s="132"/>
      <c r="AK114" s="177" t="str">
        <f t="shared" si="28"/>
        <v/>
      </c>
      <c r="AL114" s="160" t="str">
        <f t="shared" si="29"/>
        <v/>
      </c>
      <c r="AM114" s="160" t="str">
        <f t="shared" si="30"/>
        <v/>
      </c>
      <c r="AN114" s="131"/>
      <c r="AO114" s="127"/>
      <c r="AP114" s="132"/>
      <c r="AQ114" s="164" t="str">
        <f t="shared" si="31"/>
        <v/>
      </c>
      <c r="AR114" s="155" t="str">
        <f t="shared" si="32"/>
        <v/>
      </c>
      <c r="AS114" s="188" t="str">
        <f t="shared" si="33"/>
        <v/>
      </c>
      <c r="AT114" s="160" t="str">
        <f t="shared" si="34"/>
        <v/>
      </c>
      <c r="AU114" s="160" t="str">
        <f t="shared" si="35"/>
        <v/>
      </c>
      <c r="AV114" s="168" t="str">
        <f t="shared" si="36"/>
        <v/>
      </c>
      <c r="AW114" s="171" t="str">
        <f>IF(AV114="","",IFERROR(INDEX(HELPER!$D$8:$D$48,IF(AV114&gt;=HELPER!$B$8,1,MATCH(AV114,HELPER!$B$8:$B$48,-1)+1)),""))</f>
        <v/>
      </c>
      <c r="AX114" s="174" t="str">
        <f>IF(AW114="","",IFERROR(VLOOKUP(AW114,HELPER!$F$8:$G$48,2,FALSE),""))</f>
        <v/>
      </c>
      <c r="AY114" s="147"/>
      <c r="AZ114" s="91"/>
    </row>
    <row r="115" spans="1:52" ht="15" customHeight="1" x14ac:dyDescent="0.3">
      <c r="A115" s="147"/>
      <c r="B115" s="114">
        <v>46</v>
      </c>
      <c r="C115" s="227" t="str">
        <f>IF('INPUT DATA'!N56="","",'INPUT DATA'!N56)</f>
        <v/>
      </c>
      <c r="D115" s="228"/>
      <c r="E115" s="228"/>
      <c r="F115" s="131"/>
      <c r="G115" s="127"/>
      <c r="H115" s="127"/>
      <c r="I115" s="127"/>
      <c r="J115" s="132"/>
      <c r="K115" s="160" t="str">
        <f t="shared" si="38"/>
        <v/>
      </c>
      <c r="L115" s="185" t="str">
        <f t="shared" si="21"/>
        <v/>
      </c>
      <c r="M115" s="185" t="str">
        <f t="shared" si="39"/>
        <v/>
      </c>
      <c r="N115" s="131"/>
      <c r="O115" s="127"/>
      <c r="P115" s="127"/>
      <c r="Q115" s="127"/>
      <c r="R115" s="132"/>
      <c r="S115" s="160" t="str">
        <f t="shared" si="37"/>
        <v/>
      </c>
      <c r="T115" s="185" t="str">
        <f t="shared" si="22"/>
        <v/>
      </c>
      <c r="U115" s="185" t="str">
        <f t="shared" si="23"/>
        <v/>
      </c>
      <c r="V115" s="131"/>
      <c r="W115" s="127"/>
      <c r="X115" s="132"/>
      <c r="Y115" s="160" t="str">
        <f t="shared" si="24"/>
        <v/>
      </c>
      <c r="Z115" s="160" t="str">
        <f t="shared" si="25"/>
        <v/>
      </c>
      <c r="AA115" s="160" t="str">
        <f t="shared" si="40"/>
        <v/>
      </c>
      <c r="AB115" s="131"/>
      <c r="AC115" s="127"/>
      <c r="AD115" s="132"/>
      <c r="AE115" s="160" t="str">
        <f t="shared" si="26"/>
        <v/>
      </c>
      <c r="AF115" s="160" t="str">
        <f t="shared" si="27"/>
        <v/>
      </c>
      <c r="AG115" s="160" t="str">
        <f t="shared" si="41"/>
        <v/>
      </c>
      <c r="AH115" s="131"/>
      <c r="AI115" s="127"/>
      <c r="AJ115" s="132"/>
      <c r="AK115" s="177" t="str">
        <f t="shared" si="28"/>
        <v/>
      </c>
      <c r="AL115" s="160" t="str">
        <f t="shared" si="29"/>
        <v/>
      </c>
      <c r="AM115" s="160" t="str">
        <f t="shared" si="30"/>
        <v/>
      </c>
      <c r="AN115" s="131"/>
      <c r="AO115" s="127"/>
      <c r="AP115" s="132"/>
      <c r="AQ115" s="164" t="str">
        <f t="shared" si="31"/>
        <v/>
      </c>
      <c r="AR115" s="155" t="str">
        <f t="shared" si="32"/>
        <v/>
      </c>
      <c r="AS115" s="188" t="str">
        <f t="shared" si="33"/>
        <v/>
      </c>
      <c r="AT115" s="160" t="str">
        <f t="shared" si="34"/>
        <v/>
      </c>
      <c r="AU115" s="160" t="str">
        <f t="shared" si="35"/>
        <v/>
      </c>
      <c r="AV115" s="168" t="str">
        <f t="shared" si="36"/>
        <v/>
      </c>
      <c r="AW115" s="171" t="str">
        <f>IF(AV115="","",IFERROR(INDEX(HELPER!$D$8:$D$48,IF(AV115&gt;=HELPER!$B$8,1,MATCH(AV115,HELPER!$B$8:$B$48,-1)+1)),""))</f>
        <v/>
      </c>
      <c r="AX115" s="174" t="str">
        <f>IF(AW115="","",IFERROR(VLOOKUP(AW115,HELPER!$F$8:$G$48,2,FALSE),""))</f>
        <v/>
      </c>
      <c r="AY115" s="147"/>
      <c r="AZ115" s="91"/>
    </row>
    <row r="116" spans="1:52" ht="15" customHeight="1" x14ac:dyDescent="0.3">
      <c r="A116" s="147"/>
      <c r="B116" s="114">
        <v>47</v>
      </c>
      <c r="C116" s="227" t="str">
        <f>IF('INPUT DATA'!N57="","",'INPUT DATA'!N57)</f>
        <v/>
      </c>
      <c r="D116" s="228"/>
      <c r="E116" s="228"/>
      <c r="F116" s="131"/>
      <c r="G116" s="127"/>
      <c r="H116" s="127"/>
      <c r="I116" s="127"/>
      <c r="J116" s="132"/>
      <c r="K116" s="160" t="str">
        <f t="shared" si="38"/>
        <v/>
      </c>
      <c r="L116" s="185" t="str">
        <f t="shared" si="21"/>
        <v/>
      </c>
      <c r="M116" s="185" t="str">
        <f t="shared" si="39"/>
        <v/>
      </c>
      <c r="N116" s="131"/>
      <c r="O116" s="127"/>
      <c r="P116" s="127"/>
      <c r="Q116" s="127"/>
      <c r="R116" s="132"/>
      <c r="S116" s="160" t="str">
        <f t="shared" si="37"/>
        <v/>
      </c>
      <c r="T116" s="185" t="str">
        <f t="shared" si="22"/>
        <v/>
      </c>
      <c r="U116" s="185" t="str">
        <f t="shared" si="23"/>
        <v/>
      </c>
      <c r="V116" s="131"/>
      <c r="W116" s="127"/>
      <c r="X116" s="132"/>
      <c r="Y116" s="160" t="str">
        <f t="shared" si="24"/>
        <v/>
      </c>
      <c r="Z116" s="160" t="str">
        <f t="shared" si="25"/>
        <v/>
      </c>
      <c r="AA116" s="160" t="str">
        <f t="shared" si="40"/>
        <v/>
      </c>
      <c r="AB116" s="131"/>
      <c r="AC116" s="127"/>
      <c r="AD116" s="132"/>
      <c r="AE116" s="160" t="str">
        <f t="shared" si="26"/>
        <v/>
      </c>
      <c r="AF116" s="160" t="str">
        <f t="shared" si="27"/>
        <v/>
      </c>
      <c r="AG116" s="160" t="str">
        <f t="shared" si="41"/>
        <v/>
      </c>
      <c r="AH116" s="131"/>
      <c r="AI116" s="127"/>
      <c r="AJ116" s="132"/>
      <c r="AK116" s="177" t="str">
        <f t="shared" si="28"/>
        <v/>
      </c>
      <c r="AL116" s="160" t="str">
        <f t="shared" si="29"/>
        <v/>
      </c>
      <c r="AM116" s="160" t="str">
        <f t="shared" si="30"/>
        <v/>
      </c>
      <c r="AN116" s="131"/>
      <c r="AO116" s="127"/>
      <c r="AP116" s="132"/>
      <c r="AQ116" s="164" t="str">
        <f t="shared" si="31"/>
        <v/>
      </c>
      <c r="AR116" s="155" t="str">
        <f t="shared" si="32"/>
        <v/>
      </c>
      <c r="AS116" s="188" t="str">
        <f t="shared" si="33"/>
        <v/>
      </c>
      <c r="AT116" s="160" t="str">
        <f t="shared" si="34"/>
        <v/>
      </c>
      <c r="AU116" s="160" t="str">
        <f t="shared" si="35"/>
        <v/>
      </c>
      <c r="AV116" s="168" t="str">
        <f t="shared" si="36"/>
        <v/>
      </c>
      <c r="AW116" s="171" t="str">
        <f>IF(AV116="","",IFERROR(INDEX(HELPER!$D$8:$D$48,IF(AV116&gt;=HELPER!$B$8,1,MATCH(AV116,HELPER!$B$8:$B$48,-1)+1)),""))</f>
        <v/>
      </c>
      <c r="AX116" s="174" t="str">
        <f>IF(AW116="","",IFERROR(VLOOKUP(AW116,HELPER!$F$8:$G$48,2,FALSE),""))</f>
        <v/>
      </c>
      <c r="AY116" s="147"/>
      <c r="AZ116" s="91"/>
    </row>
    <row r="117" spans="1:52" ht="15" customHeight="1" x14ac:dyDescent="0.3">
      <c r="A117" s="147"/>
      <c r="B117" s="114">
        <v>48</v>
      </c>
      <c r="C117" s="227" t="str">
        <f>IF('INPUT DATA'!N58="","",'INPUT DATA'!N58)</f>
        <v/>
      </c>
      <c r="D117" s="228"/>
      <c r="E117" s="228"/>
      <c r="F117" s="131"/>
      <c r="G117" s="127"/>
      <c r="H117" s="127"/>
      <c r="I117" s="127"/>
      <c r="J117" s="132"/>
      <c r="K117" s="160" t="str">
        <f t="shared" si="38"/>
        <v/>
      </c>
      <c r="L117" s="185" t="str">
        <f t="shared" si="21"/>
        <v/>
      </c>
      <c r="M117" s="185" t="str">
        <f t="shared" si="39"/>
        <v/>
      </c>
      <c r="N117" s="131"/>
      <c r="O117" s="127"/>
      <c r="P117" s="127"/>
      <c r="Q117" s="127"/>
      <c r="R117" s="132"/>
      <c r="S117" s="160" t="str">
        <f t="shared" si="37"/>
        <v/>
      </c>
      <c r="T117" s="185" t="str">
        <f t="shared" si="22"/>
        <v/>
      </c>
      <c r="U117" s="185" t="str">
        <f t="shared" si="23"/>
        <v/>
      </c>
      <c r="V117" s="131"/>
      <c r="W117" s="127"/>
      <c r="X117" s="132"/>
      <c r="Y117" s="160" t="str">
        <f t="shared" si="24"/>
        <v/>
      </c>
      <c r="Z117" s="160" t="str">
        <f t="shared" si="25"/>
        <v/>
      </c>
      <c r="AA117" s="160" t="str">
        <f t="shared" si="40"/>
        <v/>
      </c>
      <c r="AB117" s="131"/>
      <c r="AC117" s="127"/>
      <c r="AD117" s="132"/>
      <c r="AE117" s="160" t="str">
        <f t="shared" si="26"/>
        <v/>
      </c>
      <c r="AF117" s="160" t="str">
        <f t="shared" si="27"/>
        <v/>
      </c>
      <c r="AG117" s="160" t="str">
        <f t="shared" si="41"/>
        <v/>
      </c>
      <c r="AH117" s="131"/>
      <c r="AI117" s="127"/>
      <c r="AJ117" s="132"/>
      <c r="AK117" s="177" t="str">
        <f t="shared" si="28"/>
        <v/>
      </c>
      <c r="AL117" s="160" t="str">
        <f t="shared" si="29"/>
        <v/>
      </c>
      <c r="AM117" s="160" t="str">
        <f t="shared" si="30"/>
        <v/>
      </c>
      <c r="AN117" s="131"/>
      <c r="AO117" s="127"/>
      <c r="AP117" s="132"/>
      <c r="AQ117" s="164" t="str">
        <f t="shared" si="31"/>
        <v/>
      </c>
      <c r="AR117" s="155" t="str">
        <f t="shared" si="32"/>
        <v/>
      </c>
      <c r="AS117" s="188" t="str">
        <f t="shared" si="33"/>
        <v/>
      </c>
      <c r="AT117" s="160" t="str">
        <f t="shared" si="34"/>
        <v/>
      </c>
      <c r="AU117" s="160" t="str">
        <f t="shared" si="35"/>
        <v/>
      </c>
      <c r="AV117" s="168" t="str">
        <f t="shared" si="36"/>
        <v/>
      </c>
      <c r="AW117" s="171" t="str">
        <f>IF(AV117="","",IFERROR(INDEX(HELPER!$D$8:$D$48,IF(AV117&gt;=HELPER!$B$8,1,MATCH(AV117,HELPER!$B$8:$B$48,-1)+1)),""))</f>
        <v/>
      </c>
      <c r="AX117" s="174" t="str">
        <f>IF(AW117="","",IFERROR(VLOOKUP(AW117,HELPER!$F$8:$G$48,2,FALSE),""))</f>
        <v/>
      </c>
      <c r="AY117" s="147"/>
      <c r="AZ117" s="91"/>
    </row>
    <row r="118" spans="1:52" ht="15" customHeight="1" x14ac:dyDescent="0.3">
      <c r="A118" s="147"/>
      <c r="B118" s="114">
        <v>49</v>
      </c>
      <c r="C118" s="227" t="str">
        <f>IF('INPUT DATA'!N59="","",'INPUT DATA'!N59)</f>
        <v/>
      </c>
      <c r="D118" s="228"/>
      <c r="E118" s="228"/>
      <c r="F118" s="131"/>
      <c r="G118" s="127"/>
      <c r="H118" s="127"/>
      <c r="I118" s="127"/>
      <c r="J118" s="132"/>
      <c r="K118" s="160" t="str">
        <f t="shared" si="38"/>
        <v/>
      </c>
      <c r="L118" s="185" t="str">
        <f t="shared" si="21"/>
        <v/>
      </c>
      <c r="M118" s="185" t="str">
        <f t="shared" si="39"/>
        <v/>
      </c>
      <c r="N118" s="131"/>
      <c r="O118" s="127"/>
      <c r="P118" s="127"/>
      <c r="Q118" s="127"/>
      <c r="R118" s="132"/>
      <c r="S118" s="160" t="str">
        <f t="shared" si="37"/>
        <v/>
      </c>
      <c r="T118" s="185" t="str">
        <f t="shared" si="22"/>
        <v/>
      </c>
      <c r="U118" s="185" t="str">
        <f t="shared" si="23"/>
        <v/>
      </c>
      <c r="V118" s="131"/>
      <c r="W118" s="127"/>
      <c r="X118" s="132"/>
      <c r="Y118" s="160" t="str">
        <f t="shared" si="24"/>
        <v/>
      </c>
      <c r="Z118" s="160" t="str">
        <f t="shared" si="25"/>
        <v/>
      </c>
      <c r="AA118" s="160" t="str">
        <f t="shared" si="40"/>
        <v/>
      </c>
      <c r="AB118" s="131"/>
      <c r="AC118" s="127"/>
      <c r="AD118" s="132"/>
      <c r="AE118" s="160" t="str">
        <f t="shared" si="26"/>
        <v/>
      </c>
      <c r="AF118" s="160" t="str">
        <f t="shared" si="27"/>
        <v/>
      </c>
      <c r="AG118" s="160" t="str">
        <f t="shared" si="41"/>
        <v/>
      </c>
      <c r="AH118" s="131"/>
      <c r="AI118" s="127"/>
      <c r="AJ118" s="132"/>
      <c r="AK118" s="177" t="str">
        <f t="shared" si="28"/>
        <v/>
      </c>
      <c r="AL118" s="160" t="str">
        <f t="shared" si="29"/>
        <v/>
      </c>
      <c r="AM118" s="160" t="str">
        <f t="shared" si="30"/>
        <v/>
      </c>
      <c r="AN118" s="131"/>
      <c r="AO118" s="127"/>
      <c r="AP118" s="132"/>
      <c r="AQ118" s="164" t="str">
        <f t="shared" si="31"/>
        <v/>
      </c>
      <c r="AR118" s="155" t="str">
        <f t="shared" si="32"/>
        <v/>
      </c>
      <c r="AS118" s="188" t="str">
        <f t="shared" si="33"/>
        <v/>
      </c>
      <c r="AT118" s="160" t="str">
        <f t="shared" si="34"/>
        <v/>
      </c>
      <c r="AU118" s="160" t="str">
        <f t="shared" si="35"/>
        <v/>
      </c>
      <c r="AV118" s="168" t="str">
        <f t="shared" si="36"/>
        <v/>
      </c>
      <c r="AW118" s="171" t="str">
        <f>IF(AV118="","",IFERROR(INDEX(HELPER!$D$8:$D$48,IF(AV118&gt;=HELPER!$B$8,1,MATCH(AV118,HELPER!$B$8:$B$48,-1)+1)),""))</f>
        <v/>
      </c>
      <c r="AX118" s="174" t="str">
        <f>IF(AW118="","",IFERROR(VLOOKUP(AW118,HELPER!$F$8:$G$48,2,FALSE),""))</f>
        <v/>
      </c>
      <c r="AY118" s="147"/>
      <c r="AZ118" s="91"/>
    </row>
    <row r="119" spans="1:52" ht="15" customHeight="1" thickBot="1" x14ac:dyDescent="0.35">
      <c r="A119" s="147"/>
      <c r="B119" s="115">
        <v>50</v>
      </c>
      <c r="C119" s="284" t="str">
        <f>IF('INPUT DATA'!N60="","",'INPUT DATA'!N60)</f>
        <v/>
      </c>
      <c r="D119" s="285"/>
      <c r="E119" s="285"/>
      <c r="F119" s="156"/>
      <c r="G119" s="157"/>
      <c r="H119" s="157"/>
      <c r="I119" s="157"/>
      <c r="J119" s="158"/>
      <c r="K119" s="161" t="str">
        <f t="shared" si="38"/>
        <v/>
      </c>
      <c r="L119" s="186" t="str">
        <f t="shared" si="21"/>
        <v/>
      </c>
      <c r="M119" s="186" t="str">
        <f t="shared" si="39"/>
        <v/>
      </c>
      <c r="N119" s="156"/>
      <c r="O119" s="157"/>
      <c r="P119" s="157"/>
      <c r="Q119" s="157"/>
      <c r="R119" s="158"/>
      <c r="S119" s="161" t="str">
        <f t="shared" si="37"/>
        <v/>
      </c>
      <c r="T119" s="186" t="str">
        <f t="shared" si="22"/>
        <v/>
      </c>
      <c r="U119" s="186" t="str">
        <f t="shared" si="23"/>
        <v/>
      </c>
      <c r="V119" s="156"/>
      <c r="W119" s="157"/>
      <c r="X119" s="158"/>
      <c r="Y119" s="161" t="str">
        <f t="shared" si="24"/>
        <v/>
      </c>
      <c r="Z119" s="161" t="str">
        <f t="shared" si="25"/>
        <v/>
      </c>
      <c r="AA119" s="161" t="str">
        <f t="shared" si="40"/>
        <v/>
      </c>
      <c r="AB119" s="156"/>
      <c r="AC119" s="157"/>
      <c r="AD119" s="158"/>
      <c r="AE119" s="161" t="str">
        <f t="shared" si="26"/>
        <v/>
      </c>
      <c r="AF119" s="161" t="str">
        <f t="shared" si="27"/>
        <v/>
      </c>
      <c r="AG119" s="161" t="str">
        <f t="shared" si="41"/>
        <v/>
      </c>
      <c r="AH119" s="156"/>
      <c r="AI119" s="157"/>
      <c r="AJ119" s="158"/>
      <c r="AK119" s="178" t="str">
        <f t="shared" si="28"/>
        <v/>
      </c>
      <c r="AL119" s="161" t="str">
        <f t="shared" si="29"/>
        <v/>
      </c>
      <c r="AM119" s="161" t="str">
        <f t="shared" si="30"/>
        <v/>
      </c>
      <c r="AN119" s="156"/>
      <c r="AO119" s="157"/>
      <c r="AP119" s="158"/>
      <c r="AQ119" s="165" t="str">
        <f t="shared" si="31"/>
        <v/>
      </c>
      <c r="AR119" s="166" t="str">
        <f t="shared" si="32"/>
        <v/>
      </c>
      <c r="AS119" s="189" t="str">
        <f t="shared" si="33"/>
        <v/>
      </c>
      <c r="AT119" s="161" t="str">
        <f t="shared" si="34"/>
        <v/>
      </c>
      <c r="AU119" s="161" t="str">
        <f t="shared" si="35"/>
        <v/>
      </c>
      <c r="AV119" s="169" t="str">
        <f t="shared" si="36"/>
        <v/>
      </c>
      <c r="AW119" s="172" t="str">
        <f>IF(AV119="","",IFERROR(INDEX(HELPER!$D$8:$D$48,IF(AV119&gt;=HELPER!$B$8,1,MATCH(AV119,HELPER!$B$8:$B$48,-1)+1)),""))</f>
        <v/>
      </c>
      <c r="AX119" s="175" t="str">
        <f>IF(AW119="","",IFERROR(VLOOKUP(AW119,HELPER!$F$8:$G$48,2,FALSE),""))</f>
        <v/>
      </c>
      <c r="AY119" s="147"/>
      <c r="AZ119" s="91"/>
    </row>
    <row r="120" spans="1:52" ht="13.25" customHeight="1" x14ac:dyDescent="0.25">
      <c r="A120" s="147"/>
      <c r="B120" s="147"/>
      <c r="C120" s="278"/>
      <c r="D120" s="279"/>
      <c r="E120" s="279"/>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91"/>
    </row>
    <row r="121" spans="1:52" ht="13.25" customHeight="1" x14ac:dyDescent="0.25">
      <c r="A121" s="147"/>
      <c r="B121" s="147"/>
      <c r="C121" s="278"/>
      <c r="D121" s="279"/>
      <c r="E121" s="279"/>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91"/>
    </row>
  </sheetData>
  <sheetProtection algorithmName="SHA-512" hashValue="zLJTTvO35SfYKUpbIoCuiY/i9KGhh9FRIQYjFJ4Tz1lWCQKzYObDTJpHikgMKICuzoZfnrQuTb71SgDmKxCftg==" saltValue="rNnf8G0uPE/wt6MktWkTZQ==" spinCount="100000" sheet="1" objects="1" scenarios="1" formatCells="0" formatColumns="0" formatRows="0"/>
  <mergeCells count="133">
    <mergeCell ref="C117:E117"/>
    <mergeCell ref="C118:E118"/>
    <mergeCell ref="C119:E119"/>
    <mergeCell ref="C120:E120"/>
    <mergeCell ref="C121:E121"/>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B69:AX69"/>
    <mergeCell ref="C70:E70"/>
    <mergeCell ref="C71:E71"/>
    <mergeCell ref="C72:E72"/>
    <mergeCell ref="C73:E73"/>
    <mergeCell ref="C74:E74"/>
    <mergeCell ref="C63:E63"/>
    <mergeCell ref="C64:E64"/>
    <mergeCell ref="C65:E65"/>
    <mergeCell ref="C66:E66"/>
    <mergeCell ref="C67:E67"/>
    <mergeCell ref="C68:E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B2:AX3"/>
    <mergeCell ref="F5:N5"/>
    <mergeCell ref="S5:AC5"/>
    <mergeCell ref="AI5:AO5"/>
    <mergeCell ref="F7:AC7"/>
    <mergeCell ref="AI7:AO7"/>
    <mergeCell ref="B9:AX9"/>
    <mergeCell ref="B10:E15"/>
    <mergeCell ref="F10:K10"/>
    <mergeCell ref="L10:U10"/>
    <mergeCell ref="V10:AA11"/>
    <mergeCell ref="AB10:AO11"/>
    <mergeCell ref="AP10:AQ11"/>
    <mergeCell ref="AR10:AX11"/>
    <mergeCell ref="F11:K11"/>
    <mergeCell ref="L11:U11"/>
    <mergeCell ref="F12:U13"/>
    <mergeCell ref="V12:AM13"/>
    <mergeCell ref="AN12:AU13"/>
    <mergeCell ref="AV12:AV16"/>
    <mergeCell ref="AW12:AW16"/>
    <mergeCell ref="AX12:AX16"/>
    <mergeCell ref="F14:M14"/>
    <mergeCell ref="N14:U14"/>
  </mergeCells>
  <dataValidations count="33">
    <dataValidation allowBlank="1" showInputMessage="1" showErrorMessage="1" prompt="Do not type name of learners here. Go to INPUT DATA sheet." sqref="C19:E68 C70:E119" xr:uid="{294016F5-8E71-4BD8-8916-170EC6B15F3A}"/>
    <dataValidation allowBlank="1" showInputMessage="1" showErrorMessage="1" prompt="Written/Oral Works' Highest Possible Score." sqref="K16 S19:S68 S70:S119 S16 K19:K68 K70:K119" xr:uid="{73445163-9CFA-481A-8CD3-793D84FF59C9}"/>
    <dataValidation allowBlank="1" showInputMessage="1" showErrorMessage="1" prompt="Products/Performance Tasks' Highest Possible Score." sqref="Y16 AK19:AK68 AK16 AE16 Y19:Y68 AK70:AK119 Y70:Y119 AE19:AE68 AE70:AE119" xr:uid="{2AA97891-A51F-45D0-A2AF-40A40DC05BA3}"/>
    <dataValidation allowBlank="1" showInputMessage="1" showErrorMessage="1" prompt="Written/Oral Works' Percentage Score." sqref="L16 T19:T68 T70:T119 T16 L19:L68 L70:L119" xr:uid="{F8382246-5FBA-427C-AC29-648EE668CA01}"/>
    <dataValidation allowBlank="1" showInputMessage="1" showErrorMessage="1" prompt="Written/Oral Works' Weighted Score." sqref="M16 U19:U68 U70:U119 U16 M19:M68 M70:M119" xr:uid="{CDDB5444-CD1E-41F6-8F7E-A08A57C26B49}"/>
    <dataValidation allowBlank="1" showInputMessage="1" showErrorMessage="1" prompt="Products/Performance Tasks' Percentage Score." sqref="Z16 AL19:AL68 AL16 AF16 Z19:Z68 AL70:AL119 Z70:Z119 AF19:AF68 AF70:AF119" xr:uid="{703259A9-0A9F-43E3-8272-F749CFF982A4}"/>
    <dataValidation allowBlank="1" showInputMessage="1" showErrorMessage="1" prompt="Products/Performance Tasks' Weighted Score." sqref="AA16 AM19:AM68 AM16 AG16 AG19:AG68 AM70:AM119 AG70:AG119 AA19:AA68 AA70:AA119" xr:uid="{4D1A1D31-B5F5-4B52-A0C8-321D5970B85C}"/>
    <dataValidation allowBlank="1" showInputMessage="1" showErrorMessage="1" prompt="Weighted Score for Summative Test 1" sqref="AQ16 AQ19:AQ68 AQ70:AQ119" xr:uid="{46A7F108-781B-4A57-AA88-678C9B6488F7}"/>
    <dataValidation allowBlank="1" showInputMessage="1" showErrorMessage="1" prompt="Weighted Score for Summative Test 2" sqref="AR16 AR19:AR68 AR70:AR119" xr:uid="{9319360F-519C-4694-98CD-9C38A37334F9}"/>
    <dataValidation allowBlank="1" showInputMessage="1" showErrorMessage="1" prompt="Weighted Score for Term Exam" sqref="AS16 AS19:AS68 AS70:AS119" xr:uid="{9987531B-7738-4B74-9E0E-B228756A077F}"/>
    <dataValidation allowBlank="1" showInputMessage="1" showErrorMessage="1" prompt="Examinations' Percetage Score" sqref="AT16 AT19:AT68 AT70:AT119" xr:uid="{013CD9C7-D6A0-4C6D-9BBF-0BE719E7B09C}"/>
    <dataValidation allowBlank="1" showInputMessage="1" showErrorMessage="1" prompt="Examinations' Weighted Score" sqref="AU16 AU19:AU68 AU70:AU119" xr:uid="{40702E12-16FB-47AD-B132-ED2018732443}"/>
    <dataValidation allowBlank="1" showInputMessage="1" showErrorMessage="1" prompt="INITIAL GRADE" sqref="AV19:AV68 AV70:AV119" xr:uid="{DDC64D82-AFD5-455F-A019-2256631B5258}"/>
    <dataValidation allowBlank="1" showInputMessage="1" showErrorMessage="1" prompt="Transmuted Term Grade" sqref="AW19:AW68 AW70:AW119" xr:uid="{D3B0FBB7-EB16-4464-A507-CFFC1DFD58CD}"/>
    <dataValidation type="whole" allowBlank="1" showInputMessage="1" showErrorMessage="1" promptTitle="Highest Possible Score" prompt="Enter HPS." sqref="AN16:AP16 F16:J16 N16:R16 V16:X16 AB16:AD16 AH16:AJ16" xr:uid="{3E337CF3-14D6-4EAC-8EB8-B016B5B0DEE6}">
      <formula1>0</formula1>
      <formula2>1000</formula2>
    </dataValidation>
    <dataValidation type="custom" allowBlank="1" showInputMessage="1" showErrorMessage="1" errorTitle="Invalid Input" error="The score cannot be greater than the Highest Possible Score." prompt="Encode learners' raw scores." sqref="AN19:AN68 AN70:AN117 AN119 AN118" xr:uid="{8F7CC778-A7C6-4009-94E8-7B82EE7F30F4}">
      <formula1>AN19&lt;=$AN$16</formula1>
    </dataValidation>
    <dataValidation type="custom" allowBlank="1" showInputMessage="1" showErrorMessage="1" errorTitle="Invalid Input" error="The score cannot be greater than the Highest Possible Score." prompt="Encode learners' raw scores." sqref="AO19:AO68 AO70:AO119" xr:uid="{5C60B391-6D2A-4AC0-82BA-132ECD91D2A7}">
      <formula1>AO19&lt;=$AO$16</formula1>
    </dataValidation>
    <dataValidation type="custom" allowBlank="1" showInputMessage="1" showErrorMessage="1" errorTitle="Invalid Input" error="The score cannot be greater than the Highest Possible Score." prompt="Encode learners' raw scores." sqref="AP19:AP68 AP70:AP119" xr:uid="{9C9BD706-2F0C-4845-8FA4-E00322C81058}">
      <formula1>AP19&lt;=$AP$16</formula1>
    </dataValidation>
    <dataValidation type="custom" allowBlank="1" showInputMessage="1" showErrorMessage="1" promptTitle="Score Entry" prompt="Enter learners' raw scores." sqref="F19:F68 F70:F119 N19:N68 N70:N119" xr:uid="{1C4F3B39-922C-412C-9C22-95D12C2EB644}">
      <formula1>F19&lt;=$N$16</formula1>
    </dataValidation>
    <dataValidation type="custom" allowBlank="1" showInputMessage="1" showErrorMessage="1" promptTitle="Score Entry" prompt="Enter learners' raw scores." sqref="H19:H68 H70:H119 P19:P68 P70:P112 P114:P119 P113" xr:uid="{6E7FC933-AE06-47EF-B706-2D90DBFFB4D2}">
      <formula1>H19&lt;=$P$16</formula1>
    </dataValidation>
    <dataValidation type="custom" allowBlank="1" showInputMessage="1" showErrorMessage="1" promptTitle="Score Entry" prompt="Enter learners' raw scores." sqref="I19:I68 Q70:Q119 Q19:Q68 I70:I119" xr:uid="{C4B5879F-52F3-405E-98C5-45474BDEA61C}">
      <formula1>I19&lt;=$Q$16</formula1>
    </dataValidation>
    <dataValidation type="custom" allowBlank="1" showInputMessage="1" showErrorMessage="1" promptTitle="Score Entry" prompt="Enter learners' raw scores." sqref="J19:J68 J70:J119 R19:R68 R70:R119" xr:uid="{4E7202C2-4464-4C74-AA66-787263A018C2}">
      <formula1>J19&lt;=$R$16</formula1>
    </dataValidation>
    <dataValidation type="custom" allowBlank="1" showInputMessage="1" showErrorMessage="1" promptTitle="Score Entry" prompt="Enter learners' raw scores." sqref="AI19:AI68 AI70:AI119" xr:uid="{27F63552-903A-4C08-85EC-706B55E8F3D6}">
      <formula1>AI19&lt;=$AI$16</formula1>
    </dataValidation>
    <dataValidation type="custom" allowBlank="1" showInputMessage="1" showErrorMessage="1" promptTitle="Score Entry" prompt="Enter learners' raw scores." sqref="G19:G68 G70:G119 O19:O68 O70:O112 O114:O119 O113" xr:uid="{5B64F2E9-67EE-421C-ABCD-AD10A0101A19}">
      <formula1>G19&lt;=$O$16</formula1>
    </dataValidation>
    <dataValidation type="custom" allowBlank="1" showInputMessage="1" showErrorMessage="1" promptTitle="Score Entry" prompt="Enter learners' raw scores." sqref="AH70:AH119 AH19:AH68" xr:uid="{55BB2F87-52B6-425D-851F-092317481BB8}">
      <formula1>AH19&lt;=$AH$16</formula1>
    </dataValidation>
    <dataValidation type="custom" allowBlank="1" showInputMessage="1" showErrorMessage="1" promptTitle="Score Entry" prompt="Enter learners' raw scores." sqref="AJ70:AJ119 AJ19:AJ68" xr:uid="{D70AFF5E-8AB1-4C16-AD83-07BD41E6D0A1}">
      <formula1>AJ19&lt;=$AJ$16</formula1>
    </dataValidation>
    <dataValidation type="custom" allowBlank="1" showInputMessage="1" showErrorMessage="1" errorTitle="Invalid Input" error="The score cannot be greater than the HPS" promptTitle="Score Entry" prompt="Enter learners' raw scores." sqref="V19:V68" xr:uid="{1AEFBA95-60E1-4C21-AB21-8B2A821133E0}">
      <formula1>V19&lt;=$V$16</formula1>
    </dataValidation>
    <dataValidation type="custom" allowBlank="1" showInputMessage="1" showErrorMessage="1" promptTitle="Score Entry" prompt="Enter learners' raw scores." sqref="W19:W68 W70:W119" xr:uid="{0C39CEEE-B866-4C46-A024-7A9A40935866}">
      <formula1>W19&lt;=$W$16</formula1>
    </dataValidation>
    <dataValidation type="custom" allowBlank="1" showInputMessage="1" showErrorMessage="1" promptTitle="Score Entry" prompt="Enter learners' raw scores." sqref="X19:X68 X70:X119" xr:uid="{92B18C08-D3B3-4FE2-A4AA-47B25B2C4B62}">
      <formula1>X19&lt;=$X$16</formula1>
    </dataValidation>
    <dataValidation type="custom" allowBlank="1" showInputMessage="1" showErrorMessage="1" promptTitle="Score Entry" prompt="Enter learners' raw scores." sqref="V70:V119" xr:uid="{D6F7C4D0-BE87-475A-8A2D-69463183EFFE}">
      <formula1>V70&lt;=$V$16</formula1>
    </dataValidation>
    <dataValidation type="custom" allowBlank="1" showInputMessage="1" showErrorMessage="1" promptTitle="Score Entry" prompt="Enter learners' raw scores." sqref="AB70:AB119 AB19:AB68" xr:uid="{787056DF-D85A-4424-9F7E-73B10DE595A6}">
      <formula1>AB19&lt;=$AB$16</formula1>
    </dataValidation>
    <dataValidation type="custom" allowBlank="1" showInputMessage="1" showErrorMessage="1" promptTitle="Score Entry" prompt="Enter learners' raw scores." sqref="AC19:AC68 AC70:AC119" xr:uid="{4A354845-4C8D-435F-B0DC-AB9894DE799D}">
      <formula1>AC19&lt;=$AC$16</formula1>
    </dataValidation>
    <dataValidation type="custom" allowBlank="1" showInputMessage="1" showErrorMessage="1" promptTitle="Score Entry" prompt="Enter learners' raw scores." sqref="AD19:AD68 AD70:AD119" xr:uid="{DA9FBE73-321B-4F66-9440-AA59F1E29DE5}">
      <formula1>AD19&lt;=$AD$16</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activeCell="H104" sqref="H104"/>
    </sheetView>
  </sheetViews>
  <sheetFormatPr defaultColWidth="12.6328125" defaultRowHeight="15.75" customHeight="1" x14ac:dyDescent="0.25"/>
  <cols>
    <col min="1" max="2" width="3.90625" style="152" customWidth="1"/>
    <col min="6" max="8" width="15.08984375" style="152" customWidth="1"/>
    <col min="9" max="9" width="17.90625" style="152" customWidth="1"/>
    <col min="10" max="10" width="21.453125" style="152" customWidth="1"/>
    <col min="11" max="11" width="17.36328125" style="152" customWidth="1"/>
    <col min="12" max="12" width="3.90625" style="152" customWidth="1"/>
    <col min="14" max="14" width="16.36328125" style="152" customWidth="1"/>
  </cols>
  <sheetData>
    <row r="1" spans="1:18" ht="15.75" customHeight="1" x14ac:dyDescent="0.6">
      <c r="A1" s="36"/>
      <c r="L1" s="151"/>
      <c r="M1" s="151"/>
    </row>
    <row r="2" spans="1:18" ht="15.75" customHeight="1" x14ac:dyDescent="0.25">
      <c r="B2" s="311" t="s">
        <v>41</v>
      </c>
      <c r="C2" s="209"/>
      <c r="D2" s="209"/>
      <c r="E2" s="209"/>
      <c r="F2" s="209"/>
      <c r="G2" s="209"/>
      <c r="H2" s="209"/>
      <c r="I2" s="209"/>
      <c r="J2" s="209"/>
      <c r="K2" s="209"/>
      <c r="L2" s="151"/>
      <c r="M2" s="151"/>
    </row>
    <row r="3" spans="1:18" ht="15.75" customHeight="1" x14ac:dyDescent="0.25">
      <c r="B3" s="209"/>
      <c r="C3" s="209"/>
      <c r="D3" s="209"/>
      <c r="E3" s="209"/>
      <c r="F3" s="209"/>
      <c r="G3" s="209"/>
      <c r="H3" s="209"/>
      <c r="I3" s="209"/>
      <c r="J3" s="209"/>
      <c r="K3" s="209"/>
      <c r="L3" s="151"/>
      <c r="M3" s="151"/>
    </row>
    <row r="4" spans="1:18" ht="15.75" customHeight="1" x14ac:dyDescent="0.25">
      <c r="L4" s="151"/>
      <c r="M4" s="151"/>
    </row>
    <row r="5" spans="1:18" ht="15.75" customHeight="1" x14ac:dyDescent="0.25">
      <c r="A5" s="151"/>
      <c r="B5" s="151"/>
      <c r="C5" s="95" t="s">
        <v>3</v>
      </c>
      <c r="D5" s="306" t="str">
        <f>IF('INPUT DATA'!E10="","",'INPUT DATA'!E10)</f>
        <v>Region V</v>
      </c>
      <c r="E5" s="270"/>
      <c r="F5" s="95" t="s">
        <v>7</v>
      </c>
      <c r="G5" s="306" t="str">
        <f>IF('INPUT DATA'!E11="","",'INPUT DATA'!E11)</f>
        <v>Masbate</v>
      </c>
      <c r="H5" s="270"/>
      <c r="I5" s="95" t="s">
        <v>8</v>
      </c>
      <c r="J5" s="306">
        <f>IF('INPUT DATA'!E13="","",'INPUT DATA'!E13)</f>
        <v>113481</v>
      </c>
      <c r="K5" s="270"/>
      <c r="L5" s="151"/>
      <c r="M5" s="151"/>
    </row>
    <row r="6" spans="1:18" ht="15.75" customHeight="1" x14ac:dyDescent="0.25">
      <c r="A6" s="151"/>
      <c r="B6" s="151"/>
      <c r="C6" s="95" t="s">
        <v>9</v>
      </c>
      <c r="D6" s="306" t="str">
        <f>IF('INPUT DATA'!E14="","",'INPUT DATA'!E14)</f>
        <v>Danao Elementary School</v>
      </c>
      <c r="E6" s="269"/>
      <c r="F6" s="269"/>
      <c r="G6" s="269"/>
      <c r="H6" s="270"/>
      <c r="I6" s="95" t="s">
        <v>10</v>
      </c>
      <c r="J6" s="306" t="str">
        <f>IF('INPUT DATA'!E15="","",'INPUT DATA'!E15)</f>
        <v>2026-2027</v>
      </c>
      <c r="K6" s="270"/>
      <c r="L6" s="151"/>
      <c r="M6" s="151"/>
    </row>
    <row r="7" spans="1:18" ht="15.75" customHeight="1" x14ac:dyDescent="0.35">
      <c r="A7" s="151"/>
      <c r="B7" s="151"/>
      <c r="C7" s="2"/>
      <c r="D7" s="39"/>
      <c r="E7" s="154"/>
      <c r="F7" s="154"/>
      <c r="G7" s="154"/>
      <c r="H7" s="154"/>
      <c r="I7" s="2"/>
      <c r="J7" s="40"/>
      <c r="K7" s="154"/>
      <c r="L7" s="151"/>
      <c r="M7" s="151"/>
    </row>
    <row r="8" spans="1:18" ht="13.75" customHeight="1" thickBot="1" x14ac:dyDescent="0.3">
      <c r="A8" s="151"/>
      <c r="B8" s="298"/>
      <c r="C8" s="299"/>
      <c r="D8" s="299"/>
      <c r="E8" s="299"/>
      <c r="F8" s="299"/>
      <c r="G8" s="299"/>
      <c r="H8" s="299"/>
      <c r="I8" s="299"/>
      <c r="J8" s="299"/>
      <c r="K8" s="299"/>
      <c r="L8" s="151"/>
      <c r="M8" s="151"/>
    </row>
    <row r="9" spans="1:18" ht="15.75" customHeight="1" thickBot="1" x14ac:dyDescent="0.3">
      <c r="A9" s="151"/>
      <c r="B9" s="314" t="s">
        <v>15</v>
      </c>
      <c r="C9" s="270"/>
      <c r="D9" s="305">
        <f>IF('INPUT DATA'!E25="","",'INPUT DATA'!E25)</f>
        <v>2</v>
      </c>
      <c r="E9" s="269"/>
      <c r="F9" s="269"/>
      <c r="G9" s="270"/>
      <c r="H9" s="81" t="s">
        <v>14</v>
      </c>
      <c r="I9" s="305" t="str">
        <f>IF('INPUT DATA'!E24="","",'INPUT DATA'!E24)</f>
        <v>GMRC</v>
      </c>
      <c r="J9" s="269"/>
      <c r="K9" s="270"/>
      <c r="L9" s="151"/>
      <c r="M9" s="151"/>
    </row>
    <row r="10" spans="1:18" ht="15.75" customHeight="1" thickBot="1" x14ac:dyDescent="0.3">
      <c r="A10" s="151"/>
      <c r="B10" s="314" t="s">
        <v>16</v>
      </c>
      <c r="C10" s="270"/>
      <c r="D10" s="313" t="str">
        <f>IF('INPUT DATA'!E26="","",'INPUT DATA'!E26)</f>
        <v>Gumamela</v>
      </c>
      <c r="E10" s="269"/>
      <c r="F10" s="269"/>
      <c r="G10" s="270"/>
      <c r="H10" s="103" t="s">
        <v>21</v>
      </c>
      <c r="I10" s="306" t="str">
        <f>IF('INPUT DATA'!E23="","",'INPUT DATA'!E23)</f>
        <v>Ronel C. Ramos</v>
      </c>
      <c r="J10" s="269"/>
      <c r="K10" s="270"/>
      <c r="L10" s="151"/>
      <c r="M10" s="151"/>
    </row>
    <row r="11" spans="1:18" ht="14.4" customHeight="1" thickBot="1" x14ac:dyDescent="0.3">
      <c r="A11" s="151"/>
      <c r="B11" s="295" t="s">
        <v>2</v>
      </c>
      <c r="C11" s="290"/>
      <c r="D11" s="290"/>
      <c r="E11" s="290"/>
      <c r="F11" s="300" t="s">
        <v>42</v>
      </c>
      <c r="G11" s="261"/>
      <c r="H11" s="262"/>
      <c r="I11" s="304" t="s">
        <v>43</v>
      </c>
      <c r="J11" s="297" t="s">
        <v>44</v>
      </c>
      <c r="K11" s="297" t="s">
        <v>45</v>
      </c>
      <c r="L11" s="151"/>
      <c r="M11" s="151"/>
      <c r="N11" s="82"/>
      <c r="O11" s="82"/>
      <c r="P11" s="82"/>
      <c r="Q11" s="82"/>
      <c r="R11" s="82"/>
    </row>
    <row r="12" spans="1:18" ht="14.4" customHeight="1" thickBot="1" x14ac:dyDescent="0.3">
      <c r="A12" s="151"/>
      <c r="B12" s="296"/>
      <c r="C12" s="292"/>
      <c r="D12" s="292"/>
      <c r="E12" s="292"/>
      <c r="F12" s="104" t="s">
        <v>46</v>
      </c>
      <c r="G12" s="104" t="s">
        <v>47</v>
      </c>
      <c r="H12" s="104" t="s">
        <v>48</v>
      </c>
      <c r="I12" s="293"/>
      <c r="J12" s="235"/>
      <c r="K12" s="235"/>
      <c r="L12" s="151"/>
      <c r="M12" s="151"/>
      <c r="N12" s="82"/>
      <c r="O12" s="82"/>
      <c r="P12" s="82"/>
      <c r="Q12" s="82"/>
      <c r="R12" s="82"/>
    </row>
    <row r="13" spans="1:18" ht="14.4" customHeight="1" thickBot="1" x14ac:dyDescent="0.35">
      <c r="A13" s="151"/>
      <c r="B13" s="301" t="s">
        <v>5</v>
      </c>
      <c r="C13" s="302"/>
      <c r="D13" s="302"/>
      <c r="E13" s="302"/>
      <c r="F13" s="302"/>
      <c r="G13" s="214"/>
      <c r="H13" s="214"/>
      <c r="I13" s="214"/>
      <c r="J13" s="302"/>
      <c r="K13" s="303"/>
      <c r="L13" s="151"/>
      <c r="M13" s="151"/>
      <c r="N13" s="310"/>
      <c r="O13" s="209"/>
      <c r="P13" s="209"/>
      <c r="Q13" s="209"/>
      <c r="R13" s="82"/>
    </row>
    <row r="14" spans="1:18" ht="15" customHeight="1" x14ac:dyDescent="0.3">
      <c r="A14" s="151"/>
      <c r="B14" s="88">
        <v>1</v>
      </c>
      <c r="C14" s="294" t="str">
        <f>IF('INPUT DATA'!K11="","",'INPUT DATA'!K11)</f>
        <v/>
      </c>
      <c r="D14" s="226"/>
      <c r="E14" s="226"/>
      <c r="F14" s="116" t="str">
        <f>IF('TERM 1'!AW19="","",'TERM 1'!AW19)</f>
        <v/>
      </c>
      <c r="G14" s="116" t="str">
        <f>IF('TERM 2'!AW19="","",'TERM 2'!AW19)</f>
        <v/>
      </c>
      <c r="H14" s="116" t="str">
        <f>IF('TERM 3'!AW19="","",'TERM 3'!AW19)</f>
        <v/>
      </c>
      <c r="I14" s="190" t="str">
        <f>IF(COUNT(F14:H14)&lt;3,"",ROUND(AVERAGE(F14:H14),0))</f>
        <v/>
      </c>
      <c r="J14" s="110" t="str">
        <f>IF(I14="","",IFERROR(VLOOKUP(I14,HELPER!$F$8:$G$48,2,FALSE),""))</f>
        <v/>
      </c>
      <c r="K14" s="111"/>
      <c r="L14" s="151"/>
      <c r="M14" s="151"/>
      <c r="N14" s="83"/>
      <c r="O14" s="153"/>
      <c r="P14" s="153"/>
      <c r="Q14" s="153"/>
      <c r="R14" s="82"/>
    </row>
    <row r="15" spans="1:18" ht="15" customHeight="1" x14ac:dyDescent="0.3">
      <c r="A15" s="151"/>
      <c r="B15" s="65">
        <v>2</v>
      </c>
      <c r="C15" s="294" t="str">
        <f>IF('INPUT DATA'!K12="","",'INPUT DATA'!K12)</f>
        <v/>
      </c>
      <c r="D15" s="226"/>
      <c r="E15" s="226"/>
      <c r="F15" s="117" t="str">
        <f>IF('TERM 1'!AW20="","",'TERM 1'!AW20)</f>
        <v/>
      </c>
      <c r="G15" s="117" t="str">
        <f>IF('TERM 2'!AW20="","",'TERM 2'!AW20)</f>
        <v/>
      </c>
      <c r="H15" s="117" t="str">
        <f>IF('TERM 3'!AW20="","",'TERM 3'!AW20)</f>
        <v/>
      </c>
      <c r="I15" s="191" t="str">
        <f t="shared" ref="I15:I63" si="0">IF(COUNT(F15:H15)&lt;3,"",ROUND(AVERAGE(F15:H15),0))</f>
        <v/>
      </c>
      <c r="J15" s="105" t="str">
        <f>IF(I15="","",IFERROR(VLOOKUP(I15,HELPER!$F$8:$G$48,2,FALSE),""))</f>
        <v/>
      </c>
      <c r="K15" s="106"/>
      <c r="L15" s="151"/>
      <c r="M15" s="151"/>
      <c r="N15" s="84"/>
      <c r="O15" s="82"/>
      <c r="P15" s="82"/>
      <c r="Q15" s="82"/>
      <c r="R15" s="82"/>
    </row>
    <row r="16" spans="1:18" ht="15" customHeight="1" x14ac:dyDescent="0.3">
      <c r="A16" s="151"/>
      <c r="B16" s="65">
        <v>3</v>
      </c>
      <c r="C16" s="294" t="str">
        <f>IF('INPUT DATA'!K13="","",'INPUT DATA'!K13)</f>
        <v/>
      </c>
      <c r="D16" s="226"/>
      <c r="E16" s="226"/>
      <c r="F16" s="117" t="str">
        <f>IF('TERM 1'!AW21="","",'TERM 1'!AW21)</f>
        <v/>
      </c>
      <c r="G16" s="117" t="str">
        <f>IF('TERM 2'!AW21="","",'TERM 2'!AW21)</f>
        <v/>
      </c>
      <c r="H16" s="117" t="str">
        <f>IF('TERM 3'!AW21="","",'TERM 3'!AW21)</f>
        <v/>
      </c>
      <c r="I16" s="191" t="str">
        <f t="shared" si="0"/>
        <v/>
      </c>
      <c r="J16" s="105" t="str">
        <f>IF(I16="","",IFERROR(VLOOKUP(I16,HELPER!$F$8:$G$48,2,FALSE),""))</f>
        <v/>
      </c>
      <c r="K16" s="106"/>
      <c r="L16" s="151"/>
      <c r="M16" s="151"/>
      <c r="N16" s="84"/>
      <c r="O16" s="82"/>
      <c r="P16" s="82"/>
      <c r="Q16" s="82"/>
      <c r="R16" s="82"/>
    </row>
    <row r="17" spans="1:18" ht="15" customHeight="1" x14ac:dyDescent="0.3">
      <c r="A17" s="151"/>
      <c r="B17" s="65">
        <v>4</v>
      </c>
      <c r="C17" s="294" t="str">
        <f>IF('INPUT DATA'!K14="","",'INPUT DATA'!K14)</f>
        <v/>
      </c>
      <c r="D17" s="226"/>
      <c r="E17" s="226"/>
      <c r="F17" s="117" t="str">
        <f>IF('TERM 1'!AW22="","",'TERM 1'!AW22)</f>
        <v/>
      </c>
      <c r="G17" s="117" t="str">
        <f>IF('TERM 2'!AW22="","",'TERM 2'!AW22)</f>
        <v/>
      </c>
      <c r="H17" s="117" t="str">
        <f>IF('TERM 3'!AW22="","",'TERM 3'!AW22)</f>
        <v/>
      </c>
      <c r="I17" s="191" t="str">
        <f t="shared" si="0"/>
        <v/>
      </c>
      <c r="J17" s="105" t="str">
        <f>IF(I17="","",IFERROR(VLOOKUP(I17,HELPER!$F$8:$G$48,2,FALSE),""))</f>
        <v/>
      </c>
      <c r="K17" s="106"/>
      <c r="L17" s="151"/>
      <c r="M17" s="151"/>
      <c r="N17" s="84"/>
      <c r="O17" s="82"/>
      <c r="P17" s="82"/>
      <c r="Q17" s="82"/>
      <c r="R17" s="82"/>
    </row>
    <row r="18" spans="1:18" ht="15" customHeight="1" x14ac:dyDescent="0.3">
      <c r="A18" s="151"/>
      <c r="B18" s="65">
        <v>5</v>
      </c>
      <c r="C18" s="294" t="str">
        <f>IF('INPUT DATA'!K15="","",'INPUT DATA'!K15)</f>
        <v/>
      </c>
      <c r="D18" s="226"/>
      <c r="E18" s="226"/>
      <c r="F18" s="117" t="str">
        <f>IF('TERM 1'!AW23="","",'TERM 1'!AW23)</f>
        <v/>
      </c>
      <c r="G18" s="117" t="str">
        <f>IF('TERM 2'!AW23="","",'TERM 2'!AW23)</f>
        <v/>
      </c>
      <c r="H18" s="117" t="str">
        <f>IF('TERM 3'!AW23="","",'TERM 3'!AW23)</f>
        <v/>
      </c>
      <c r="I18" s="191" t="str">
        <f t="shared" si="0"/>
        <v/>
      </c>
      <c r="J18" s="105" t="str">
        <f>IF(I18="","",IFERROR(VLOOKUP(I18,HELPER!$F$8:$G$48,2,FALSE),""))</f>
        <v/>
      </c>
      <c r="K18" s="106"/>
      <c r="L18" s="151"/>
      <c r="M18" s="151"/>
      <c r="N18" s="84"/>
      <c r="O18" s="82"/>
      <c r="P18" s="82"/>
      <c r="Q18" s="82"/>
      <c r="R18" s="82"/>
    </row>
    <row r="19" spans="1:18" ht="15" customHeight="1" x14ac:dyDescent="0.3">
      <c r="A19" s="151"/>
      <c r="B19" s="65">
        <v>6</v>
      </c>
      <c r="C19" s="294" t="str">
        <f>IF('INPUT DATA'!K16="","",'INPUT DATA'!K16)</f>
        <v/>
      </c>
      <c r="D19" s="226"/>
      <c r="E19" s="226"/>
      <c r="F19" s="117" t="str">
        <f>IF('TERM 1'!AW24="","",'TERM 1'!AW24)</f>
        <v/>
      </c>
      <c r="G19" s="117" t="str">
        <f>IF('TERM 2'!AW24="","",'TERM 2'!AW24)</f>
        <v/>
      </c>
      <c r="H19" s="117" t="str">
        <f>IF('TERM 3'!AW24="","",'TERM 3'!AW24)</f>
        <v/>
      </c>
      <c r="I19" s="191" t="str">
        <f t="shared" si="0"/>
        <v/>
      </c>
      <c r="J19" s="105" t="str">
        <f>IF(I19="","",IFERROR(VLOOKUP(I19,HELPER!$F$8:$G$48,2,FALSE),""))</f>
        <v/>
      </c>
      <c r="K19" s="106"/>
      <c r="L19" s="151"/>
      <c r="M19" s="151"/>
      <c r="N19" s="84"/>
      <c r="O19" s="82"/>
      <c r="P19" s="82"/>
      <c r="Q19" s="82"/>
      <c r="R19" s="82"/>
    </row>
    <row r="20" spans="1:18" ht="15" customHeight="1" x14ac:dyDescent="0.3">
      <c r="A20" s="151"/>
      <c r="B20" s="65">
        <v>7</v>
      </c>
      <c r="C20" s="294" t="str">
        <f>IF('INPUT DATA'!K17="","",'INPUT DATA'!K17)</f>
        <v/>
      </c>
      <c r="D20" s="226"/>
      <c r="E20" s="226"/>
      <c r="F20" s="117" t="str">
        <f>IF('TERM 1'!AW25="","",'TERM 1'!AW25)</f>
        <v/>
      </c>
      <c r="G20" s="117" t="str">
        <f>IF('TERM 2'!AW25="","",'TERM 2'!AW25)</f>
        <v/>
      </c>
      <c r="H20" s="117" t="str">
        <f>IF('TERM 3'!AW25="","",'TERM 3'!AW25)</f>
        <v/>
      </c>
      <c r="I20" s="191" t="str">
        <f t="shared" si="0"/>
        <v/>
      </c>
      <c r="J20" s="105" t="str">
        <f>IF(I20="","",IFERROR(VLOOKUP(I20,HELPER!$F$8:$G$48,2,FALSE),""))</f>
        <v/>
      </c>
      <c r="K20" s="106"/>
      <c r="L20" s="151"/>
      <c r="M20" s="151"/>
      <c r="N20" s="82"/>
      <c r="O20" s="82"/>
      <c r="P20" s="82"/>
      <c r="Q20" s="82"/>
      <c r="R20" s="82"/>
    </row>
    <row r="21" spans="1:18" ht="15" customHeight="1" x14ac:dyDescent="0.3">
      <c r="A21" s="151"/>
      <c r="B21" s="65">
        <v>8</v>
      </c>
      <c r="C21" s="294" t="str">
        <f>IF('INPUT DATA'!K18="","",'INPUT DATA'!K18)</f>
        <v/>
      </c>
      <c r="D21" s="226"/>
      <c r="E21" s="226"/>
      <c r="F21" s="117" t="str">
        <f>IF('TERM 1'!AW26="","",'TERM 1'!AW26)</f>
        <v/>
      </c>
      <c r="G21" s="117" t="str">
        <f>IF('TERM 2'!AW26="","",'TERM 2'!AW26)</f>
        <v/>
      </c>
      <c r="H21" s="117" t="str">
        <f>IF('TERM 3'!AW26="","",'TERM 3'!AW26)</f>
        <v/>
      </c>
      <c r="I21" s="191" t="str">
        <f t="shared" si="0"/>
        <v/>
      </c>
      <c r="J21" s="105" t="str">
        <f>IF(I21="","",IFERROR(VLOOKUP(I21,HELPER!$F$8:$G$48,2,FALSE),""))</f>
        <v/>
      </c>
      <c r="K21" s="106"/>
      <c r="L21" s="151"/>
      <c r="M21" s="151"/>
      <c r="N21" s="82"/>
      <c r="O21" s="82"/>
      <c r="P21" s="82"/>
      <c r="Q21" s="82"/>
      <c r="R21" s="82"/>
    </row>
    <row r="22" spans="1:18" ht="15" customHeight="1" x14ac:dyDescent="0.3">
      <c r="A22" s="151"/>
      <c r="B22" s="65">
        <v>9</v>
      </c>
      <c r="C22" s="294" t="str">
        <f>IF('INPUT DATA'!K19="","",'INPUT DATA'!K19)</f>
        <v/>
      </c>
      <c r="D22" s="226"/>
      <c r="E22" s="226"/>
      <c r="F22" s="117" t="str">
        <f>IF('TERM 1'!AW27="","",'TERM 1'!AW27)</f>
        <v/>
      </c>
      <c r="G22" s="117" t="str">
        <f>IF('TERM 2'!AW27="","",'TERM 2'!AW27)</f>
        <v/>
      </c>
      <c r="H22" s="117" t="str">
        <f>IF('TERM 3'!AW27="","",'TERM 3'!AW27)</f>
        <v/>
      </c>
      <c r="I22" s="191" t="str">
        <f t="shared" si="0"/>
        <v/>
      </c>
      <c r="J22" s="105" t="str">
        <f>IF(I22="","",IFERROR(VLOOKUP(I22,HELPER!$F$8:$G$48,2,FALSE),""))</f>
        <v/>
      </c>
      <c r="K22" s="106"/>
      <c r="L22" s="151"/>
      <c r="M22" s="151"/>
      <c r="N22" s="82"/>
      <c r="O22" s="82"/>
      <c r="P22" s="82"/>
      <c r="Q22" s="82"/>
      <c r="R22" s="82"/>
    </row>
    <row r="23" spans="1:18" ht="15" customHeight="1" x14ac:dyDescent="0.3">
      <c r="A23" s="151"/>
      <c r="B23" s="65">
        <v>10</v>
      </c>
      <c r="C23" s="294" t="str">
        <f>IF('INPUT DATA'!K20="","",'INPUT DATA'!K20)</f>
        <v/>
      </c>
      <c r="D23" s="226"/>
      <c r="E23" s="226"/>
      <c r="F23" s="117" t="str">
        <f>IF('TERM 1'!AW28="","",'TERM 1'!AW28)</f>
        <v/>
      </c>
      <c r="G23" s="117" t="str">
        <f>IF('TERM 2'!AW28="","",'TERM 2'!AW28)</f>
        <v/>
      </c>
      <c r="H23" s="117" t="str">
        <f>IF('TERM 3'!AW28="","",'TERM 3'!AW28)</f>
        <v/>
      </c>
      <c r="I23" s="191" t="str">
        <f t="shared" si="0"/>
        <v/>
      </c>
      <c r="J23" s="105" t="str">
        <f>IF(I23="","",IFERROR(VLOOKUP(I23,HELPER!$F$8:$G$48,2,FALSE),""))</f>
        <v/>
      </c>
      <c r="K23" s="106"/>
      <c r="L23" s="151"/>
      <c r="M23" s="151"/>
    </row>
    <row r="24" spans="1:18" ht="15" customHeight="1" x14ac:dyDescent="0.3">
      <c r="A24" s="151"/>
      <c r="B24" s="65">
        <v>11</v>
      </c>
      <c r="C24" s="294" t="str">
        <f>IF('INPUT DATA'!K21="","",'INPUT DATA'!K21)</f>
        <v/>
      </c>
      <c r="D24" s="226"/>
      <c r="E24" s="226"/>
      <c r="F24" s="117" t="str">
        <f>IF('TERM 1'!AW29="","",'TERM 1'!AW29)</f>
        <v/>
      </c>
      <c r="G24" s="117" t="str">
        <f>IF('TERM 2'!AW29="","",'TERM 2'!AW29)</f>
        <v/>
      </c>
      <c r="H24" s="117" t="str">
        <f>IF('TERM 3'!AW29="","",'TERM 3'!AW29)</f>
        <v/>
      </c>
      <c r="I24" s="191" t="str">
        <f t="shared" si="0"/>
        <v/>
      </c>
      <c r="J24" s="105" t="str">
        <f>IF(I24="","",IFERROR(VLOOKUP(I24,HELPER!$F$8:$G$48,2,FALSE),""))</f>
        <v/>
      </c>
      <c r="K24" s="106"/>
      <c r="L24" s="151"/>
      <c r="M24" s="151"/>
    </row>
    <row r="25" spans="1:18" ht="15" customHeight="1" x14ac:dyDescent="0.3">
      <c r="A25" s="151"/>
      <c r="B25" s="65">
        <v>12</v>
      </c>
      <c r="C25" s="294" t="str">
        <f>IF('INPUT DATA'!K22="","",'INPUT DATA'!K22)</f>
        <v/>
      </c>
      <c r="D25" s="226"/>
      <c r="E25" s="226"/>
      <c r="F25" s="117" t="str">
        <f>IF('TERM 1'!AW30="","",'TERM 1'!AW30)</f>
        <v/>
      </c>
      <c r="G25" s="117" t="str">
        <f>IF('TERM 2'!AW30="","",'TERM 2'!AW30)</f>
        <v/>
      </c>
      <c r="H25" s="117" t="str">
        <f>IF('TERM 3'!AW30="","",'TERM 3'!AW30)</f>
        <v/>
      </c>
      <c r="I25" s="191" t="str">
        <f t="shared" si="0"/>
        <v/>
      </c>
      <c r="J25" s="105" t="str">
        <f>IF(I25="","",IFERROR(VLOOKUP(I25,HELPER!$F$8:$G$48,2,FALSE),""))</f>
        <v/>
      </c>
      <c r="K25" s="106"/>
      <c r="L25" s="151"/>
      <c r="M25" s="151"/>
    </row>
    <row r="26" spans="1:18" ht="15" customHeight="1" x14ac:dyDescent="0.3">
      <c r="A26" s="151"/>
      <c r="B26" s="65">
        <v>13</v>
      </c>
      <c r="C26" s="294" t="str">
        <f>IF('INPUT DATA'!K23="","",'INPUT DATA'!K23)</f>
        <v/>
      </c>
      <c r="D26" s="226"/>
      <c r="E26" s="226"/>
      <c r="F26" s="117" t="str">
        <f>IF('TERM 1'!AW31="","",'TERM 1'!AW31)</f>
        <v/>
      </c>
      <c r="G26" s="117" t="str">
        <f>IF('TERM 2'!AW31="","",'TERM 2'!AW31)</f>
        <v/>
      </c>
      <c r="H26" s="117" t="str">
        <f>IF('TERM 3'!AW31="","",'TERM 3'!AW31)</f>
        <v/>
      </c>
      <c r="I26" s="191" t="str">
        <f t="shared" si="0"/>
        <v/>
      </c>
      <c r="J26" s="105" t="str">
        <f>IF(I26="","",IFERROR(VLOOKUP(I26,HELPER!$F$8:$G$48,2,FALSE),""))</f>
        <v/>
      </c>
      <c r="K26" s="106"/>
      <c r="L26" s="151"/>
      <c r="M26" s="151"/>
    </row>
    <row r="27" spans="1:18" ht="15" customHeight="1" x14ac:dyDescent="0.3">
      <c r="A27" s="151"/>
      <c r="B27" s="65">
        <v>14</v>
      </c>
      <c r="C27" s="294" t="str">
        <f>IF('INPUT DATA'!K24="","",'INPUT DATA'!K24)</f>
        <v/>
      </c>
      <c r="D27" s="226"/>
      <c r="E27" s="226"/>
      <c r="F27" s="117" t="str">
        <f>IF('TERM 1'!AW32="","",'TERM 1'!AW32)</f>
        <v/>
      </c>
      <c r="G27" s="117" t="str">
        <f>IF('TERM 2'!AW32="","",'TERM 2'!AW32)</f>
        <v/>
      </c>
      <c r="H27" s="117" t="str">
        <f>IF('TERM 3'!AW32="","",'TERM 3'!AW32)</f>
        <v/>
      </c>
      <c r="I27" s="191" t="str">
        <f t="shared" si="0"/>
        <v/>
      </c>
      <c r="J27" s="105" t="str">
        <f>IF(I27="","",IFERROR(VLOOKUP(I27,HELPER!$F$8:$G$48,2,FALSE),""))</f>
        <v/>
      </c>
      <c r="K27" s="106"/>
      <c r="L27" s="151"/>
      <c r="M27" s="151"/>
    </row>
    <row r="28" spans="1:18" ht="15" customHeight="1" x14ac:dyDescent="0.3">
      <c r="A28" s="151"/>
      <c r="B28" s="65">
        <v>15</v>
      </c>
      <c r="C28" s="294" t="str">
        <f>IF('INPUT DATA'!K25="","",'INPUT DATA'!K25)</f>
        <v/>
      </c>
      <c r="D28" s="226"/>
      <c r="E28" s="226"/>
      <c r="F28" s="117" t="str">
        <f>IF('TERM 1'!AW33="","",'TERM 1'!AW33)</f>
        <v/>
      </c>
      <c r="G28" s="117" t="str">
        <f>IF('TERM 2'!AW33="","",'TERM 2'!AW33)</f>
        <v/>
      </c>
      <c r="H28" s="117" t="str">
        <f>IF('TERM 3'!AW33="","",'TERM 3'!AW33)</f>
        <v/>
      </c>
      <c r="I28" s="191" t="str">
        <f t="shared" si="0"/>
        <v/>
      </c>
      <c r="J28" s="105" t="str">
        <f>IF(I28="","",IFERROR(VLOOKUP(I28,HELPER!$F$8:$G$48,2,FALSE),""))</f>
        <v/>
      </c>
      <c r="K28" s="106"/>
      <c r="L28" s="151"/>
      <c r="M28" s="151"/>
    </row>
    <row r="29" spans="1:18" ht="15" customHeight="1" x14ac:dyDescent="0.3">
      <c r="A29" s="151"/>
      <c r="B29" s="65">
        <v>16</v>
      </c>
      <c r="C29" s="294" t="str">
        <f>IF('INPUT DATA'!K26="","",'INPUT DATA'!K26)</f>
        <v/>
      </c>
      <c r="D29" s="226"/>
      <c r="E29" s="226"/>
      <c r="F29" s="117" t="str">
        <f>IF('TERM 1'!AW34="","",'TERM 1'!AW34)</f>
        <v/>
      </c>
      <c r="G29" s="117" t="str">
        <f>IF('TERM 2'!AW34="","",'TERM 2'!AW34)</f>
        <v/>
      </c>
      <c r="H29" s="117" t="str">
        <f>IF('TERM 3'!AW34="","",'TERM 3'!AW34)</f>
        <v/>
      </c>
      <c r="I29" s="191" t="str">
        <f t="shared" si="0"/>
        <v/>
      </c>
      <c r="J29" s="105" t="str">
        <f>IF(I29="","",IFERROR(VLOOKUP(I29,HELPER!$F$8:$G$48,2,FALSE),""))</f>
        <v/>
      </c>
      <c r="K29" s="106"/>
      <c r="L29" s="151"/>
      <c r="M29" s="151"/>
    </row>
    <row r="30" spans="1:18" ht="15" customHeight="1" x14ac:dyDescent="0.3">
      <c r="A30" s="151"/>
      <c r="B30" s="65">
        <v>17</v>
      </c>
      <c r="C30" s="294" t="str">
        <f>IF('INPUT DATA'!K27="","",'INPUT DATA'!K27)</f>
        <v/>
      </c>
      <c r="D30" s="226"/>
      <c r="E30" s="226"/>
      <c r="F30" s="117" t="str">
        <f>IF('TERM 1'!AW35="","",'TERM 1'!AW35)</f>
        <v/>
      </c>
      <c r="G30" s="117" t="str">
        <f>IF('TERM 2'!AW35="","",'TERM 2'!AW35)</f>
        <v/>
      </c>
      <c r="H30" s="117" t="str">
        <f>IF('TERM 3'!AW35="","",'TERM 3'!AW35)</f>
        <v/>
      </c>
      <c r="I30" s="191" t="str">
        <f t="shared" si="0"/>
        <v/>
      </c>
      <c r="J30" s="105" t="str">
        <f>IF(I30="","",IFERROR(VLOOKUP(I30,HELPER!$F$8:$G$48,2,FALSE),""))</f>
        <v/>
      </c>
      <c r="K30" s="106"/>
      <c r="L30" s="151"/>
      <c r="M30" s="151"/>
    </row>
    <row r="31" spans="1:18" ht="15" customHeight="1" x14ac:dyDescent="0.3">
      <c r="A31" s="151"/>
      <c r="B31" s="65">
        <v>18</v>
      </c>
      <c r="C31" s="294" t="str">
        <f>IF('INPUT DATA'!K28="","",'INPUT DATA'!K28)</f>
        <v/>
      </c>
      <c r="D31" s="226"/>
      <c r="E31" s="226"/>
      <c r="F31" s="117" t="str">
        <f>IF('TERM 1'!AW36="","",'TERM 1'!AW36)</f>
        <v/>
      </c>
      <c r="G31" s="117" t="str">
        <f>IF('TERM 2'!AW36="","",'TERM 2'!AW36)</f>
        <v/>
      </c>
      <c r="H31" s="117" t="str">
        <f>IF('TERM 3'!AW36="","",'TERM 3'!AW36)</f>
        <v/>
      </c>
      <c r="I31" s="191" t="str">
        <f t="shared" si="0"/>
        <v/>
      </c>
      <c r="J31" s="105" t="str">
        <f>IF(I31="","",IFERROR(VLOOKUP(I31,HELPER!$F$8:$G$48,2,FALSE),""))</f>
        <v/>
      </c>
      <c r="K31" s="106"/>
      <c r="L31" s="151"/>
      <c r="M31" s="151"/>
    </row>
    <row r="32" spans="1:18" ht="15" customHeight="1" x14ac:dyDescent="0.3">
      <c r="A32" s="151"/>
      <c r="B32" s="65">
        <v>19</v>
      </c>
      <c r="C32" s="294" t="str">
        <f>IF('INPUT DATA'!K29="","",'INPUT DATA'!K29)</f>
        <v/>
      </c>
      <c r="D32" s="226"/>
      <c r="E32" s="226"/>
      <c r="F32" s="117" t="str">
        <f>IF('TERM 1'!AW37="","",'TERM 1'!AW37)</f>
        <v/>
      </c>
      <c r="G32" s="117" t="str">
        <f>IF('TERM 2'!AW37="","",'TERM 2'!AW37)</f>
        <v/>
      </c>
      <c r="H32" s="117" t="str">
        <f>IF('TERM 3'!AW37="","",'TERM 3'!AW37)</f>
        <v/>
      </c>
      <c r="I32" s="191" t="str">
        <f t="shared" si="0"/>
        <v/>
      </c>
      <c r="J32" s="105" t="str">
        <f>IF(I32="","",IFERROR(VLOOKUP(I32,HELPER!$F$8:$G$48,2,FALSE),""))</f>
        <v/>
      </c>
      <c r="K32" s="106"/>
      <c r="L32" s="151"/>
      <c r="M32" s="151"/>
    </row>
    <row r="33" spans="1:13" ht="15" customHeight="1" x14ac:dyDescent="0.3">
      <c r="A33" s="151"/>
      <c r="B33" s="66">
        <v>20</v>
      </c>
      <c r="C33" s="294" t="str">
        <f>IF('INPUT DATA'!K30="","",'INPUT DATA'!K30)</f>
        <v/>
      </c>
      <c r="D33" s="226"/>
      <c r="E33" s="226"/>
      <c r="F33" s="117" t="str">
        <f>IF('TERM 1'!AW38="","",'TERM 1'!AW38)</f>
        <v/>
      </c>
      <c r="G33" s="117" t="str">
        <f>IF('TERM 2'!AW38="","",'TERM 2'!AW38)</f>
        <v/>
      </c>
      <c r="H33" s="117" t="str">
        <f>IF('TERM 3'!AW38="","",'TERM 3'!AW38)</f>
        <v/>
      </c>
      <c r="I33" s="191" t="str">
        <f t="shared" si="0"/>
        <v/>
      </c>
      <c r="J33" s="105" t="str">
        <f>IF(I33="","",IFERROR(VLOOKUP(I33,HELPER!$F$8:$G$48,2,FALSE),""))</f>
        <v/>
      </c>
      <c r="K33" s="106"/>
      <c r="L33" s="151"/>
      <c r="M33" s="151"/>
    </row>
    <row r="34" spans="1:13" ht="15" customHeight="1" x14ac:dyDescent="0.3">
      <c r="A34" s="151"/>
      <c r="B34" s="66">
        <v>21</v>
      </c>
      <c r="C34" s="294" t="str">
        <f>IF('INPUT DATA'!K31="","",'INPUT DATA'!K31)</f>
        <v/>
      </c>
      <c r="D34" s="226"/>
      <c r="E34" s="226"/>
      <c r="F34" s="117" t="str">
        <f>IF('TERM 1'!AW39="","",'TERM 1'!AW39)</f>
        <v/>
      </c>
      <c r="G34" s="117" t="str">
        <f>IF('TERM 2'!AW39="","",'TERM 2'!AW39)</f>
        <v/>
      </c>
      <c r="H34" s="117" t="str">
        <f>IF('TERM 3'!AW39="","",'TERM 3'!AW39)</f>
        <v/>
      </c>
      <c r="I34" s="191" t="str">
        <f t="shared" si="0"/>
        <v/>
      </c>
      <c r="J34" s="105" t="str">
        <f>IF(I34="","",IFERROR(VLOOKUP(I34,HELPER!$F$8:$G$48,2,FALSE),""))</f>
        <v/>
      </c>
      <c r="K34" s="106"/>
      <c r="L34" s="151"/>
      <c r="M34" s="151"/>
    </row>
    <row r="35" spans="1:13" ht="15" customHeight="1" x14ac:dyDescent="0.3">
      <c r="A35" s="151"/>
      <c r="B35" s="66">
        <v>22</v>
      </c>
      <c r="C35" s="294" t="str">
        <f>IF('INPUT DATA'!K32="","",'INPUT DATA'!K32)</f>
        <v/>
      </c>
      <c r="D35" s="226"/>
      <c r="E35" s="226"/>
      <c r="F35" s="117" t="str">
        <f>IF('TERM 1'!AW40="","",'TERM 1'!AW40)</f>
        <v/>
      </c>
      <c r="G35" s="117" t="str">
        <f>IF('TERM 2'!AW40="","",'TERM 2'!AW40)</f>
        <v/>
      </c>
      <c r="H35" s="117" t="str">
        <f>IF('TERM 3'!AW40="","",'TERM 3'!AW40)</f>
        <v/>
      </c>
      <c r="I35" s="191" t="str">
        <f t="shared" si="0"/>
        <v/>
      </c>
      <c r="J35" s="105" t="str">
        <f>IF(I35="","",IFERROR(VLOOKUP(I35,HELPER!$F$8:$G$48,2,FALSE),""))</f>
        <v/>
      </c>
      <c r="K35" s="106"/>
      <c r="L35" s="151"/>
      <c r="M35" s="151"/>
    </row>
    <row r="36" spans="1:13" ht="15" customHeight="1" x14ac:dyDescent="0.3">
      <c r="A36" s="151"/>
      <c r="B36" s="66">
        <v>23</v>
      </c>
      <c r="C36" s="294" t="str">
        <f>IF('INPUT DATA'!K33="","",'INPUT DATA'!K33)</f>
        <v/>
      </c>
      <c r="D36" s="226"/>
      <c r="E36" s="226"/>
      <c r="F36" s="117" t="str">
        <f>IF('TERM 1'!AW41="","",'TERM 1'!AW41)</f>
        <v/>
      </c>
      <c r="G36" s="117" t="str">
        <f>IF('TERM 2'!AW41="","",'TERM 2'!AW41)</f>
        <v/>
      </c>
      <c r="H36" s="117" t="str">
        <f>IF('TERM 3'!AW41="","",'TERM 3'!AW41)</f>
        <v/>
      </c>
      <c r="I36" s="191" t="str">
        <f t="shared" si="0"/>
        <v/>
      </c>
      <c r="J36" s="105" t="str">
        <f>IF(I36="","",IFERROR(VLOOKUP(I36,HELPER!$F$8:$G$48,2,FALSE),""))</f>
        <v/>
      </c>
      <c r="K36" s="106"/>
      <c r="L36" s="151"/>
      <c r="M36" s="151"/>
    </row>
    <row r="37" spans="1:13" ht="15" customHeight="1" x14ac:dyDescent="0.3">
      <c r="A37" s="151"/>
      <c r="B37" s="66">
        <v>24</v>
      </c>
      <c r="C37" s="294" t="str">
        <f>IF('INPUT DATA'!K34="","",'INPUT DATA'!K34)</f>
        <v/>
      </c>
      <c r="D37" s="226"/>
      <c r="E37" s="226"/>
      <c r="F37" s="117" t="str">
        <f>IF('TERM 1'!AW42="","",'TERM 1'!AW42)</f>
        <v/>
      </c>
      <c r="G37" s="117" t="str">
        <f>IF('TERM 2'!AW42="","",'TERM 2'!AW42)</f>
        <v/>
      </c>
      <c r="H37" s="117" t="str">
        <f>IF('TERM 3'!AW42="","",'TERM 3'!AW42)</f>
        <v/>
      </c>
      <c r="I37" s="191" t="str">
        <f t="shared" si="0"/>
        <v/>
      </c>
      <c r="J37" s="105" t="str">
        <f>IF(I37="","",IFERROR(VLOOKUP(I37,HELPER!$F$8:$G$48,2,FALSE),""))</f>
        <v/>
      </c>
      <c r="K37" s="106"/>
      <c r="L37" s="151"/>
      <c r="M37" s="151"/>
    </row>
    <row r="38" spans="1:13" ht="15" customHeight="1" x14ac:dyDescent="0.3">
      <c r="A38" s="151"/>
      <c r="B38" s="66">
        <v>25</v>
      </c>
      <c r="C38" s="294" t="str">
        <f>IF('INPUT DATA'!K35="","",'INPUT DATA'!K35)</f>
        <v/>
      </c>
      <c r="D38" s="226"/>
      <c r="E38" s="226"/>
      <c r="F38" s="117" t="str">
        <f>IF('TERM 1'!AW43="","",'TERM 1'!AW43)</f>
        <v/>
      </c>
      <c r="G38" s="117" t="str">
        <f>IF('TERM 2'!AW43="","",'TERM 2'!AW43)</f>
        <v/>
      </c>
      <c r="H38" s="117" t="str">
        <f>IF('TERM 3'!AW43="","",'TERM 3'!AW43)</f>
        <v/>
      </c>
      <c r="I38" s="191" t="str">
        <f t="shared" si="0"/>
        <v/>
      </c>
      <c r="J38" s="105" t="str">
        <f>IF(I38="","",IFERROR(VLOOKUP(I38,HELPER!$F$8:$G$48,2,FALSE),""))</f>
        <v/>
      </c>
      <c r="K38" s="106"/>
      <c r="L38" s="151"/>
      <c r="M38" s="151"/>
    </row>
    <row r="39" spans="1:13" ht="15" customHeight="1" x14ac:dyDescent="0.3">
      <c r="A39" s="151"/>
      <c r="B39" s="66">
        <v>26</v>
      </c>
      <c r="C39" s="294" t="str">
        <f>IF('INPUT DATA'!K36="","",'INPUT DATA'!K36)</f>
        <v/>
      </c>
      <c r="D39" s="226"/>
      <c r="E39" s="226"/>
      <c r="F39" s="117" t="str">
        <f>IF('TERM 1'!AW44="","",'TERM 1'!AW44)</f>
        <v/>
      </c>
      <c r="G39" s="117" t="str">
        <f>IF('TERM 2'!AW44="","",'TERM 2'!AW44)</f>
        <v/>
      </c>
      <c r="H39" s="117" t="str">
        <f>IF('TERM 3'!AW44="","",'TERM 3'!AW44)</f>
        <v/>
      </c>
      <c r="I39" s="191" t="str">
        <f t="shared" si="0"/>
        <v/>
      </c>
      <c r="J39" s="105" t="str">
        <f>IF(I39="","",IFERROR(VLOOKUP(I39,HELPER!$F$8:$G$48,2,FALSE),""))</f>
        <v/>
      </c>
      <c r="K39" s="106"/>
      <c r="L39" s="151"/>
      <c r="M39" s="151"/>
    </row>
    <row r="40" spans="1:13" ht="15" customHeight="1" x14ac:dyDescent="0.3">
      <c r="A40" s="151"/>
      <c r="B40" s="66">
        <v>27</v>
      </c>
      <c r="C40" s="294" t="str">
        <f>IF('INPUT DATA'!K37="","",'INPUT DATA'!K37)</f>
        <v/>
      </c>
      <c r="D40" s="226"/>
      <c r="E40" s="226"/>
      <c r="F40" s="117" t="str">
        <f>IF('TERM 1'!AW45="","",'TERM 1'!AW45)</f>
        <v/>
      </c>
      <c r="G40" s="117" t="str">
        <f>IF('TERM 2'!AW45="","",'TERM 2'!AW45)</f>
        <v/>
      </c>
      <c r="H40" s="117" t="str">
        <f>IF('TERM 3'!AW45="","",'TERM 3'!AW45)</f>
        <v/>
      </c>
      <c r="I40" s="191" t="str">
        <f t="shared" si="0"/>
        <v/>
      </c>
      <c r="J40" s="105" t="str">
        <f>IF(I40="","",IFERROR(VLOOKUP(I40,HELPER!$F$8:$G$48,2,FALSE),""))</f>
        <v/>
      </c>
      <c r="K40" s="106"/>
      <c r="L40" s="151"/>
      <c r="M40" s="151"/>
    </row>
    <row r="41" spans="1:13" ht="15" customHeight="1" x14ac:dyDescent="0.3">
      <c r="A41" s="151"/>
      <c r="B41" s="66">
        <v>28</v>
      </c>
      <c r="C41" s="294" t="str">
        <f>IF('INPUT DATA'!K38="","",'INPUT DATA'!K38)</f>
        <v/>
      </c>
      <c r="D41" s="226"/>
      <c r="E41" s="226"/>
      <c r="F41" s="117" t="str">
        <f>IF('TERM 1'!AW46="","",'TERM 1'!AW46)</f>
        <v/>
      </c>
      <c r="G41" s="117" t="str">
        <f>IF('TERM 2'!AW46="","",'TERM 2'!AW46)</f>
        <v/>
      </c>
      <c r="H41" s="117" t="str">
        <f>IF('TERM 3'!AW46="","",'TERM 3'!AW46)</f>
        <v/>
      </c>
      <c r="I41" s="191" t="str">
        <f t="shared" si="0"/>
        <v/>
      </c>
      <c r="J41" s="105" t="str">
        <f>IF(I41="","",IFERROR(VLOOKUP(I41,HELPER!$F$8:$G$48,2,FALSE),""))</f>
        <v/>
      </c>
      <c r="K41" s="106"/>
      <c r="L41" s="151"/>
      <c r="M41" s="151"/>
    </row>
    <row r="42" spans="1:13" ht="15" customHeight="1" x14ac:dyDescent="0.3">
      <c r="A42" s="151"/>
      <c r="B42" s="66">
        <v>29</v>
      </c>
      <c r="C42" s="294" t="str">
        <f>IF('INPUT DATA'!K39="","",'INPUT DATA'!K39)</f>
        <v/>
      </c>
      <c r="D42" s="226"/>
      <c r="E42" s="226"/>
      <c r="F42" s="117" t="str">
        <f>IF('TERM 1'!AW47="","",'TERM 1'!AW47)</f>
        <v/>
      </c>
      <c r="G42" s="117" t="str">
        <f>IF('TERM 2'!AW47="","",'TERM 2'!AW47)</f>
        <v/>
      </c>
      <c r="H42" s="117" t="str">
        <f>IF('TERM 3'!AW47="","",'TERM 3'!AW47)</f>
        <v/>
      </c>
      <c r="I42" s="191" t="str">
        <f t="shared" si="0"/>
        <v/>
      </c>
      <c r="J42" s="105" t="str">
        <f>IF(I42="","",IFERROR(VLOOKUP(I42,HELPER!$F$8:$G$48,2,FALSE),""))</f>
        <v/>
      </c>
      <c r="K42" s="106"/>
      <c r="L42" s="151"/>
      <c r="M42" s="151"/>
    </row>
    <row r="43" spans="1:13" ht="15" customHeight="1" x14ac:dyDescent="0.3">
      <c r="A43" s="151"/>
      <c r="B43" s="66">
        <v>30</v>
      </c>
      <c r="C43" s="294" t="str">
        <f>IF('INPUT DATA'!K40="","",'INPUT DATA'!K40)</f>
        <v/>
      </c>
      <c r="D43" s="226"/>
      <c r="E43" s="226"/>
      <c r="F43" s="117" t="str">
        <f>IF('TERM 1'!AW48="","",'TERM 1'!AW48)</f>
        <v/>
      </c>
      <c r="G43" s="117" t="str">
        <f>IF('TERM 2'!AW48="","",'TERM 2'!AW48)</f>
        <v/>
      </c>
      <c r="H43" s="117" t="str">
        <f>IF('TERM 3'!AW48="","",'TERM 3'!AW48)</f>
        <v/>
      </c>
      <c r="I43" s="191" t="str">
        <f t="shared" si="0"/>
        <v/>
      </c>
      <c r="J43" s="105" t="str">
        <f>IF(I43="","",IFERROR(VLOOKUP(I43,HELPER!$F$8:$G$48,2,FALSE),""))</f>
        <v/>
      </c>
      <c r="K43" s="106"/>
      <c r="L43" s="151"/>
      <c r="M43" s="151"/>
    </row>
    <row r="44" spans="1:13" ht="15" customHeight="1" x14ac:dyDescent="0.3">
      <c r="A44" s="151"/>
      <c r="B44" s="66">
        <v>31</v>
      </c>
      <c r="C44" s="294" t="str">
        <f>IF('INPUT DATA'!K41="","",'INPUT DATA'!K41)</f>
        <v/>
      </c>
      <c r="D44" s="226"/>
      <c r="E44" s="226"/>
      <c r="F44" s="117" t="str">
        <f>IF('TERM 1'!AW49="","",'TERM 1'!AW49)</f>
        <v/>
      </c>
      <c r="G44" s="117" t="str">
        <f>IF('TERM 2'!AW49="","",'TERM 2'!AW49)</f>
        <v/>
      </c>
      <c r="H44" s="117" t="str">
        <f>IF('TERM 3'!AW49="","",'TERM 3'!AW49)</f>
        <v/>
      </c>
      <c r="I44" s="191" t="str">
        <f t="shared" si="0"/>
        <v/>
      </c>
      <c r="J44" s="105" t="str">
        <f>IF(I44="","",IFERROR(VLOOKUP(I44,HELPER!$F$8:$G$48,2,FALSE),""))</f>
        <v/>
      </c>
      <c r="K44" s="106"/>
      <c r="L44" s="151"/>
      <c r="M44" s="151"/>
    </row>
    <row r="45" spans="1:13" ht="15" customHeight="1" x14ac:dyDescent="0.3">
      <c r="A45" s="151"/>
      <c r="B45" s="66">
        <v>32</v>
      </c>
      <c r="C45" s="294" t="str">
        <f>IF('INPUT DATA'!K42="","",'INPUT DATA'!K42)</f>
        <v/>
      </c>
      <c r="D45" s="226"/>
      <c r="E45" s="226"/>
      <c r="F45" s="117" t="str">
        <f>IF('TERM 1'!AW50="","",'TERM 1'!AW50)</f>
        <v/>
      </c>
      <c r="G45" s="117" t="str">
        <f>IF('TERM 2'!AW50="","",'TERM 2'!AW50)</f>
        <v/>
      </c>
      <c r="H45" s="117" t="str">
        <f>IF('TERM 3'!AW50="","",'TERM 3'!AW50)</f>
        <v/>
      </c>
      <c r="I45" s="191" t="str">
        <f t="shared" si="0"/>
        <v/>
      </c>
      <c r="J45" s="105" t="str">
        <f>IF(I45="","",IFERROR(VLOOKUP(I45,HELPER!$F$8:$G$48,2,FALSE),""))</f>
        <v/>
      </c>
      <c r="K45" s="106"/>
      <c r="L45" s="151"/>
      <c r="M45" s="151"/>
    </row>
    <row r="46" spans="1:13" ht="15" customHeight="1" x14ac:dyDescent="0.3">
      <c r="A46" s="151"/>
      <c r="B46" s="66">
        <v>33</v>
      </c>
      <c r="C46" s="294" t="str">
        <f>IF('INPUT DATA'!K43="","",'INPUT DATA'!K43)</f>
        <v/>
      </c>
      <c r="D46" s="226"/>
      <c r="E46" s="226"/>
      <c r="F46" s="117" t="str">
        <f>IF('TERM 1'!AW51="","",'TERM 1'!AW51)</f>
        <v/>
      </c>
      <c r="G46" s="117" t="str">
        <f>IF('TERM 2'!AW51="","",'TERM 2'!AW51)</f>
        <v/>
      </c>
      <c r="H46" s="117" t="str">
        <f>IF('TERM 3'!AW51="","",'TERM 3'!AW51)</f>
        <v/>
      </c>
      <c r="I46" s="191" t="str">
        <f t="shared" si="0"/>
        <v/>
      </c>
      <c r="J46" s="105" t="str">
        <f>IF(I46="","",IFERROR(VLOOKUP(I46,HELPER!$F$8:$G$48,2,FALSE),""))</f>
        <v/>
      </c>
      <c r="K46" s="106"/>
      <c r="L46" s="151"/>
      <c r="M46" s="151"/>
    </row>
    <row r="47" spans="1:13" ht="15" customHeight="1" x14ac:dyDescent="0.3">
      <c r="A47" s="151"/>
      <c r="B47" s="66">
        <v>34</v>
      </c>
      <c r="C47" s="294" t="str">
        <f>IF('INPUT DATA'!K44="","",'INPUT DATA'!K44)</f>
        <v/>
      </c>
      <c r="D47" s="226"/>
      <c r="E47" s="226"/>
      <c r="F47" s="117" t="str">
        <f>IF('TERM 1'!AW52="","",'TERM 1'!AW52)</f>
        <v/>
      </c>
      <c r="G47" s="117" t="str">
        <f>IF('TERM 2'!AW52="","",'TERM 2'!AW52)</f>
        <v/>
      </c>
      <c r="H47" s="117" t="str">
        <f>IF('TERM 3'!AW52="","",'TERM 3'!AW52)</f>
        <v/>
      </c>
      <c r="I47" s="191" t="str">
        <f t="shared" si="0"/>
        <v/>
      </c>
      <c r="J47" s="105" t="str">
        <f>IF(I47="","",IFERROR(VLOOKUP(I47,HELPER!$F$8:$G$48,2,FALSE),""))</f>
        <v/>
      </c>
      <c r="K47" s="106"/>
      <c r="L47" s="151"/>
      <c r="M47" s="151"/>
    </row>
    <row r="48" spans="1:13" ht="15" customHeight="1" x14ac:dyDescent="0.3">
      <c r="A48" s="151"/>
      <c r="B48" s="66">
        <v>35</v>
      </c>
      <c r="C48" s="294" t="str">
        <f>IF('INPUT DATA'!K45="","",'INPUT DATA'!K45)</f>
        <v/>
      </c>
      <c r="D48" s="226"/>
      <c r="E48" s="226"/>
      <c r="F48" s="117" t="str">
        <f>IF('TERM 1'!AW53="","",'TERM 1'!AW53)</f>
        <v/>
      </c>
      <c r="G48" s="117" t="str">
        <f>IF('TERM 2'!AW53="","",'TERM 2'!AW53)</f>
        <v/>
      </c>
      <c r="H48" s="117" t="str">
        <f>IF('TERM 3'!AW53="","",'TERM 3'!AW53)</f>
        <v/>
      </c>
      <c r="I48" s="191" t="str">
        <f t="shared" si="0"/>
        <v/>
      </c>
      <c r="J48" s="105" t="str">
        <f>IF(I48="","",IFERROR(VLOOKUP(I48,HELPER!$F$8:$G$48,2,FALSE),""))</f>
        <v/>
      </c>
      <c r="K48" s="106"/>
      <c r="L48" s="151"/>
      <c r="M48" s="151"/>
    </row>
    <row r="49" spans="1:13" ht="15" customHeight="1" x14ac:dyDescent="0.3">
      <c r="A49" s="151"/>
      <c r="B49" s="66">
        <v>36</v>
      </c>
      <c r="C49" s="294" t="str">
        <f>IF('INPUT DATA'!K46="","",'INPUT DATA'!K46)</f>
        <v/>
      </c>
      <c r="D49" s="226"/>
      <c r="E49" s="226"/>
      <c r="F49" s="117" t="str">
        <f>IF('TERM 1'!AW54="","",'TERM 1'!AW54)</f>
        <v/>
      </c>
      <c r="G49" s="117" t="str">
        <f>IF('TERM 2'!AW54="","",'TERM 2'!AW54)</f>
        <v/>
      </c>
      <c r="H49" s="117" t="str">
        <f>IF('TERM 3'!AW54="","",'TERM 3'!AW54)</f>
        <v/>
      </c>
      <c r="I49" s="191" t="str">
        <f t="shared" si="0"/>
        <v/>
      </c>
      <c r="J49" s="105" t="str">
        <f>IF(I49="","",IFERROR(VLOOKUP(I49,HELPER!$F$8:$G$48,2,FALSE),""))</f>
        <v/>
      </c>
      <c r="K49" s="106"/>
      <c r="L49" s="151"/>
      <c r="M49" s="151"/>
    </row>
    <row r="50" spans="1:13" ht="15" customHeight="1" x14ac:dyDescent="0.3">
      <c r="A50" s="151"/>
      <c r="B50" s="66">
        <v>37</v>
      </c>
      <c r="C50" s="294" t="str">
        <f>IF('INPUT DATA'!K47="","",'INPUT DATA'!K47)</f>
        <v/>
      </c>
      <c r="D50" s="226"/>
      <c r="E50" s="226"/>
      <c r="F50" s="117" t="str">
        <f>IF('TERM 1'!AW55="","",'TERM 1'!AW55)</f>
        <v/>
      </c>
      <c r="G50" s="117" t="str">
        <f>IF('TERM 2'!AW55="","",'TERM 2'!AW55)</f>
        <v/>
      </c>
      <c r="H50" s="117" t="str">
        <f>IF('TERM 3'!AW55="","",'TERM 3'!AW55)</f>
        <v/>
      </c>
      <c r="I50" s="191" t="str">
        <f t="shared" si="0"/>
        <v/>
      </c>
      <c r="J50" s="105" t="str">
        <f>IF(I50="","",IFERROR(VLOOKUP(I50,HELPER!$F$8:$G$48,2,FALSE),""))</f>
        <v/>
      </c>
      <c r="K50" s="106"/>
      <c r="L50" s="151"/>
      <c r="M50" s="151"/>
    </row>
    <row r="51" spans="1:13" ht="15" customHeight="1" x14ac:dyDescent="0.3">
      <c r="A51" s="151"/>
      <c r="B51" s="66">
        <v>38</v>
      </c>
      <c r="C51" s="294" t="str">
        <f>IF('INPUT DATA'!K48="","",'INPUT DATA'!K48)</f>
        <v/>
      </c>
      <c r="D51" s="226"/>
      <c r="E51" s="226"/>
      <c r="F51" s="117" t="str">
        <f>IF('TERM 1'!AW56="","",'TERM 1'!AW56)</f>
        <v/>
      </c>
      <c r="G51" s="117" t="str">
        <f>IF('TERM 2'!AW56="","",'TERM 2'!AW56)</f>
        <v/>
      </c>
      <c r="H51" s="117" t="str">
        <f>IF('TERM 3'!AW56="","",'TERM 3'!AW56)</f>
        <v/>
      </c>
      <c r="I51" s="191" t="str">
        <f t="shared" si="0"/>
        <v/>
      </c>
      <c r="J51" s="105" t="str">
        <f>IF(I51="","",IFERROR(VLOOKUP(I51,HELPER!$F$8:$G$48,2,FALSE),""))</f>
        <v/>
      </c>
      <c r="K51" s="106"/>
      <c r="L51" s="151"/>
      <c r="M51" s="151"/>
    </row>
    <row r="52" spans="1:13" ht="15" customHeight="1" x14ac:dyDescent="0.3">
      <c r="A52" s="151"/>
      <c r="B52" s="66">
        <v>39</v>
      </c>
      <c r="C52" s="294" t="str">
        <f>IF('INPUT DATA'!K49="","",'INPUT DATA'!K49)</f>
        <v/>
      </c>
      <c r="D52" s="226"/>
      <c r="E52" s="226"/>
      <c r="F52" s="117" t="str">
        <f>IF('TERM 1'!AW57="","",'TERM 1'!AW57)</f>
        <v/>
      </c>
      <c r="G52" s="117" t="str">
        <f>IF('TERM 2'!AW57="","",'TERM 2'!AW57)</f>
        <v/>
      </c>
      <c r="H52" s="117" t="str">
        <f>IF('TERM 3'!AW57="","",'TERM 3'!AW57)</f>
        <v/>
      </c>
      <c r="I52" s="191" t="str">
        <f t="shared" si="0"/>
        <v/>
      </c>
      <c r="J52" s="105" t="str">
        <f>IF(I52="","",IFERROR(VLOOKUP(I52,HELPER!$F$8:$G$48,2,FALSE),""))</f>
        <v/>
      </c>
      <c r="K52" s="106"/>
      <c r="L52" s="151"/>
      <c r="M52" s="151"/>
    </row>
    <row r="53" spans="1:13" ht="15" customHeight="1" x14ac:dyDescent="0.3">
      <c r="A53" s="151"/>
      <c r="B53" s="66">
        <v>40</v>
      </c>
      <c r="C53" s="294" t="str">
        <f>IF('INPUT DATA'!K50="","",'INPUT DATA'!K50)</f>
        <v/>
      </c>
      <c r="D53" s="226"/>
      <c r="E53" s="226"/>
      <c r="F53" s="117" t="str">
        <f>IF('TERM 1'!AW58="","",'TERM 1'!AW58)</f>
        <v/>
      </c>
      <c r="G53" s="117" t="str">
        <f>IF('TERM 2'!AW58="","",'TERM 2'!AW58)</f>
        <v/>
      </c>
      <c r="H53" s="117" t="str">
        <f>IF('TERM 3'!AW58="","",'TERM 3'!AW58)</f>
        <v/>
      </c>
      <c r="I53" s="191" t="str">
        <f t="shared" si="0"/>
        <v/>
      </c>
      <c r="J53" s="105" t="str">
        <f>IF(I53="","",IFERROR(VLOOKUP(I53,HELPER!$F$8:$G$48,2,FALSE),""))</f>
        <v/>
      </c>
      <c r="K53" s="106"/>
      <c r="L53" s="151"/>
      <c r="M53" s="151"/>
    </row>
    <row r="54" spans="1:13" ht="15" customHeight="1" x14ac:dyDescent="0.3">
      <c r="A54" s="151"/>
      <c r="B54" s="66">
        <v>41</v>
      </c>
      <c r="C54" s="294" t="str">
        <f>IF('INPUT DATA'!K51="","",'INPUT DATA'!K51)</f>
        <v/>
      </c>
      <c r="D54" s="226"/>
      <c r="E54" s="226"/>
      <c r="F54" s="117" t="str">
        <f>IF('TERM 1'!AW59="","",'TERM 1'!AW59)</f>
        <v/>
      </c>
      <c r="G54" s="117" t="str">
        <f>IF('TERM 2'!AW59="","",'TERM 2'!AW59)</f>
        <v/>
      </c>
      <c r="H54" s="117" t="str">
        <f>IF('TERM 3'!AW59="","",'TERM 3'!AW59)</f>
        <v/>
      </c>
      <c r="I54" s="191" t="str">
        <f t="shared" si="0"/>
        <v/>
      </c>
      <c r="J54" s="105" t="str">
        <f>IF(I54="","",IFERROR(VLOOKUP(I54,HELPER!$F$8:$G$48,2,FALSE),""))</f>
        <v/>
      </c>
      <c r="K54" s="106"/>
      <c r="L54" s="151"/>
      <c r="M54" s="151"/>
    </row>
    <row r="55" spans="1:13" ht="15" customHeight="1" x14ac:dyDescent="0.3">
      <c r="A55" s="151"/>
      <c r="B55" s="66">
        <v>42</v>
      </c>
      <c r="C55" s="294" t="str">
        <f>IF('INPUT DATA'!K52="","",'INPUT DATA'!K52)</f>
        <v/>
      </c>
      <c r="D55" s="226"/>
      <c r="E55" s="226"/>
      <c r="F55" s="117" t="str">
        <f>IF('TERM 1'!AW60="","",'TERM 1'!AW60)</f>
        <v/>
      </c>
      <c r="G55" s="117" t="str">
        <f>IF('TERM 2'!AW60="","",'TERM 2'!AW60)</f>
        <v/>
      </c>
      <c r="H55" s="117" t="str">
        <f>IF('TERM 3'!AW60="","",'TERM 3'!AW60)</f>
        <v/>
      </c>
      <c r="I55" s="191" t="str">
        <f t="shared" si="0"/>
        <v/>
      </c>
      <c r="J55" s="105" t="str">
        <f>IF(I55="","",IFERROR(VLOOKUP(I55,HELPER!$F$8:$G$48,2,FALSE),""))</f>
        <v/>
      </c>
      <c r="K55" s="106"/>
      <c r="L55" s="151"/>
      <c r="M55" s="151"/>
    </row>
    <row r="56" spans="1:13" ht="15" customHeight="1" x14ac:dyDescent="0.3">
      <c r="A56" s="151"/>
      <c r="B56" s="66">
        <v>43</v>
      </c>
      <c r="C56" s="294" t="str">
        <f>IF('INPUT DATA'!K53="","",'INPUT DATA'!K53)</f>
        <v/>
      </c>
      <c r="D56" s="226"/>
      <c r="E56" s="226"/>
      <c r="F56" s="117" t="str">
        <f>IF('TERM 1'!AW61="","",'TERM 1'!AW61)</f>
        <v/>
      </c>
      <c r="G56" s="117" t="str">
        <f>IF('TERM 2'!AW61="","",'TERM 2'!AW61)</f>
        <v/>
      </c>
      <c r="H56" s="117" t="str">
        <f>IF('TERM 3'!AW61="","",'TERM 3'!AW61)</f>
        <v/>
      </c>
      <c r="I56" s="191" t="str">
        <f t="shared" si="0"/>
        <v/>
      </c>
      <c r="J56" s="105" t="str">
        <f>IF(I56="","",IFERROR(VLOOKUP(I56,HELPER!$F$8:$G$48,2,FALSE),""))</f>
        <v/>
      </c>
      <c r="K56" s="106"/>
      <c r="L56" s="151"/>
      <c r="M56" s="151"/>
    </row>
    <row r="57" spans="1:13" ht="15" customHeight="1" x14ac:dyDescent="0.3">
      <c r="A57" s="151"/>
      <c r="B57" s="66">
        <v>44</v>
      </c>
      <c r="C57" s="294" t="str">
        <f>IF('INPUT DATA'!K54="","",'INPUT DATA'!K54)</f>
        <v/>
      </c>
      <c r="D57" s="226"/>
      <c r="E57" s="226"/>
      <c r="F57" s="117" t="str">
        <f>IF('TERM 1'!AW62="","",'TERM 1'!AW62)</f>
        <v/>
      </c>
      <c r="G57" s="117" t="str">
        <f>IF('TERM 2'!AW62="","",'TERM 2'!AW62)</f>
        <v/>
      </c>
      <c r="H57" s="117" t="str">
        <f>IF('TERM 3'!AW62="","",'TERM 3'!AW62)</f>
        <v/>
      </c>
      <c r="I57" s="191" t="str">
        <f t="shared" si="0"/>
        <v/>
      </c>
      <c r="J57" s="105" t="str">
        <f>IF(I57="","",IFERROR(VLOOKUP(I57,HELPER!$F$8:$G$48,2,FALSE),""))</f>
        <v/>
      </c>
      <c r="K57" s="106"/>
      <c r="L57" s="151"/>
      <c r="M57" s="151"/>
    </row>
    <row r="58" spans="1:13" ht="15" customHeight="1" x14ac:dyDescent="0.3">
      <c r="A58" s="151"/>
      <c r="B58" s="66">
        <v>45</v>
      </c>
      <c r="C58" s="294" t="str">
        <f>IF('INPUT DATA'!K55="","",'INPUT DATA'!K55)</f>
        <v/>
      </c>
      <c r="D58" s="226"/>
      <c r="E58" s="226"/>
      <c r="F58" s="117" t="str">
        <f>IF('TERM 1'!AW63="","",'TERM 1'!AW63)</f>
        <v/>
      </c>
      <c r="G58" s="117" t="str">
        <f>IF('TERM 2'!AW63="","",'TERM 2'!AW63)</f>
        <v/>
      </c>
      <c r="H58" s="117" t="str">
        <f>IF('TERM 3'!AW63="","",'TERM 3'!AW63)</f>
        <v/>
      </c>
      <c r="I58" s="191" t="str">
        <f t="shared" si="0"/>
        <v/>
      </c>
      <c r="J58" s="105" t="str">
        <f>IF(I58="","",IFERROR(VLOOKUP(I58,HELPER!$F$8:$G$48,2,FALSE),""))</f>
        <v/>
      </c>
      <c r="K58" s="106"/>
      <c r="L58" s="151"/>
      <c r="M58" s="151"/>
    </row>
    <row r="59" spans="1:13" ht="15" customHeight="1" x14ac:dyDescent="0.3">
      <c r="A59" s="151"/>
      <c r="B59" s="66">
        <v>46</v>
      </c>
      <c r="C59" s="294" t="str">
        <f>IF('INPUT DATA'!K56="","",'INPUT DATA'!K56)</f>
        <v/>
      </c>
      <c r="D59" s="226"/>
      <c r="E59" s="226"/>
      <c r="F59" s="117" t="str">
        <f>IF('TERM 1'!AW64="","",'TERM 1'!AW64)</f>
        <v/>
      </c>
      <c r="G59" s="117" t="str">
        <f>IF('TERM 2'!AW64="","",'TERM 2'!AW64)</f>
        <v/>
      </c>
      <c r="H59" s="117" t="str">
        <f>IF('TERM 3'!AW64="","",'TERM 3'!AW64)</f>
        <v/>
      </c>
      <c r="I59" s="191" t="str">
        <f t="shared" si="0"/>
        <v/>
      </c>
      <c r="J59" s="105" t="str">
        <f>IF(I59="","",IFERROR(VLOOKUP(I59,HELPER!$F$8:$G$48,2,FALSE),""))</f>
        <v/>
      </c>
      <c r="K59" s="106"/>
      <c r="L59" s="151"/>
      <c r="M59" s="151"/>
    </row>
    <row r="60" spans="1:13" ht="15" customHeight="1" x14ac:dyDescent="0.3">
      <c r="A60" s="151"/>
      <c r="B60" s="66">
        <v>47</v>
      </c>
      <c r="C60" s="294" t="str">
        <f>IF('INPUT DATA'!K57="","",'INPUT DATA'!K57)</f>
        <v/>
      </c>
      <c r="D60" s="226"/>
      <c r="E60" s="226"/>
      <c r="F60" s="117" t="str">
        <f>IF('TERM 1'!AW65="","",'TERM 1'!AW65)</f>
        <v/>
      </c>
      <c r="G60" s="117" t="str">
        <f>IF('TERM 2'!AW65="","",'TERM 2'!AW65)</f>
        <v/>
      </c>
      <c r="H60" s="117" t="str">
        <f>IF('TERM 3'!AW65="","",'TERM 3'!AW65)</f>
        <v/>
      </c>
      <c r="I60" s="191" t="str">
        <f t="shared" si="0"/>
        <v/>
      </c>
      <c r="J60" s="105" t="str">
        <f>IF(I60="","",IFERROR(VLOOKUP(I60,HELPER!$F$8:$G$48,2,FALSE),""))</f>
        <v/>
      </c>
      <c r="K60" s="106"/>
      <c r="L60" s="151"/>
      <c r="M60" s="151"/>
    </row>
    <row r="61" spans="1:13" ht="15" customHeight="1" x14ac:dyDescent="0.3">
      <c r="A61" s="151"/>
      <c r="B61" s="66">
        <v>48</v>
      </c>
      <c r="C61" s="294" t="str">
        <f>IF('INPUT DATA'!K58="","",'INPUT DATA'!K58)</f>
        <v/>
      </c>
      <c r="D61" s="226"/>
      <c r="E61" s="226"/>
      <c r="F61" s="117" t="str">
        <f>IF('TERM 1'!AW66="","",'TERM 1'!AW66)</f>
        <v/>
      </c>
      <c r="G61" s="117" t="str">
        <f>IF('TERM 2'!AW66="","",'TERM 2'!AW66)</f>
        <v/>
      </c>
      <c r="H61" s="117" t="str">
        <f>IF('TERM 3'!AW66="","",'TERM 3'!AW66)</f>
        <v/>
      </c>
      <c r="I61" s="191" t="str">
        <f t="shared" si="0"/>
        <v/>
      </c>
      <c r="J61" s="105" t="str">
        <f>IF(I61="","",IFERROR(VLOOKUP(I61,HELPER!$F$8:$G$48,2,FALSE),""))</f>
        <v/>
      </c>
      <c r="K61" s="106"/>
      <c r="L61" s="151"/>
      <c r="M61" s="151"/>
    </row>
    <row r="62" spans="1:13" ht="15" customHeight="1" x14ac:dyDescent="0.3">
      <c r="A62" s="151"/>
      <c r="B62" s="66">
        <v>49</v>
      </c>
      <c r="C62" s="294" t="str">
        <f>IF('INPUT DATA'!K59="","",'INPUT DATA'!K59)</f>
        <v/>
      </c>
      <c r="D62" s="226"/>
      <c r="E62" s="226"/>
      <c r="F62" s="117" t="str">
        <f>IF('TERM 1'!AW67="","",'TERM 1'!AW67)</f>
        <v/>
      </c>
      <c r="G62" s="117" t="str">
        <f>IF('TERM 2'!AW67="","",'TERM 2'!AW67)</f>
        <v/>
      </c>
      <c r="H62" s="117" t="str">
        <f>IF('TERM 3'!AW67="","",'TERM 3'!AW67)</f>
        <v/>
      </c>
      <c r="I62" s="191" t="str">
        <f t="shared" si="0"/>
        <v/>
      </c>
      <c r="J62" s="105" t="str">
        <f>IF(I62="","",IFERROR(VLOOKUP(I62,HELPER!$F$8:$G$48,2,FALSE),""))</f>
        <v/>
      </c>
      <c r="K62" s="106"/>
      <c r="L62" s="151"/>
      <c r="M62" s="151"/>
    </row>
    <row r="63" spans="1:13" ht="15" customHeight="1" thickBot="1" x14ac:dyDescent="0.35">
      <c r="A63" s="151"/>
      <c r="B63" s="66">
        <v>50</v>
      </c>
      <c r="C63" s="309" t="str">
        <f>IF('INPUT DATA'!K60="","",'INPUT DATA'!K60)</f>
        <v/>
      </c>
      <c r="D63" s="274"/>
      <c r="E63" s="274"/>
      <c r="F63" s="118" t="str">
        <f>IF('TERM 1'!AW68="","",'TERM 1'!AW68)</f>
        <v/>
      </c>
      <c r="G63" s="118" t="str">
        <f>IF('TERM 2'!AW68="","",'TERM 2'!AW68)</f>
        <v/>
      </c>
      <c r="H63" s="118" t="str">
        <f>IF('TERM 3'!AW68="","",'TERM 3'!AW68)</f>
        <v/>
      </c>
      <c r="I63" s="192" t="str">
        <f t="shared" si="0"/>
        <v/>
      </c>
      <c r="J63" s="121" t="str">
        <f>IF(I63="","",IFERROR(VLOOKUP(I63,HELPER!$F$8:$G$48,2,FALSE),""))</f>
        <v/>
      </c>
      <c r="K63" s="122"/>
      <c r="L63" s="151"/>
      <c r="M63" s="151"/>
    </row>
    <row r="64" spans="1:13" ht="14.4" customHeight="1" thickBot="1" x14ac:dyDescent="0.35">
      <c r="A64" s="151"/>
      <c r="B64" s="315" t="s">
        <v>6</v>
      </c>
      <c r="C64" s="231"/>
      <c r="D64" s="231"/>
      <c r="E64" s="231"/>
      <c r="F64" s="231"/>
      <c r="G64" s="316"/>
      <c r="H64" s="316"/>
      <c r="I64" s="316"/>
      <c r="J64" s="231"/>
      <c r="K64" s="232"/>
      <c r="L64" s="151"/>
      <c r="M64" s="151"/>
    </row>
    <row r="65" spans="1:13" ht="15" customHeight="1" x14ac:dyDescent="0.3">
      <c r="A65" s="151"/>
      <c r="B65" s="123">
        <v>1</v>
      </c>
      <c r="C65" s="294" t="str">
        <f>IF('INPUT DATA'!N11="","",'INPUT DATA'!N11)</f>
        <v/>
      </c>
      <c r="D65" s="226"/>
      <c r="E65" s="226"/>
      <c r="F65" s="124" t="str">
        <f>IF('TERM 1'!AW70="","",'TERM 1'!AW70)</f>
        <v/>
      </c>
      <c r="G65" s="116" t="str">
        <f>IF('TERM 2'!AW70="","",'TERM 2'!AW70)</f>
        <v/>
      </c>
      <c r="H65" s="119" t="str">
        <f>IF('TERM 3'!AW70="","",'TERM 3'!AW70)</f>
        <v/>
      </c>
      <c r="I65" s="193" t="str">
        <f>IF(COUNT(F65:H65)&lt;3,"",ROUND(AVERAGE(F65:H65),0))</f>
        <v/>
      </c>
      <c r="J65" s="125" t="str">
        <f>IF(I65="","",IFERROR(VLOOKUP(I65,HELPER!$F$8:$G$48,2,FALSE),""))</f>
        <v/>
      </c>
      <c r="K65" s="126"/>
      <c r="L65" s="151"/>
      <c r="M65" s="151"/>
    </row>
    <row r="66" spans="1:13" ht="15" customHeight="1" x14ac:dyDescent="0.3">
      <c r="A66" s="151"/>
      <c r="B66" s="67">
        <v>2</v>
      </c>
      <c r="C66" s="294" t="str">
        <f>IF('INPUT DATA'!N12="","",'INPUT DATA'!N12)</f>
        <v/>
      </c>
      <c r="D66" s="226"/>
      <c r="E66" s="226"/>
      <c r="F66" s="117" t="str">
        <f>IF('TERM 1'!AW71="","",'TERM 1'!AW71)</f>
        <v/>
      </c>
      <c r="G66" s="117" t="str">
        <f>IF('TERM 2'!AW71="","",'TERM 2'!AW71)</f>
        <v/>
      </c>
      <c r="H66" s="120" t="str">
        <f>IF('TERM 3'!AW71="","",'TERM 3'!AW71)</f>
        <v/>
      </c>
      <c r="I66" s="194" t="str">
        <f t="shared" ref="I66:I114" si="1">IF(COUNT(F66:H66)&lt;3,"",ROUND(AVERAGE(F66:H66),0))</f>
        <v/>
      </c>
      <c r="J66" s="105" t="str">
        <f>IF(I66="","",IFERROR(VLOOKUP(I66,HELPER!$F$8:$G$48,2,FALSE),""))</f>
        <v/>
      </c>
      <c r="K66" s="106"/>
      <c r="L66" s="151"/>
      <c r="M66" s="151"/>
    </row>
    <row r="67" spans="1:13" ht="15" customHeight="1" x14ac:dyDescent="0.3">
      <c r="A67" s="151"/>
      <c r="B67" s="67">
        <v>3</v>
      </c>
      <c r="C67" s="294" t="str">
        <f>IF('INPUT DATA'!N13="","",'INPUT DATA'!N13)</f>
        <v/>
      </c>
      <c r="D67" s="226"/>
      <c r="E67" s="226"/>
      <c r="F67" s="117" t="str">
        <f>IF('TERM 1'!AW72="","",'TERM 1'!AW72)</f>
        <v/>
      </c>
      <c r="G67" s="117" t="str">
        <f>IF('TERM 2'!AW72="","",'TERM 2'!AW72)</f>
        <v/>
      </c>
      <c r="H67" s="120" t="str">
        <f>IF('TERM 3'!AW72="","",'TERM 3'!AW72)</f>
        <v/>
      </c>
      <c r="I67" s="194" t="str">
        <f t="shared" si="1"/>
        <v/>
      </c>
      <c r="J67" s="105" t="str">
        <f>IF(I67="","",IFERROR(VLOOKUP(I67,HELPER!$F$8:$G$48,2,FALSE),""))</f>
        <v/>
      </c>
      <c r="K67" s="106"/>
      <c r="L67" s="151"/>
      <c r="M67" s="151"/>
    </row>
    <row r="68" spans="1:13" ht="15" customHeight="1" x14ac:dyDescent="0.3">
      <c r="A68" s="151"/>
      <c r="B68" s="67">
        <v>4</v>
      </c>
      <c r="C68" s="294" t="str">
        <f>IF('INPUT DATA'!N14="","",'INPUT DATA'!N14)</f>
        <v/>
      </c>
      <c r="D68" s="226"/>
      <c r="E68" s="226"/>
      <c r="F68" s="117" t="str">
        <f>IF('TERM 1'!AW73="","",'TERM 1'!AW73)</f>
        <v/>
      </c>
      <c r="G68" s="117" t="str">
        <f>IF('TERM 2'!AW73="","",'TERM 2'!AW73)</f>
        <v/>
      </c>
      <c r="H68" s="120" t="str">
        <f>IF('TERM 3'!AW73="","",'TERM 3'!AW73)</f>
        <v/>
      </c>
      <c r="I68" s="194" t="str">
        <f t="shared" si="1"/>
        <v/>
      </c>
      <c r="J68" s="105" t="str">
        <f>IF(I68="","",IFERROR(VLOOKUP(I68,HELPER!$F$8:$G$48,2,FALSE),""))</f>
        <v/>
      </c>
      <c r="K68" s="106"/>
      <c r="L68" s="151"/>
      <c r="M68" s="151"/>
    </row>
    <row r="69" spans="1:13" ht="15" customHeight="1" x14ac:dyDescent="0.3">
      <c r="A69" s="151"/>
      <c r="B69" s="67">
        <v>5</v>
      </c>
      <c r="C69" s="294" t="str">
        <f>IF('INPUT DATA'!N15="","",'INPUT DATA'!N15)</f>
        <v/>
      </c>
      <c r="D69" s="226"/>
      <c r="E69" s="226"/>
      <c r="F69" s="117" t="str">
        <f>IF('TERM 1'!AW74="","",'TERM 1'!AW74)</f>
        <v/>
      </c>
      <c r="G69" s="117" t="str">
        <f>IF('TERM 2'!AW74="","",'TERM 2'!AW74)</f>
        <v/>
      </c>
      <c r="H69" s="120" t="str">
        <f>IF('TERM 3'!AW74="","",'TERM 3'!AW74)</f>
        <v/>
      </c>
      <c r="I69" s="194" t="str">
        <f t="shared" si="1"/>
        <v/>
      </c>
      <c r="J69" s="105" t="str">
        <f>IF(I69="","",IFERROR(VLOOKUP(I69,HELPER!$F$8:$G$48,2,FALSE),""))</f>
        <v/>
      </c>
      <c r="K69" s="106"/>
      <c r="L69" s="151"/>
      <c r="M69" s="151"/>
    </row>
    <row r="70" spans="1:13" ht="15" customHeight="1" x14ac:dyDescent="0.3">
      <c r="A70" s="151"/>
      <c r="B70" s="67">
        <v>6</v>
      </c>
      <c r="C70" s="294" t="str">
        <f>IF('INPUT DATA'!N16="","",'INPUT DATA'!N16)</f>
        <v/>
      </c>
      <c r="D70" s="226"/>
      <c r="E70" s="226"/>
      <c r="F70" s="117" t="str">
        <f>IF('TERM 1'!AW75="","",'TERM 1'!AW75)</f>
        <v/>
      </c>
      <c r="G70" s="117" t="str">
        <f>IF('TERM 2'!AW75="","",'TERM 2'!AW75)</f>
        <v/>
      </c>
      <c r="H70" s="120" t="str">
        <f>IF('TERM 3'!AW75="","",'TERM 3'!AW75)</f>
        <v/>
      </c>
      <c r="I70" s="194" t="str">
        <f t="shared" si="1"/>
        <v/>
      </c>
      <c r="J70" s="105" t="str">
        <f>IF(I70="","",IFERROR(VLOOKUP(I70,HELPER!$F$8:$G$48,2,FALSE),""))</f>
        <v/>
      </c>
      <c r="K70" s="106"/>
      <c r="L70" s="151"/>
      <c r="M70" s="151"/>
    </row>
    <row r="71" spans="1:13" ht="15" customHeight="1" x14ac:dyDescent="0.3">
      <c r="A71" s="151"/>
      <c r="B71" s="67">
        <v>7</v>
      </c>
      <c r="C71" s="294" t="str">
        <f>IF('INPUT DATA'!N17="","",'INPUT DATA'!N17)</f>
        <v/>
      </c>
      <c r="D71" s="226"/>
      <c r="E71" s="226"/>
      <c r="F71" s="117" t="str">
        <f>IF('TERM 1'!AW76="","",'TERM 1'!AW76)</f>
        <v/>
      </c>
      <c r="G71" s="117" t="str">
        <f>IF('TERM 2'!AW76="","",'TERM 2'!AW76)</f>
        <v/>
      </c>
      <c r="H71" s="120" t="str">
        <f>IF('TERM 3'!AW76="","",'TERM 3'!AW76)</f>
        <v/>
      </c>
      <c r="I71" s="194" t="str">
        <f t="shared" si="1"/>
        <v/>
      </c>
      <c r="J71" s="105" t="str">
        <f>IF(I71="","",IFERROR(VLOOKUP(I71,HELPER!$F$8:$G$48,2,FALSE),""))</f>
        <v/>
      </c>
      <c r="K71" s="106"/>
      <c r="L71" s="151"/>
      <c r="M71" s="151"/>
    </row>
    <row r="72" spans="1:13" ht="15" customHeight="1" x14ac:dyDescent="0.3">
      <c r="A72" s="151"/>
      <c r="B72" s="67">
        <v>8</v>
      </c>
      <c r="C72" s="294" t="str">
        <f>IF('INPUT DATA'!N18="","",'INPUT DATA'!N18)</f>
        <v/>
      </c>
      <c r="D72" s="226"/>
      <c r="E72" s="226"/>
      <c r="F72" s="117" t="str">
        <f>IF('TERM 1'!AW77="","",'TERM 1'!AW77)</f>
        <v/>
      </c>
      <c r="G72" s="117" t="str">
        <f>IF('TERM 2'!AW77="","",'TERM 2'!AW77)</f>
        <v/>
      </c>
      <c r="H72" s="120" t="str">
        <f>IF('TERM 3'!AW77="","",'TERM 3'!AW77)</f>
        <v/>
      </c>
      <c r="I72" s="194" t="str">
        <f t="shared" si="1"/>
        <v/>
      </c>
      <c r="J72" s="105" t="str">
        <f>IF(I72="","",IFERROR(VLOOKUP(I72,HELPER!$F$8:$G$48,2,FALSE),""))</f>
        <v/>
      </c>
      <c r="K72" s="106"/>
      <c r="L72" s="151"/>
      <c r="M72" s="151"/>
    </row>
    <row r="73" spans="1:13" ht="15" customHeight="1" x14ac:dyDescent="0.3">
      <c r="A73" s="151"/>
      <c r="B73" s="67">
        <v>9</v>
      </c>
      <c r="C73" s="294" t="str">
        <f>IF('INPUT DATA'!N19="","",'INPUT DATA'!N19)</f>
        <v/>
      </c>
      <c r="D73" s="226"/>
      <c r="E73" s="226"/>
      <c r="F73" s="117" t="str">
        <f>IF('TERM 1'!AW78="","",'TERM 1'!AW78)</f>
        <v/>
      </c>
      <c r="G73" s="117" t="str">
        <f>IF('TERM 2'!AW78="","",'TERM 2'!AW78)</f>
        <v/>
      </c>
      <c r="H73" s="120" t="str">
        <f>IF('TERM 3'!AW78="","",'TERM 3'!AW78)</f>
        <v/>
      </c>
      <c r="I73" s="194" t="str">
        <f t="shared" si="1"/>
        <v/>
      </c>
      <c r="J73" s="105" t="str">
        <f>IF(I73="","",IFERROR(VLOOKUP(I73,HELPER!$F$8:$G$48,2,FALSE),""))</f>
        <v/>
      </c>
      <c r="K73" s="106"/>
      <c r="L73" s="151"/>
      <c r="M73" s="151"/>
    </row>
    <row r="74" spans="1:13" ht="15" customHeight="1" x14ac:dyDescent="0.3">
      <c r="A74" s="151"/>
      <c r="B74" s="67">
        <v>10</v>
      </c>
      <c r="C74" s="294" t="str">
        <f>IF('INPUT DATA'!N20="","",'INPUT DATA'!N20)</f>
        <v/>
      </c>
      <c r="D74" s="226"/>
      <c r="E74" s="226"/>
      <c r="F74" s="117" t="str">
        <f>IF('TERM 1'!AW79="","",'TERM 1'!AW79)</f>
        <v/>
      </c>
      <c r="G74" s="117" t="str">
        <f>IF('TERM 2'!AW79="","",'TERM 2'!AW79)</f>
        <v/>
      </c>
      <c r="H74" s="120" t="str">
        <f>IF('TERM 3'!AW79="","",'TERM 3'!AW79)</f>
        <v/>
      </c>
      <c r="I74" s="194" t="str">
        <f t="shared" si="1"/>
        <v/>
      </c>
      <c r="J74" s="105" t="str">
        <f>IF(I74="","",IFERROR(VLOOKUP(I74,HELPER!$F$8:$G$48,2,FALSE),""))</f>
        <v/>
      </c>
      <c r="K74" s="106"/>
      <c r="L74" s="151"/>
      <c r="M74" s="151"/>
    </row>
    <row r="75" spans="1:13" ht="15" customHeight="1" x14ac:dyDescent="0.3">
      <c r="A75" s="151"/>
      <c r="B75" s="67">
        <v>11</v>
      </c>
      <c r="C75" s="294" t="str">
        <f>IF('INPUT DATA'!N21="","",'INPUT DATA'!N21)</f>
        <v/>
      </c>
      <c r="D75" s="226"/>
      <c r="E75" s="226"/>
      <c r="F75" s="117" t="str">
        <f>IF('TERM 1'!AW80="","",'TERM 1'!AW80)</f>
        <v/>
      </c>
      <c r="G75" s="117" t="str">
        <f>IF('TERM 2'!AW80="","",'TERM 2'!AW80)</f>
        <v/>
      </c>
      <c r="H75" s="120" t="str">
        <f>IF('TERM 3'!AW80="","",'TERM 3'!AW80)</f>
        <v/>
      </c>
      <c r="I75" s="194" t="str">
        <f t="shared" si="1"/>
        <v/>
      </c>
      <c r="J75" s="105" t="str">
        <f>IF(I75="","",IFERROR(VLOOKUP(I75,HELPER!$F$8:$G$48,2,FALSE),""))</f>
        <v/>
      </c>
      <c r="K75" s="106"/>
      <c r="L75" s="151"/>
      <c r="M75" s="151"/>
    </row>
    <row r="76" spans="1:13" ht="15" customHeight="1" x14ac:dyDescent="0.3">
      <c r="A76" s="151"/>
      <c r="B76" s="67">
        <v>12</v>
      </c>
      <c r="C76" s="294" t="str">
        <f>IF('INPUT DATA'!N22="","",'INPUT DATA'!N22)</f>
        <v/>
      </c>
      <c r="D76" s="226"/>
      <c r="E76" s="226"/>
      <c r="F76" s="117" t="str">
        <f>IF('TERM 1'!AW81="","",'TERM 1'!AW81)</f>
        <v/>
      </c>
      <c r="G76" s="117" t="str">
        <f>IF('TERM 2'!AW81="","",'TERM 2'!AW81)</f>
        <v/>
      </c>
      <c r="H76" s="120" t="str">
        <f>IF('TERM 3'!AW81="","",'TERM 3'!AW81)</f>
        <v/>
      </c>
      <c r="I76" s="194" t="str">
        <f t="shared" si="1"/>
        <v/>
      </c>
      <c r="J76" s="105" t="str">
        <f>IF(I76="","",IFERROR(VLOOKUP(I76,HELPER!$F$8:$G$48,2,FALSE),""))</f>
        <v/>
      </c>
      <c r="K76" s="106"/>
      <c r="L76" s="151"/>
      <c r="M76" s="151"/>
    </row>
    <row r="77" spans="1:13" ht="15" customHeight="1" x14ac:dyDescent="0.3">
      <c r="A77" s="151"/>
      <c r="B77" s="67">
        <v>13</v>
      </c>
      <c r="C77" s="294" t="str">
        <f>IF('INPUT DATA'!N23="","",'INPUT DATA'!N23)</f>
        <v/>
      </c>
      <c r="D77" s="226"/>
      <c r="E77" s="226"/>
      <c r="F77" s="117" t="str">
        <f>IF('TERM 1'!AW82="","",'TERM 1'!AW82)</f>
        <v/>
      </c>
      <c r="G77" s="117" t="str">
        <f>IF('TERM 2'!AW82="","",'TERM 2'!AW82)</f>
        <v/>
      </c>
      <c r="H77" s="120" t="str">
        <f>IF('TERM 3'!AW82="","",'TERM 3'!AW82)</f>
        <v/>
      </c>
      <c r="I77" s="194" t="str">
        <f t="shared" si="1"/>
        <v/>
      </c>
      <c r="J77" s="105" t="str">
        <f>IF(I77="","",IFERROR(VLOOKUP(I77,HELPER!$F$8:$G$48,2,FALSE),""))</f>
        <v/>
      </c>
      <c r="K77" s="106"/>
      <c r="L77" s="151"/>
      <c r="M77" s="151"/>
    </row>
    <row r="78" spans="1:13" ht="15" customHeight="1" x14ac:dyDescent="0.3">
      <c r="A78" s="151"/>
      <c r="B78" s="67">
        <v>14</v>
      </c>
      <c r="C78" s="294" t="str">
        <f>IF('INPUT DATA'!N24="","",'INPUT DATA'!N24)</f>
        <v/>
      </c>
      <c r="D78" s="226"/>
      <c r="E78" s="226"/>
      <c r="F78" s="117" t="str">
        <f>IF('TERM 1'!AW83="","",'TERM 1'!AW83)</f>
        <v/>
      </c>
      <c r="G78" s="117" t="str">
        <f>IF('TERM 2'!AW83="","",'TERM 2'!AW83)</f>
        <v/>
      </c>
      <c r="H78" s="120" t="str">
        <f>IF('TERM 3'!AW83="","",'TERM 3'!AW83)</f>
        <v/>
      </c>
      <c r="I78" s="194" t="str">
        <f t="shared" si="1"/>
        <v/>
      </c>
      <c r="J78" s="105" t="str">
        <f>IF(I78="","",IFERROR(VLOOKUP(I78,HELPER!$F$8:$G$48,2,FALSE),""))</f>
        <v/>
      </c>
      <c r="K78" s="106"/>
      <c r="L78" s="151"/>
      <c r="M78" s="151"/>
    </row>
    <row r="79" spans="1:13" ht="15" customHeight="1" x14ac:dyDescent="0.3">
      <c r="A79" s="151"/>
      <c r="B79" s="67">
        <v>15</v>
      </c>
      <c r="C79" s="294" t="str">
        <f>IF('INPUT DATA'!N25="","",'INPUT DATA'!N25)</f>
        <v/>
      </c>
      <c r="D79" s="226"/>
      <c r="E79" s="226"/>
      <c r="F79" s="117" t="str">
        <f>IF('TERM 1'!AW84="","",'TERM 1'!AW84)</f>
        <v/>
      </c>
      <c r="G79" s="117" t="str">
        <f>IF('TERM 2'!AW84="","",'TERM 2'!AW84)</f>
        <v/>
      </c>
      <c r="H79" s="120" t="str">
        <f>IF('TERM 3'!AW84="","",'TERM 3'!AW84)</f>
        <v/>
      </c>
      <c r="I79" s="194" t="str">
        <f t="shared" si="1"/>
        <v/>
      </c>
      <c r="J79" s="105" t="str">
        <f>IF(I79="","",IFERROR(VLOOKUP(I79,HELPER!$F$8:$G$48,2,FALSE),""))</f>
        <v/>
      </c>
      <c r="K79" s="106"/>
      <c r="L79" s="151"/>
      <c r="M79" s="151"/>
    </row>
    <row r="80" spans="1:13" ht="15" customHeight="1" x14ac:dyDescent="0.3">
      <c r="A80" s="151"/>
      <c r="B80" s="67">
        <v>16</v>
      </c>
      <c r="C80" s="294" t="str">
        <f>IF('INPUT DATA'!N26="","",'INPUT DATA'!N26)</f>
        <v/>
      </c>
      <c r="D80" s="226"/>
      <c r="E80" s="226"/>
      <c r="F80" s="117" t="str">
        <f>IF('TERM 1'!AW85="","",'TERM 1'!AW85)</f>
        <v/>
      </c>
      <c r="G80" s="117" t="str">
        <f>IF('TERM 2'!AW85="","",'TERM 2'!AW85)</f>
        <v/>
      </c>
      <c r="H80" s="120" t="str">
        <f>IF('TERM 3'!AW85="","",'TERM 3'!AW85)</f>
        <v/>
      </c>
      <c r="I80" s="194" t="str">
        <f t="shared" si="1"/>
        <v/>
      </c>
      <c r="J80" s="105" t="str">
        <f>IF(I80="","",IFERROR(VLOOKUP(I80,HELPER!$F$8:$G$48,2,FALSE),""))</f>
        <v/>
      </c>
      <c r="K80" s="106"/>
      <c r="L80" s="151"/>
      <c r="M80" s="151"/>
    </row>
    <row r="81" spans="1:13" ht="15" customHeight="1" x14ac:dyDescent="0.3">
      <c r="A81" s="151"/>
      <c r="B81" s="67">
        <v>17</v>
      </c>
      <c r="C81" s="294" t="str">
        <f>IF('INPUT DATA'!N27="","",'INPUT DATA'!N27)</f>
        <v/>
      </c>
      <c r="D81" s="226"/>
      <c r="E81" s="226"/>
      <c r="F81" s="117" t="str">
        <f>IF('TERM 1'!AW86="","",'TERM 1'!AW86)</f>
        <v/>
      </c>
      <c r="G81" s="117" t="str">
        <f>IF('TERM 2'!AW86="","",'TERM 2'!AW86)</f>
        <v/>
      </c>
      <c r="H81" s="120" t="str">
        <f>IF('TERM 3'!AW86="","",'TERM 3'!AW86)</f>
        <v/>
      </c>
      <c r="I81" s="194" t="str">
        <f t="shared" si="1"/>
        <v/>
      </c>
      <c r="J81" s="105" t="str">
        <f>IF(I81="","",IFERROR(VLOOKUP(I81,HELPER!$F$8:$G$48,2,FALSE),""))</f>
        <v/>
      </c>
      <c r="K81" s="106"/>
      <c r="L81" s="151"/>
      <c r="M81" s="151"/>
    </row>
    <row r="82" spans="1:13" ht="15" customHeight="1" x14ac:dyDescent="0.3">
      <c r="A82" s="151"/>
      <c r="B82" s="67">
        <v>18</v>
      </c>
      <c r="C82" s="294" t="str">
        <f>IF('INPUT DATA'!N28="","",'INPUT DATA'!N28)</f>
        <v/>
      </c>
      <c r="D82" s="226"/>
      <c r="E82" s="226"/>
      <c r="F82" s="117" t="str">
        <f>IF('TERM 1'!AW87="","",'TERM 1'!AW87)</f>
        <v/>
      </c>
      <c r="G82" s="117" t="str">
        <f>IF('TERM 2'!AW87="","",'TERM 2'!AW87)</f>
        <v/>
      </c>
      <c r="H82" s="120" t="str">
        <f>IF('TERM 3'!AW87="","",'TERM 3'!AW87)</f>
        <v/>
      </c>
      <c r="I82" s="194" t="str">
        <f t="shared" si="1"/>
        <v/>
      </c>
      <c r="J82" s="105" t="str">
        <f>IF(I82="","",IFERROR(VLOOKUP(I82,HELPER!$F$8:$G$48,2,FALSE),""))</f>
        <v/>
      </c>
      <c r="K82" s="106"/>
      <c r="L82" s="151"/>
      <c r="M82" s="151"/>
    </row>
    <row r="83" spans="1:13" ht="15" customHeight="1" x14ac:dyDescent="0.3">
      <c r="A83" s="151"/>
      <c r="B83" s="67">
        <v>19</v>
      </c>
      <c r="C83" s="294" t="str">
        <f>IF('INPUT DATA'!N29="","",'INPUT DATA'!N29)</f>
        <v/>
      </c>
      <c r="D83" s="226"/>
      <c r="E83" s="226"/>
      <c r="F83" s="117" t="str">
        <f>IF('TERM 1'!AW88="","",'TERM 1'!AW88)</f>
        <v/>
      </c>
      <c r="G83" s="117" t="str">
        <f>IF('TERM 2'!AW88="","",'TERM 2'!AW88)</f>
        <v/>
      </c>
      <c r="H83" s="120" t="str">
        <f>IF('TERM 3'!AW88="","",'TERM 3'!AW88)</f>
        <v/>
      </c>
      <c r="I83" s="194" t="str">
        <f t="shared" si="1"/>
        <v/>
      </c>
      <c r="J83" s="105" t="str">
        <f>IF(I83="","",IFERROR(VLOOKUP(I83,HELPER!$F$8:$G$48,2,FALSE),""))</f>
        <v/>
      </c>
      <c r="K83" s="106"/>
      <c r="L83" s="151"/>
      <c r="M83" s="151"/>
    </row>
    <row r="84" spans="1:13" ht="15" customHeight="1" x14ac:dyDescent="0.3">
      <c r="A84" s="151"/>
      <c r="B84" s="68">
        <v>20</v>
      </c>
      <c r="C84" s="294" t="str">
        <f>IF('INPUT DATA'!N30="","",'INPUT DATA'!N30)</f>
        <v/>
      </c>
      <c r="D84" s="226"/>
      <c r="E84" s="226"/>
      <c r="F84" s="117" t="str">
        <f>IF('TERM 1'!AW89="","",'TERM 1'!AW89)</f>
        <v/>
      </c>
      <c r="G84" s="117" t="str">
        <f>IF('TERM 2'!AW89="","",'TERM 2'!AW89)</f>
        <v/>
      </c>
      <c r="H84" s="120" t="str">
        <f>IF('TERM 3'!AW89="","",'TERM 3'!AW89)</f>
        <v/>
      </c>
      <c r="I84" s="194" t="str">
        <f t="shared" si="1"/>
        <v/>
      </c>
      <c r="J84" s="105" t="str">
        <f>IF(I84="","",IFERROR(VLOOKUP(I84,HELPER!$F$8:$G$48,2,FALSE),""))</f>
        <v/>
      </c>
      <c r="K84" s="106"/>
      <c r="L84" s="151"/>
      <c r="M84" s="151"/>
    </row>
    <row r="85" spans="1:13" ht="15" customHeight="1" x14ac:dyDescent="0.3">
      <c r="A85" s="151"/>
      <c r="B85" s="68">
        <v>21</v>
      </c>
      <c r="C85" s="294" t="str">
        <f>IF('INPUT DATA'!N31="","",'INPUT DATA'!N31)</f>
        <v/>
      </c>
      <c r="D85" s="226"/>
      <c r="E85" s="226"/>
      <c r="F85" s="117" t="str">
        <f>IF('TERM 1'!AW90="","",'TERM 1'!AW90)</f>
        <v/>
      </c>
      <c r="G85" s="117" t="str">
        <f>IF('TERM 2'!AW90="","",'TERM 2'!AW90)</f>
        <v/>
      </c>
      <c r="H85" s="120" t="str">
        <f>IF('TERM 3'!AW90="","",'TERM 3'!AW90)</f>
        <v/>
      </c>
      <c r="I85" s="194" t="str">
        <f t="shared" si="1"/>
        <v/>
      </c>
      <c r="J85" s="105" t="str">
        <f>IF(I85="","",IFERROR(VLOOKUP(I85,HELPER!$F$8:$G$48,2,FALSE),""))</f>
        <v/>
      </c>
      <c r="K85" s="106"/>
      <c r="L85" s="151"/>
      <c r="M85" s="151"/>
    </row>
    <row r="86" spans="1:13" ht="15" customHeight="1" x14ac:dyDescent="0.3">
      <c r="A86" s="151"/>
      <c r="B86" s="68">
        <v>22</v>
      </c>
      <c r="C86" s="294" t="str">
        <f>IF('INPUT DATA'!N32="","",'INPUT DATA'!N32)</f>
        <v/>
      </c>
      <c r="D86" s="226"/>
      <c r="E86" s="226"/>
      <c r="F86" s="117" t="str">
        <f>IF('TERM 1'!AW91="","",'TERM 1'!AW91)</f>
        <v/>
      </c>
      <c r="G86" s="117" t="str">
        <f>IF('TERM 2'!AW91="","",'TERM 2'!AW91)</f>
        <v/>
      </c>
      <c r="H86" s="120" t="str">
        <f>IF('TERM 3'!AW91="","",'TERM 3'!AW91)</f>
        <v/>
      </c>
      <c r="I86" s="194" t="str">
        <f t="shared" si="1"/>
        <v/>
      </c>
      <c r="J86" s="105" t="str">
        <f>IF(I86="","",IFERROR(VLOOKUP(I86,HELPER!$F$8:$G$48,2,FALSE),""))</f>
        <v/>
      </c>
      <c r="K86" s="106"/>
      <c r="L86" s="151"/>
      <c r="M86" s="151"/>
    </row>
    <row r="87" spans="1:13" ht="15" customHeight="1" x14ac:dyDescent="0.3">
      <c r="A87" s="151"/>
      <c r="B87" s="68">
        <v>23</v>
      </c>
      <c r="C87" s="294" t="str">
        <f>IF('INPUT DATA'!N33="","",'INPUT DATA'!N33)</f>
        <v/>
      </c>
      <c r="D87" s="226"/>
      <c r="E87" s="226"/>
      <c r="F87" s="117" t="str">
        <f>IF('TERM 1'!AW92="","",'TERM 1'!AW92)</f>
        <v/>
      </c>
      <c r="G87" s="117" t="str">
        <f>IF('TERM 2'!AW92="","",'TERM 2'!AW92)</f>
        <v/>
      </c>
      <c r="H87" s="120" t="str">
        <f>IF('TERM 3'!AW92="","",'TERM 3'!AW92)</f>
        <v/>
      </c>
      <c r="I87" s="194" t="str">
        <f t="shared" si="1"/>
        <v/>
      </c>
      <c r="J87" s="105" t="str">
        <f>IF(I87="","",IFERROR(VLOOKUP(I87,HELPER!$F$8:$G$48,2,FALSE),""))</f>
        <v/>
      </c>
      <c r="K87" s="106"/>
      <c r="L87" s="151"/>
      <c r="M87" s="151"/>
    </row>
    <row r="88" spans="1:13" ht="15" customHeight="1" x14ac:dyDescent="0.3">
      <c r="A88" s="151"/>
      <c r="B88" s="68">
        <v>24</v>
      </c>
      <c r="C88" s="294" t="str">
        <f>IF('INPUT DATA'!N34="","",'INPUT DATA'!N34)</f>
        <v/>
      </c>
      <c r="D88" s="226"/>
      <c r="E88" s="226"/>
      <c r="F88" s="117" t="str">
        <f>IF('TERM 1'!AW93="","",'TERM 1'!AW93)</f>
        <v/>
      </c>
      <c r="G88" s="117" t="str">
        <f>IF('TERM 2'!AW93="","",'TERM 2'!AW93)</f>
        <v/>
      </c>
      <c r="H88" s="120" t="str">
        <f>IF('TERM 3'!AW93="","",'TERM 3'!AW93)</f>
        <v/>
      </c>
      <c r="I88" s="194" t="str">
        <f t="shared" si="1"/>
        <v/>
      </c>
      <c r="J88" s="105" t="str">
        <f>IF(I88="","",IFERROR(VLOOKUP(I88,HELPER!$F$8:$G$48,2,FALSE),""))</f>
        <v/>
      </c>
      <c r="K88" s="106"/>
      <c r="L88" s="151"/>
      <c r="M88" s="151"/>
    </row>
    <row r="89" spans="1:13" ht="15" customHeight="1" x14ac:dyDescent="0.3">
      <c r="A89" s="151"/>
      <c r="B89" s="68">
        <v>25</v>
      </c>
      <c r="C89" s="294" t="str">
        <f>IF('INPUT DATA'!N35="","",'INPUT DATA'!N35)</f>
        <v/>
      </c>
      <c r="D89" s="226"/>
      <c r="E89" s="226"/>
      <c r="F89" s="117" t="str">
        <f>IF('TERM 1'!AW94="","",'TERM 1'!AW94)</f>
        <v/>
      </c>
      <c r="G89" s="117" t="str">
        <f>IF('TERM 2'!AW94="","",'TERM 2'!AW94)</f>
        <v/>
      </c>
      <c r="H89" s="120" t="str">
        <f>IF('TERM 3'!AW94="","",'TERM 3'!AW94)</f>
        <v/>
      </c>
      <c r="I89" s="194" t="str">
        <f t="shared" si="1"/>
        <v/>
      </c>
      <c r="J89" s="105" t="str">
        <f>IF(I89="","",IFERROR(VLOOKUP(I89,HELPER!$F$8:$G$48,2,FALSE),""))</f>
        <v/>
      </c>
      <c r="K89" s="106"/>
      <c r="L89" s="151"/>
      <c r="M89" s="151"/>
    </row>
    <row r="90" spans="1:13" ht="15" customHeight="1" x14ac:dyDescent="0.3">
      <c r="A90" s="151"/>
      <c r="B90" s="68">
        <v>26</v>
      </c>
      <c r="C90" s="294" t="str">
        <f>IF('INPUT DATA'!N36="","",'INPUT DATA'!N36)</f>
        <v/>
      </c>
      <c r="D90" s="226"/>
      <c r="E90" s="226"/>
      <c r="F90" s="117" t="str">
        <f>IF('TERM 1'!AW95="","",'TERM 1'!AW95)</f>
        <v/>
      </c>
      <c r="G90" s="117" t="str">
        <f>IF('TERM 2'!AW95="","",'TERM 2'!AW95)</f>
        <v/>
      </c>
      <c r="H90" s="120" t="str">
        <f>IF('TERM 3'!AW95="","",'TERM 3'!AW95)</f>
        <v/>
      </c>
      <c r="I90" s="194" t="str">
        <f t="shared" si="1"/>
        <v/>
      </c>
      <c r="J90" s="105" t="str">
        <f>IF(I90="","",IFERROR(VLOOKUP(I90,HELPER!$F$8:$G$48,2,FALSE),""))</f>
        <v/>
      </c>
      <c r="K90" s="106"/>
      <c r="L90" s="151"/>
      <c r="M90" s="151"/>
    </row>
    <row r="91" spans="1:13" ht="15" customHeight="1" x14ac:dyDescent="0.3">
      <c r="A91" s="151"/>
      <c r="B91" s="68">
        <v>27</v>
      </c>
      <c r="C91" s="294" t="str">
        <f>IF('INPUT DATA'!N37="","",'INPUT DATA'!N37)</f>
        <v/>
      </c>
      <c r="D91" s="226"/>
      <c r="E91" s="226"/>
      <c r="F91" s="117" t="str">
        <f>IF('TERM 1'!AW96="","",'TERM 1'!AW96)</f>
        <v/>
      </c>
      <c r="G91" s="117" t="str">
        <f>IF('TERM 2'!AW96="","",'TERM 2'!AW96)</f>
        <v/>
      </c>
      <c r="H91" s="120" t="str">
        <f>IF('TERM 3'!AW96="","",'TERM 3'!AW96)</f>
        <v/>
      </c>
      <c r="I91" s="194" t="str">
        <f t="shared" si="1"/>
        <v/>
      </c>
      <c r="J91" s="105" t="str">
        <f>IF(I91="","",IFERROR(VLOOKUP(I91,HELPER!$F$8:$G$48,2,FALSE),""))</f>
        <v/>
      </c>
      <c r="K91" s="106"/>
      <c r="L91" s="151"/>
      <c r="M91" s="151"/>
    </row>
    <row r="92" spans="1:13" ht="15" customHeight="1" x14ac:dyDescent="0.3">
      <c r="A92" s="151"/>
      <c r="B92" s="68">
        <v>28</v>
      </c>
      <c r="C92" s="294" t="str">
        <f>IF('INPUT DATA'!N38="","",'INPUT DATA'!N38)</f>
        <v/>
      </c>
      <c r="D92" s="226"/>
      <c r="E92" s="226"/>
      <c r="F92" s="117" t="str">
        <f>IF('TERM 1'!AW97="","",'TERM 1'!AW97)</f>
        <v/>
      </c>
      <c r="G92" s="117" t="str">
        <f>IF('TERM 2'!AW97="","",'TERM 2'!AW97)</f>
        <v/>
      </c>
      <c r="H92" s="120" t="str">
        <f>IF('TERM 3'!AW97="","",'TERM 3'!AW97)</f>
        <v/>
      </c>
      <c r="I92" s="194" t="str">
        <f t="shared" si="1"/>
        <v/>
      </c>
      <c r="J92" s="105" t="str">
        <f>IF(I92="","",IFERROR(VLOOKUP(I92,HELPER!$F$8:$G$48,2,FALSE),""))</f>
        <v/>
      </c>
      <c r="K92" s="106"/>
      <c r="L92" s="151"/>
      <c r="M92" s="151"/>
    </row>
    <row r="93" spans="1:13" ht="15" customHeight="1" x14ac:dyDescent="0.3">
      <c r="A93" s="151"/>
      <c r="B93" s="68">
        <v>29</v>
      </c>
      <c r="C93" s="294" t="str">
        <f>IF('INPUT DATA'!N39="","",'INPUT DATA'!N39)</f>
        <v/>
      </c>
      <c r="D93" s="226"/>
      <c r="E93" s="226"/>
      <c r="F93" s="117" t="str">
        <f>IF('TERM 1'!AW98="","",'TERM 1'!AW98)</f>
        <v/>
      </c>
      <c r="G93" s="117" t="str">
        <f>IF('TERM 2'!AW98="","",'TERM 2'!AW98)</f>
        <v/>
      </c>
      <c r="H93" s="120" t="str">
        <f>IF('TERM 3'!AW98="","",'TERM 3'!AW98)</f>
        <v/>
      </c>
      <c r="I93" s="194" t="str">
        <f t="shared" si="1"/>
        <v/>
      </c>
      <c r="J93" s="105" t="str">
        <f>IF(I93="","",IFERROR(VLOOKUP(I93,HELPER!$F$8:$G$48,2,FALSE),""))</f>
        <v/>
      </c>
      <c r="K93" s="106"/>
      <c r="L93" s="151"/>
      <c r="M93" s="151"/>
    </row>
    <row r="94" spans="1:13" ht="15" customHeight="1" x14ac:dyDescent="0.3">
      <c r="A94" s="151"/>
      <c r="B94" s="68">
        <v>30</v>
      </c>
      <c r="C94" s="294" t="str">
        <f>IF('INPUT DATA'!N40="","",'INPUT DATA'!N40)</f>
        <v/>
      </c>
      <c r="D94" s="226"/>
      <c r="E94" s="226"/>
      <c r="F94" s="117" t="str">
        <f>IF('TERM 1'!AW99="","",'TERM 1'!AW99)</f>
        <v/>
      </c>
      <c r="G94" s="117" t="str">
        <f>IF('TERM 2'!AW99="","",'TERM 2'!AW99)</f>
        <v/>
      </c>
      <c r="H94" s="120" t="str">
        <f>IF('TERM 3'!AW99="","",'TERM 3'!AW99)</f>
        <v/>
      </c>
      <c r="I94" s="194" t="str">
        <f t="shared" si="1"/>
        <v/>
      </c>
      <c r="J94" s="105" t="str">
        <f>IF(I94="","",IFERROR(VLOOKUP(I94,HELPER!$F$8:$G$48,2,FALSE),""))</f>
        <v/>
      </c>
      <c r="K94" s="106"/>
      <c r="L94" s="151"/>
      <c r="M94" s="151"/>
    </row>
    <row r="95" spans="1:13" ht="15" customHeight="1" x14ac:dyDescent="0.3">
      <c r="A95" s="151"/>
      <c r="B95" s="68">
        <v>31</v>
      </c>
      <c r="C95" s="294" t="str">
        <f>IF('INPUT DATA'!N41="","",'INPUT DATA'!N41)</f>
        <v/>
      </c>
      <c r="D95" s="226"/>
      <c r="E95" s="226"/>
      <c r="F95" s="117" t="str">
        <f>IF('TERM 1'!AW100="","",'TERM 1'!AW100)</f>
        <v/>
      </c>
      <c r="G95" s="117" t="str">
        <f>IF('TERM 2'!AW100="","",'TERM 2'!AW100)</f>
        <v/>
      </c>
      <c r="H95" s="120" t="str">
        <f>IF('TERM 3'!AW100="","",'TERM 3'!AW100)</f>
        <v/>
      </c>
      <c r="I95" s="194" t="str">
        <f t="shared" si="1"/>
        <v/>
      </c>
      <c r="J95" s="105" t="str">
        <f>IF(I95="","",IFERROR(VLOOKUP(I95,HELPER!$F$8:$G$48,2,FALSE),""))</f>
        <v/>
      </c>
      <c r="K95" s="106"/>
      <c r="L95" s="151"/>
      <c r="M95" s="151"/>
    </row>
    <row r="96" spans="1:13" ht="15" customHeight="1" x14ac:dyDescent="0.3">
      <c r="A96" s="151"/>
      <c r="B96" s="68">
        <v>32</v>
      </c>
      <c r="C96" s="294" t="str">
        <f>IF('INPUT DATA'!N42="","",'INPUT DATA'!N42)</f>
        <v/>
      </c>
      <c r="D96" s="226"/>
      <c r="E96" s="226"/>
      <c r="F96" s="117" t="str">
        <f>IF('TERM 1'!AW101="","",'TERM 1'!AW101)</f>
        <v/>
      </c>
      <c r="G96" s="117" t="str">
        <f>IF('TERM 2'!AW101="","",'TERM 2'!AW101)</f>
        <v/>
      </c>
      <c r="H96" s="120" t="str">
        <f>IF('TERM 3'!AW101="","",'TERM 3'!AW101)</f>
        <v/>
      </c>
      <c r="I96" s="194" t="str">
        <f t="shared" si="1"/>
        <v/>
      </c>
      <c r="J96" s="105" t="str">
        <f>IF(I96="","",IFERROR(VLOOKUP(I96,HELPER!$F$8:$G$48,2,FALSE),""))</f>
        <v/>
      </c>
      <c r="K96" s="106"/>
      <c r="L96" s="151"/>
      <c r="M96" s="151"/>
    </row>
    <row r="97" spans="1:13" ht="15" customHeight="1" x14ac:dyDescent="0.3">
      <c r="A97" s="151"/>
      <c r="B97" s="68">
        <v>33</v>
      </c>
      <c r="C97" s="294" t="str">
        <f>IF('INPUT DATA'!N43="","",'INPUT DATA'!N43)</f>
        <v/>
      </c>
      <c r="D97" s="226"/>
      <c r="E97" s="226"/>
      <c r="F97" s="117" t="str">
        <f>IF('TERM 1'!AW102="","",'TERM 1'!AW102)</f>
        <v/>
      </c>
      <c r="G97" s="117" t="str">
        <f>IF('TERM 2'!AW102="","",'TERM 2'!AW102)</f>
        <v/>
      </c>
      <c r="H97" s="120" t="str">
        <f>IF('TERM 3'!AW102="","",'TERM 3'!AW102)</f>
        <v/>
      </c>
      <c r="I97" s="194" t="str">
        <f t="shared" si="1"/>
        <v/>
      </c>
      <c r="J97" s="105" t="str">
        <f>IF(I97="","",IFERROR(VLOOKUP(I97,HELPER!$F$8:$G$48,2,FALSE),""))</f>
        <v/>
      </c>
      <c r="K97" s="106"/>
      <c r="L97" s="151"/>
      <c r="M97" s="151"/>
    </row>
    <row r="98" spans="1:13" ht="15" customHeight="1" x14ac:dyDescent="0.3">
      <c r="A98" s="151"/>
      <c r="B98" s="68">
        <v>34</v>
      </c>
      <c r="C98" s="294" t="str">
        <f>IF('INPUT DATA'!N44="","",'INPUT DATA'!N44)</f>
        <v/>
      </c>
      <c r="D98" s="226"/>
      <c r="E98" s="226"/>
      <c r="F98" s="117" t="str">
        <f>IF('TERM 1'!AW103="","",'TERM 1'!AW103)</f>
        <v/>
      </c>
      <c r="G98" s="117" t="str">
        <f>IF('TERM 2'!AW103="","",'TERM 2'!AW103)</f>
        <v/>
      </c>
      <c r="H98" s="120" t="str">
        <f>IF('TERM 3'!AW103="","",'TERM 3'!AW103)</f>
        <v/>
      </c>
      <c r="I98" s="194" t="str">
        <f t="shared" si="1"/>
        <v/>
      </c>
      <c r="J98" s="105" t="str">
        <f>IF(I98="","",IFERROR(VLOOKUP(I98,HELPER!$F$8:$G$48,2,FALSE),""))</f>
        <v/>
      </c>
      <c r="K98" s="106"/>
      <c r="L98" s="151"/>
      <c r="M98" s="151"/>
    </row>
    <row r="99" spans="1:13" ht="15" customHeight="1" x14ac:dyDescent="0.3">
      <c r="A99" s="151"/>
      <c r="B99" s="68">
        <v>35</v>
      </c>
      <c r="C99" s="294" t="str">
        <f>IF('INPUT DATA'!N45="","",'INPUT DATA'!N45)</f>
        <v/>
      </c>
      <c r="D99" s="226"/>
      <c r="E99" s="226"/>
      <c r="F99" s="117" t="str">
        <f>IF('TERM 1'!AW104="","",'TERM 1'!AW104)</f>
        <v/>
      </c>
      <c r="G99" s="117" t="str">
        <f>IF('TERM 2'!AW104="","",'TERM 2'!AW104)</f>
        <v/>
      </c>
      <c r="H99" s="120" t="str">
        <f>IF('TERM 3'!AW104="","",'TERM 3'!AW104)</f>
        <v/>
      </c>
      <c r="I99" s="194" t="str">
        <f t="shared" si="1"/>
        <v/>
      </c>
      <c r="J99" s="105" t="str">
        <f>IF(I99="","",IFERROR(VLOOKUP(I99,HELPER!$F$8:$G$48,2,FALSE),""))</f>
        <v/>
      </c>
      <c r="K99" s="106"/>
      <c r="L99" s="151"/>
      <c r="M99" s="151"/>
    </row>
    <row r="100" spans="1:13" ht="15" customHeight="1" x14ac:dyDescent="0.3">
      <c r="A100" s="151"/>
      <c r="B100" s="68">
        <v>36</v>
      </c>
      <c r="C100" s="294" t="str">
        <f>IF('INPUT DATA'!N46="","",'INPUT DATA'!N46)</f>
        <v/>
      </c>
      <c r="D100" s="226"/>
      <c r="E100" s="226"/>
      <c r="F100" s="117" t="str">
        <f>IF('TERM 1'!AW105="","",'TERM 1'!AW105)</f>
        <v/>
      </c>
      <c r="G100" s="117" t="str">
        <f>IF('TERM 2'!AW105="","",'TERM 2'!AW105)</f>
        <v/>
      </c>
      <c r="H100" s="120" t="str">
        <f>IF('TERM 3'!AW105="","",'TERM 3'!AW105)</f>
        <v/>
      </c>
      <c r="I100" s="194" t="str">
        <f t="shared" si="1"/>
        <v/>
      </c>
      <c r="J100" s="105" t="str">
        <f>IF(I100="","",IFERROR(VLOOKUP(I100,HELPER!$F$8:$G$48,2,FALSE),""))</f>
        <v/>
      </c>
      <c r="K100" s="106"/>
      <c r="L100" s="151"/>
      <c r="M100" s="151"/>
    </row>
    <row r="101" spans="1:13" ht="15" customHeight="1" x14ac:dyDescent="0.3">
      <c r="A101" s="151"/>
      <c r="B101" s="68">
        <v>37</v>
      </c>
      <c r="C101" s="294" t="str">
        <f>IF('INPUT DATA'!N47="","",'INPUT DATA'!N47)</f>
        <v/>
      </c>
      <c r="D101" s="226"/>
      <c r="E101" s="226"/>
      <c r="F101" s="117" t="str">
        <f>IF('TERM 1'!AW106="","",'TERM 1'!AW106)</f>
        <v/>
      </c>
      <c r="G101" s="117" t="str">
        <f>IF('TERM 2'!AW106="","",'TERM 2'!AW106)</f>
        <v/>
      </c>
      <c r="H101" s="120" t="str">
        <f>IF('TERM 3'!AW106="","",'TERM 3'!AW106)</f>
        <v/>
      </c>
      <c r="I101" s="194" t="str">
        <f t="shared" si="1"/>
        <v/>
      </c>
      <c r="J101" s="105" t="str">
        <f>IF(I101="","",IFERROR(VLOOKUP(I101,HELPER!$F$8:$G$48,2,FALSE),""))</f>
        <v/>
      </c>
      <c r="K101" s="106"/>
      <c r="L101" s="151"/>
      <c r="M101" s="151"/>
    </row>
    <row r="102" spans="1:13" ht="15" customHeight="1" x14ac:dyDescent="0.3">
      <c r="A102" s="151"/>
      <c r="B102" s="68">
        <v>38</v>
      </c>
      <c r="C102" s="294" t="str">
        <f>IF('INPUT DATA'!N48="","",'INPUT DATA'!N48)</f>
        <v/>
      </c>
      <c r="D102" s="226"/>
      <c r="E102" s="226"/>
      <c r="F102" s="117" t="str">
        <f>IF('TERM 1'!AW107="","",'TERM 1'!AW107)</f>
        <v/>
      </c>
      <c r="G102" s="117" t="str">
        <f>IF('TERM 2'!AW107="","",'TERM 2'!AW107)</f>
        <v/>
      </c>
      <c r="H102" s="120" t="str">
        <f>IF('TERM 3'!AW107="","",'TERM 3'!AW107)</f>
        <v/>
      </c>
      <c r="I102" s="194" t="str">
        <f t="shared" si="1"/>
        <v/>
      </c>
      <c r="J102" s="105" t="str">
        <f>IF(I102="","",IFERROR(VLOOKUP(I102,HELPER!$F$8:$G$48,2,FALSE),""))</f>
        <v/>
      </c>
      <c r="K102" s="106"/>
      <c r="L102" s="151"/>
      <c r="M102" s="151"/>
    </row>
    <row r="103" spans="1:13" ht="15" customHeight="1" x14ac:dyDescent="0.3">
      <c r="A103" s="151"/>
      <c r="B103" s="68">
        <v>39</v>
      </c>
      <c r="C103" s="294" t="str">
        <f>IF('INPUT DATA'!N49="","",'INPUT DATA'!N49)</f>
        <v/>
      </c>
      <c r="D103" s="226"/>
      <c r="E103" s="226"/>
      <c r="F103" s="117" t="str">
        <f>IF('TERM 1'!AW108="","",'TERM 1'!AW108)</f>
        <v/>
      </c>
      <c r="G103" s="117" t="str">
        <f>IF('TERM 2'!AW108="","",'TERM 2'!AW108)</f>
        <v/>
      </c>
      <c r="H103" s="120" t="str">
        <f>IF('TERM 3'!AW108="","",'TERM 3'!AW108)</f>
        <v/>
      </c>
      <c r="I103" s="194" t="str">
        <f t="shared" si="1"/>
        <v/>
      </c>
      <c r="J103" s="105" t="str">
        <f>IF(I103="","",IFERROR(VLOOKUP(I103,HELPER!$F$8:$G$48,2,FALSE),""))</f>
        <v/>
      </c>
      <c r="K103" s="106"/>
      <c r="L103" s="151"/>
      <c r="M103" s="151"/>
    </row>
    <row r="104" spans="1:13" ht="15" customHeight="1" x14ac:dyDescent="0.3">
      <c r="A104" s="151"/>
      <c r="B104" s="68">
        <v>40</v>
      </c>
      <c r="C104" s="294" t="str">
        <f>IF('INPUT DATA'!N50="","",'INPUT DATA'!N50)</f>
        <v/>
      </c>
      <c r="D104" s="226"/>
      <c r="E104" s="226"/>
      <c r="F104" s="117" t="str">
        <f>IF('TERM 1'!AW109="","",'TERM 1'!AW109)</f>
        <v/>
      </c>
      <c r="G104" s="117" t="str">
        <f>IF('TERM 2'!AW109="","",'TERM 2'!AW109)</f>
        <v/>
      </c>
      <c r="H104" s="120" t="str">
        <f>IF('TERM 3'!AW109="","",'TERM 3'!AW109)</f>
        <v/>
      </c>
      <c r="I104" s="194" t="str">
        <f t="shared" si="1"/>
        <v/>
      </c>
      <c r="J104" s="105" t="str">
        <f>IF(I104="","",IFERROR(VLOOKUP(I104,HELPER!$F$8:$G$48,2,FALSE),""))</f>
        <v/>
      </c>
      <c r="K104" s="106"/>
      <c r="L104" s="151"/>
      <c r="M104" s="151"/>
    </row>
    <row r="105" spans="1:13" ht="15" customHeight="1" x14ac:dyDescent="0.3">
      <c r="A105" s="151"/>
      <c r="B105" s="68">
        <v>41</v>
      </c>
      <c r="C105" s="294" t="str">
        <f>IF('INPUT DATA'!N51="","",'INPUT DATA'!N51)</f>
        <v/>
      </c>
      <c r="D105" s="226"/>
      <c r="E105" s="226"/>
      <c r="F105" s="117" t="str">
        <f>IF('TERM 1'!AW110="","",'TERM 1'!AW110)</f>
        <v/>
      </c>
      <c r="G105" s="117" t="str">
        <f>IF('TERM 2'!AW110="","",'TERM 2'!AW110)</f>
        <v/>
      </c>
      <c r="H105" s="120" t="str">
        <f>IF('TERM 3'!AW110="","",'TERM 3'!AW110)</f>
        <v/>
      </c>
      <c r="I105" s="194" t="str">
        <f t="shared" si="1"/>
        <v/>
      </c>
      <c r="J105" s="105" t="str">
        <f>IF(I105="","",IFERROR(VLOOKUP(I105,HELPER!$F$8:$G$48,2,FALSE),""))</f>
        <v/>
      </c>
      <c r="K105" s="106"/>
      <c r="L105" s="151"/>
      <c r="M105" s="151"/>
    </row>
    <row r="106" spans="1:13" ht="15" customHeight="1" x14ac:dyDescent="0.3">
      <c r="A106" s="151"/>
      <c r="B106" s="68">
        <v>42</v>
      </c>
      <c r="C106" s="294" t="str">
        <f>IF('INPUT DATA'!N52="","",'INPUT DATA'!N52)</f>
        <v/>
      </c>
      <c r="D106" s="226"/>
      <c r="E106" s="226"/>
      <c r="F106" s="117" t="str">
        <f>IF('TERM 1'!AW111="","",'TERM 1'!AW111)</f>
        <v/>
      </c>
      <c r="G106" s="117" t="str">
        <f>IF('TERM 2'!AW111="","",'TERM 2'!AW111)</f>
        <v/>
      </c>
      <c r="H106" s="120" t="str">
        <f>IF('TERM 3'!AW111="","",'TERM 3'!AW111)</f>
        <v/>
      </c>
      <c r="I106" s="194" t="str">
        <f t="shared" si="1"/>
        <v/>
      </c>
      <c r="J106" s="105" t="str">
        <f>IF(I106="","",IFERROR(VLOOKUP(I106,HELPER!$F$8:$G$48,2,FALSE),""))</f>
        <v/>
      </c>
      <c r="K106" s="106"/>
      <c r="L106" s="151"/>
      <c r="M106" s="151"/>
    </row>
    <row r="107" spans="1:13" ht="15" customHeight="1" x14ac:dyDescent="0.3">
      <c r="A107" s="151"/>
      <c r="B107" s="68">
        <v>43</v>
      </c>
      <c r="C107" s="294" t="str">
        <f>IF('INPUT DATA'!N53="","",'INPUT DATA'!N53)</f>
        <v/>
      </c>
      <c r="D107" s="226"/>
      <c r="E107" s="226"/>
      <c r="F107" s="117" t="str">
        <f>IF('TERM 1'!AW112="","",'TERM 1'!AW112)</f>
        <v/>
      </c>
      <c r="G107" s="117" t="str">
        <f>IF('TERM 2'!AW112="","",'TERM 2'!AW112)</f>
        <v/>
      </c>
      <c r="H107" s="120" t="str">
        <f>IF('TERM 3'!AW112="","",'TERM 3'!AW112)</f>
        <v/>
      </c>
      <c r="I107" s="194" t="str">
        <f t="shared" si="1"/>
        <v/>
      </c>
      <c r="J107" s="105" t="str">
        <f>IF(I107="","",IFERROR(VLOOKUP(I107,HELPER!$F$8:$G$48,2,FALSE),""))</f>
        <v/>
      </c>
      <c r="K107" s="106"/>
      <c r="L107" s="151"/>
      <c r="M107" s="151"/>
    </row>
    <row r="108" spans="1:13" ht="15" customHeight="1" x14ac:dyDescent="0.3">
      <c r="A108" s="151"/>
      <c r="B108" s="68">
        <v>44</v>
      </c>
      <c r="C108" s="294" t="str">
        <f>IF('INPUT DATA'!N54="","",'INPUT DATA'!N54)</f>
        <v/>
      </c>
      <c r="D108" s="226"/>
      <c r="E108" s="226"/>
      <c r="F108" s="117" t="str">
        <f>IF('TERM 1'!AW113="","",'TERM 1'!AW113)</f>
        <v/>
      </c>
      <c r="G108" s="117" t="str">
        <f>IF('TERM 2'!AW113="","",'TERM 2'!AW113)</f>
        <v/>
      </c>
      <c r="H108" s="120" t="str">
        <f>IF('TERM 3'!AW113="","",'TERM 3'!AW113)</f>
        <v/>
      </c>
      <c r="I108" s="194" t="str">
        <f t="shared" si="1"/>
        <v/>
      </c>
      <c r="J108" s="105" t="str">
        <f>IF(I108="","",IFERROR(VLOOKUP(I108,HELPER!$F$8:$G$48,2,FALSE),""))</f>
        <v/>
      </c>
      <c r="K108" s="106"/>
      <c r="L108" s="151"/>
      <c r="M108" s="151"/>
    </row>
    <row r="109" spans="1:13" ht="15" customHeight="1" x14ac:dyDescent="0.3">
      <c r="A109" s="151"/>
      <c r="B109" s="68">
        <v>45</v>
      </c>
      <c r="C109" s="294" t="str">
        <f>IF('INPUT DATA'!N55="","",'INPUT DATA'!N55)</f>
        <v/>
      </c>
      <c r="D109" s="226"/>
      <c r="E109" s="226"/>
      <c r="F109" s="117" t="str">
        <f>IF('TERM 1'!AW114="","",'TERM 1'!AW114)</f>
        <v/>
      </c>
      <c r="G109" s="117" t="str">
        <f>IF('TERM 2'!AW114="","",'TERM 2'!AW114)</f>
        <v/>
      </c>
      <c r="H109" s="120" t="str">
        <f>IF('TERM 3'!AW114="","",'TERM 3'!AW114)</f>
        <v/>
      </c>
      <c r="I109" s="194" t="str">
        <f t="shared" si="1"/>
        <v/>
      </c>
      <c r="J109" s="105" t="str">
        <f>IF(I109="","",IFERROR(VLOOKUP(I109,HELPER!$F$8:$G$48,2,FALSE),""))</f>
        <v/>
      </c>
      <c r="K109" s="106"/>
      <c r="L109" s="151"/>
      <c r="M109" s="151"/>
    </row>
    <row r="110" spans="1:13" ht="15" customHeight="1" x14ac:dyDescent="0.3">
      <c r="A110" s="151"/>
      <c r="B110" s="68">
        <v>46</v>
      </c>
      <c r="C110" s="294" t="str">
        <f>IF('INPUT DATA'!N56="","",'INPUT DATA'!N56)</f>
        <v/>
      </c>
      <c r="D110" s="226"/>
      <c r="E110" s="226"/>
      <c r="F110" s="117" t="str">
        <f>IF('TERM 1'!AW115="","",'TERM 1'!AW115)</f>
        <v/>
      </c>
      <c r="G110" s="117" t="str">
        <f>IF('TERM 2'!AW115="","",'TERM 2'!AW115)</f>
        <v/>
      </c>
      <c r="H110" s="120" t="str">
        <f>IF('TERM 3'!AW115="","",'TERM 3'!AW115)</f>
        <v/>
      </c>
      <c r="I110" s="194" t="str">
        <f t="shared" si="1"/>
        <v/>
      </c>
      <c r="J110" s="105" t="str">
        <f>IF(I110="","",IFERROR(VLOOKUP(I110,HELPER!$F$8:$G$48,2,FALSE),""))</f>
        <v/>
      </c>
      <c r="K110" s="106"/>
      <c r="L110" s="151"/>
      <c r="M110" s="151"/>
    </row>
    <row r="111" spans="1:13" ht="15" customHeight="1" x14ac:dyDescent="0.3">
      <c r="A111" s="151"/>
      <c r="B111" s="68">
        <v>47</v>
      </c>
      <c r="C111" s="294" t="str">
        <f>IF('INPUT DATA'!N57="","",'INPUT DATA'!N57)</f>
        <v/>
      </c>
      <c r="D111" s="226"/>
      <c r="E111" s="226"/>
      <c r="F111" s="117" t="str">
        <f>IF('TERM 1'!AW116="","",'TERM 1'!AW116)</f>
        <v/>
      </c>
      <c r="G111" s="117" t="str">
        <f>IF('TERM 2'!AW116="","",'TERM 2'!AW116)</f>
        <v/>
      </c>
      <c r="H111" s="120" t="str">
        <f>IF('TERM 3'!AW116="","",'TERM 3'!AW116)</f>
        <v/>
      </c>
      <c r="I111" s="194" t="str">
        <f t="shared" si="1"/>
        <v/>
      </c>
      <c r="J111" s="105" t="str">
        <f>IF(I111="","",IFERROR(VLOOKUP(I111,HELPER!$F$8:$G$48,2,FALSE),""))</f>
        <v/>
      </c>
      <c r="K111" s="106"/>
      <c r="L111" s="151"/>
      <c r="M111" s="151"/>
    </row>
    <row r="112" spans="1:13" ht="15" customHeight="1" x14ac:dyDescent="0.3">
      <c r="A112" s="151"/>
      <c r="B112" s="68">
        <v>48</v>
      </c>
      <c r="C112" s="294" t="str">
        <f>IF('INPUT DATA'!N58="","",'INPUT DATA'!N58)</f>
        <v/>
      </c>
      <c r="D112" s="226"/>
      <c r="E112" s="226"/>
      <c r="F112" s="117" t="str">
        <f>IF('TERM 1'!AW117="","",'TERM 1'!AW117)</f>
        <v/>
      </c>
      <c r="G112" s="117" t="str">
        <f>IF('TERM 2'!AW117="","",'TERM 2'!AW117)</f>
        <v/>
      </c>
      <c r="H112" s="120" t="str">
        <f>IF('TERM 3'!AW117="","",'TERM 3'!AW117)</f>
        <v/>
      </c>
      <c r="I112" s="194" t="str">
        <f t="shared" si="1"/>
        <v/>
      </c>
      <c r="J112" s="105" t="str">
        <f>IF(I112="","",IFERROR(VLOOKUP(I112,HELPER!$F$8:$G$48,2,FALSE),""))</f>
        <v/>
      </c>
      <c r="K112" s="106"/>
      <c r="L112" s="151"/>
      <c r="M112" s="151"/>
    </row>
    <row r="113" spans="1:13" ht="15" customHeight="1" x14ac:dyDescent="0.3">
      <c r="A113" s="151"/>
      <c r="B113" s="68">
        <v>49</v>
      </c>
      <c r="C113" s="294" t="str">
        <f>IF('INPUT DATA'!N59="","",'INPUT DATA'!N59)</f>
        <v/>
      </c>
      <c r="D113" s="226"/>
      <c r="E113" s="226"/>
      <c r="F113" s="117" t="str">
        <f>IF('TERM 1'!AW118="","",'TERM 1'!AW118)</f>
        <v/>
      </c>
      <c r="G113" s="117" t="str">
        <f>IF('TERM 2'!AW118="","",'TERM 2'!AW118)</f>
        <v/>
      </c>
      <c r="H113" s="120" t="str">
        <f>IF('TERM 3'!AW118="","",'TERM 3'!AW118)</f>
        <v/>
      </c>
      <c r="I113" s="194" t="str">
        <f t="shared" si="1"/>
        <v/>
      </c>
      <c r="J113" s="105" t="str">
        <f>IF(I113="","",IFERROR(VLOOKUP(I113,HELPER!$F$8:$G$48,2,FALSE),""))</f>
        <v/>
      </c>
      <c r="K113" s="106"/>
      <c r="L113" s="151"/>
      <c r="M113" s="151"/>
    </row>
    <row r="114" spans="1:13" ht="15" customHeight="1" thickBot="1" x14ac:dyDescent="0.35">
      <c r="A114" s="151"/>
      <c r="B114" s="69">
        <v>50</v>
      </c>
      <c r="C114" s="307" t="str">
        <f>IF('INPUT DATA'!N60="","",'INPUT DATA'!N60)</f>
        <v/>
      </c>
      <c r="D114" s="308"/>
      <c r="E114" s="308"/>
      <c r="F114" s="118" t="str">
        <f>IF('TERM 1'!AW119="","",'TERM 1'!AW119)</f>
        <v/>
      </c>
      <c r="G114" s="118" t="str">
        <f>IF('TERM 2'!AW119="","",'TERM 2'!AW119)</f>
        <v/>
      </c>
      <c r="H114" s="107" t="str">
        <f>IF('TERM 3'!AW119="","",'TERM 3'!AW119)</f>
        <v/>
      </c>
      <c r="I114" s="195" t="str">
        <f t="shared" si="1"/>
        <v/>
      </c>
      <c r="J114" s="108" t="str">
        <f>IF(I114="","",IFERROR(VLOOKUP(I114,HELPER!$F$8:$G$48,2,FALSE),""))</f>
        <v/>
      </c>
      <c r="K114" s="109"/>
      <c r="L114" s="151"/>
      <c r="M114" s="151"/>
    </row>
    <row r="115" spans="1:13" ht="13.25" customHeight="1" x14ac:dyDescent="0.25">
      <c r="A115" s="151"/>
      <c r="B115" s="151"/>
      <c r="C115" s="312"/>
      <c r="D115" s="209"/>
      <c r="E115" s="209"/>
      <c r="F115" s="151"/>
      <c r="G115" s="151"/>
      <c r="H115" s="151"/>
      <c r="I115" s="151"/>
      <c r="J115" s="151"/>
      <c r="K115" s="151"/>
      <c r="L115" s="151"/>
      <c r="M115" s="151"/>
    </row>
    <row r="116" spans="1:13" ht="13.25" customHeight="1" x14ac:dyDescent="0.25">
      <c r="A116" s="151"/>
      <c r="B116" s="151"/>
      <c r="C116" s="151"/>
      <c r="D116" s="151"/>
      <c r="E116" s="151"/>
      <c r="F116" s="151"/>
      <c r="G116" s="151"/>
      <c r="H116" s="151"/>
      <c r="I116" s="151"/>
      <c r="J116" s="151"/>
      <c r="K116" s="151"/>
      <c r="L116" s="151"/>
      <c r="M116" s="151"/>
    </row>
    <row r="117" spans="1:13" ht="13.25" customHeight="1" x14ac:dyDescent="0.25">
      <c r="F117" s="18"/>
      <c r="G117" s="18"/>
      <c r="H117" s="18"/>
      <c r="I117" s="18"/>
      <c r="J117" s="18"/>
      <c r="K117" s="18"/>
    </row>
  </sheetData>
  <sheetProtection algorithmName="SHA-512" hashValue="CJJV99cIhc6IzwzGun4ZfsFn0V/oL7d4UGA7E5ixuovYcLFjXw756mmjG/LcMAxVnGwOvlX62Rbqe014i15rbQ==" saltValue="duqJKPb9j2uONYCcDFgF1A==" spinCount="100000" sheet="1" objects="1" scenarios="1" formatCells="0" formatColumns="0" formatRows="0"/>
  <mergeCells count="122">
    <mergeCell ref="J5:K5"/>
    <mergeCell ref="C93:E93"/>
    <mergeCell ref="C56:E56"/>
    <mergeCell ref="C90:E90"/>
    <mergeCell ref="B64:K64"/>
    <mergeCell ref="C105:E105"/>
    <mergeCell ref="C43:E43"/>
    <mergeCell ref="D6:H6"/>
    <mergeCell ref="C27:E27"/>
    <mergeCell ref="C76:E76"/>
    <mergeCell ref="J6:K6"/>
    <mergeCell ref="C17:E17"/>
    <mergeCell ref="C82:E82"/>
    <mergeCell ref="C66:E66"/>
    <mergeCell ref="C19:E19"/>
    <mergeCell ref="C102:E102"/>
    <mergeCell ref="C53:E53"/>
    <mergeCell ref="I9:K9"/>
    <mergeCell ref="B10:C10"/>
    <mergeCell ref="G5:H5"/>
    <mergeCell ref="C86:E86"/>
    <mergeCell ref="C68:E68"/>
    <mergeCell ref="C83:E83"/>
    <mergeCell ref="C58:E58"/>
    <mergeCell ref="N13:Q13"/>
    <mergeCell ref="C55:E55"/>
    <mergeCell ref="B2:K3"/>
    <mergeCell ref="C115:E115"/>
    <mergeCell ref="C36:E36"/>
    <mergeCell ref="K11:K12"/>
    <mergeCell ref="D10:G10"/>
    <mergeCell ref="C67:E67"/>
    <mergeCell ref="C72:E72"/>
    <mergeCell ref="C28:E28"/>
    <mergeCell ref="C37:E37"/>
    <mergeCell ref="C69:E69"/>
    <mergeCell ref="C96:E96"/>
    <mergeCell ref="C78:E78"/>
    <mergeCell ref="C92:E92"/>
    <mergeCell ref="B9:C9"/>
    <mergeCell ref="C30:E30"/>
    <mergeCell ref="C62:E62"/>
    <mergeCell ref="C14:E14"/>
    <mergeCell ref="C98:E98"/>
    <mergeCell ref="C107:E107"/>
    <mergeCell ref="D5:E5"/>
    <mergeCell ref="C54:E54"/>
    <mergeCell ref="C41:E41"/>
    <mergeCell ref="C114:E114"/>
    <mergeCell ref="C59:E59"/>
    <mergeCell ref="C46:E46"/>
    <mergeCell ref="C65:E65"/>
    <mergeCell ref="C52:E52"/>
    <mergeCell ref="C61:E61"/>
    <mergeCell ref="C39:E39"/>
    <mergeCell ref="C70:E70"/>
    <mergeCell ref="C48:E48"/>
    <mergeCell ref="C106:E106"/>
    <mergeCell ref="C81:E81"/>
    <mergeCell ref="C87:E87"/>
    <mergeCell ref="C89:E89"/>
    <mergeCell ref="C104:E104"/>
    <mergeCell ref="C79:E79"/>
    <mergeCell ref="C73:E73"/>
    <mergeCell ref="C88:E88"/>
    <mergeCell ref="C63:E63"/>
    <mergeCell ref="C50:E50"/>
    <mergeCell ref="C110:E110"/>
    <mergeCell ref="C111:E111"/>
    <mergeCell ref="C108:E108"/>
    <mergeCell ref="C45:E45"/>
    <mergeCell ref="C97:E97"/>
    <mergeCell ref="C113:E113"/>
    <mergeCell ref="C20:E20"/>
    <mergeCell ref="C103:E103"/>
    <mergeCell ref="C25:E25"/>
    <mergeCell ref="C85:E85"/>
    <mergeCell ref="C112:E112"/>
    <mergeCell ref="C99:E99"/>
    <mergeCell ref="C94:E94"/>
    <mergeCell ref="C75:E75"/>
    <mergeCell ref="C84:E84"/>
    <mergeCell ref="C22:E22"/>
    <mergeCell ref="C32:E32"/>
    <mergeCell ref="C38:E38"/>
    <mergeCell ref="C24:E24"/>
    <mergeCell ref="C33:E33"/>
    <mergeCell ref="C26:E26"/>
    <mergeCell ref="C35:E35"/>
    <mergeCell ref="C29:E29"/>
    <mergeCell ref="C100:E100"/>
    <mergeCell ref="C109:E109"/>
    <mergeCell ref="C47:E47"/>
    <mergeCell ref="C101:E101"/>
    <mergeCell ref="C77:E77"/>
    <mergeCell ref="C34:E34"/>
    <mergeCell ref="B8:K8"/>
    <mergeCell ref="C74:E74"/>
    <mergeCell ref="C15:E15"/>
    <mergeCell ref="F11:H11"/>
    <mergeCell ref="B13:K13"/>
    <mergeCell ref="I11:I12"/>
    <mergeCell ref="C16:E16"/>
    <mergeCell ref="D9:G9"/>
    <mergeCell ref="C44:E44"/>
    <mergeCell ref="I10:K10"/>
    <mergeCell ref="C80:E80"/>
    <mergeCell ref="C31:E31"/>
    <mergeCell ref="C40:E40"/>
    <mergeCell ref="B11:E12"/>
    <mergeCell ref="C21:E21"/>
    <mergeCell ref="C95:E95"/>
    <mergeCell ref="C51:E51"/>
    <mergeCell ref="J11:J12"/>
    <mergeCell ref="C60:E60"/>
    <mergeCell ref="C71:E71"/>
    <mergeCell ref="C23:E23"/>
    <mergeCell ref="C91:E91"/>
    <mergeCell ref="C57:E57"/>
    <mergeCell ref="C18:E18"/>
    <mergeCell ref="C49:E49"/>
    <mergeCell ref="C42:E42"/>
  </mergeCells>
  <pageMargins left="0.7" right="0.7" top="0.75" bottom="0.75" header="0.3" footer="0.3"/>
  <pageSetup paperSize="9" scale="61"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328125" defaultRowHeight="15.75" customHeight="1" x14ac:dyDescent="0.25"/>
  <cols>
    <col min="1" max="1" width="3.90625" style="152" customWidth="1"/>
    <col min="2" max="3" width="15.08984375" style="152" customWidth="1"/>
    <col min="4" max="4" width="21.08984375" style="152" customWidth="1"/>
    <col min="6" max="7" width="17.453125" style="152" customWidth="1"/>
    <col min="8" max="8" width="25.453125" style="152" customWidth="1"/>
    <col min="9" max="9" width="3.90625" style="152" customWidth="1"/>
  </cols>
  <sheetData>
    <row r="2" spans="1:9" ht="37.25" customHeight="1" x14ac:dyDescent="0.75">
      <c r="B2" s="19" t="s">
        <v>49</v>
      </c>
      <c r="C2" s="20"/>
    </row>
    <row r="3" spans="1:9" ht="36" customHeight="1" x14ac:dyDescent="0.6">
      <c r="B3" s="21" t="s">
        <v>50</v>
      </c>
      <c r="C3" s="20"/>
    </row>
    <row r="5" spans="1:9" ht="15.75" customHeight="1" thickBot="1" x14ac:dyDescent="0.3"/>
    <row r="6" spans="1:9" ht="15.75" customHeight="1" thickBot="1" x14ac:dyDescent="0.4">
      <c r="A6" s="22"/>
      <c r="B6" s="322" t="s">
        <v>51</v>
      </c>
      <c r="C6" s="209"/>
      <c r="D6" s="209"/>
      <c r="E6" s="23"/>
      <c r="F6" s="324" t="s">
        <v>44</v>
      </c>
      <c r="G6" s="214"/>
      <c r="H6" s="215"/>
      <c r="I6" s="22"/>
    </row>
    <row r="7" spans="1:9" ht="15.75" customHeight="1" thickBot="1" x14ac:dyDescent="0.4">
      <c r="B7" s="55" t="s">
        <v>52</v>
      </c>
      <c r="C7" s="56" t="s">
        <v>53</v>
      </c>
      <c r="D7" s="57" t="s">
        <v>54</v>
      </c>
      <c r="E7" s="23"/>
      <c r="F7" s="60" t="s">
        <v>55</v>
      </c>
      <c r="G7" s="61" t="s">
        <v>27</v>
      </c>
      <c r="H7" s="62" t="s">
        <v>56</v>
      </c>
    </row>
    <row r="8" spans="1:9" ht="15.75" customHeight="1" x14ac:dyDescent="0.35">
      <c r="B8" s="52">
        <v>99.5</v>
      </c>
      <c r="C8" s="53">
        <v>100</v>
      </c>
      <c r="D8" s="54">
        <v>100</v>
      </c>
      <c r="F8" s="58">
        <v>100</v>
      </c>
      <c r="G8" s="59" t="s">
        <v>57</v>
      </c>
      <c r="H8" s="323" t="s">
        <v>58</v>
      </c>
    </row>
    <row r="9" spans="1:9" ht="15.75" customHeight="1" x14ac:dyDescent="0.35">
      <c r="B9" s="46">
        <v>98.32</v>
      </c>
      <c r="C9" s="42">
        <v>99.49</v>
      </c>
      <c r="D9" s="45">
        <v>99</v>
      </c>
      <c r="F9" s="24">
        <v>99</v>
      </c>
      <c r="G9" s="25" t="s">
        <v>57</v>
      </c>
      <c r="H9" s="318"/>
    </row>
    <row r="10" spans="1:9" ht="15.75" customHeight="1" x14ac:dyDescent="0.35">
      <c r="B10" s="46">
        <v>97.14</v>
      </c>
      <c r="C10" s="42">
        <v>98.31</v>
      </c>
      <c r="D10" s="45">
        <v>98</v>
      </c>
      <c r="F10" s="24">
        <v>98</v>
      </c>
      <c r="G10" s="25" t="s">
        <v>57</v>
      </c>
      <c r="H10" s="318"/>
    </row>
    <row r="11" spans="1:9" ht="15.75" customHeight="1" x14ac:dyDescent="0.35">
      <c r="B11" s="46">
        <v>95.96</v>
      </c>
      <c r="C11" s="42">
        <v>97.13</v>
      </c>
      <c r="D11" s="45">
        <v>97</v>
      </c>
      <c r="F11" s="24">
        <v>97</v>
      </c>
      <c r="G11" s="25" t="s">
        <v>57</v>
      </c>
      <c r="H11" s="318"/>
    </row>
    <row r="12" spans="1:9" ht="15.75" customHeight="1" x14ac:dyDescent="0.35">
      <c r="B12" s="46">
        <v>94.78</v>
      </c>
      <c r="C12" s="42">
        <v>95.95</v>
      </c>
      <c r="D12" s="45">
        <v>96</v>
      </c>
      <c r="F12" s="24">
        <v>96</v>
      </c>
      <c r="G12" s="25" t="s">
        <v>57</v>
      </c>
      <c r="H12" s="318"/>
    </row>
    <row r="13" spans="1:9" ht="15.75" customHeight="1" x14ac:dyDescent="0.35">
      <c r="B13" s="44">
        <v>93.6</v>
      </c>
      <c r="C13" s="42">
        <v>94.77</v>
      </c>
      <c r="D13" s="45">
        <v>95</v>
      </c>
      <c r="F13" s="24">
        <v>95</v>
      </c>
      <c r="G13" s="25" t="s">
        <v>57</v>
      </c>
      <c r="H13" s="318"/>
    </row>
    <row r="14" spans="1:9" ht="15.75" customHeight="1" x14ac:dyDescent="0.35">
      <c r="B14" s="46">
        <v>92.42</v>
      </c>
      <c r="C14" s="42">
        <v>93.59</v>
      </c>
      <c r="D14" s="45">
        <v>94</v>
      </c>
      <c r="F14" s="24">
        <v>94</v>
      </c>
      <c r="G14" s="25" t="s">
        <v>57</v>
      </c>
      <c r="H14" s="318"/>
    </row>
    <row r="15" spans="1:9" ht="15.75" customHeight="1" x14ac:dyDescent="0.35">
      <c r="B15" s="46">
        <v>91.24</v>
      </c>
      <c r="C15" s="42">
        <v>92.41</v>
      </c>
      <c r="D15" s="45">
        <v>93</v>
      </c>
      <c r="F15" s="24">
        <v>93</v>
      </c>
      <c r="G15" s="25" t="s">
        <v>57</v>
      </c>
      <c r="H15" s="318"/>
    </row>
    <row r="16" spans="1:9" ht="15.75" customHeight="1" x14ac:dyDescent="0.35">
      <c r="B16" s="46">
        <v>90.06</v>
      </c>
      <c r="C16" s="42">
        <v>91.23</v>
      </c>
      <c r="D16" s="45">
        <v>92</v>
      </c>
      <c r="F16" s="24">
        <v>92</v>
      </c>
      <c r="G16" s="25" t="s">
        <v>57</v>
      </c>
      <c r="H16" s="318"/>
    </row>
    <row r="17" spans="2:8" ht="15.75" customHeight="1" x14ac:dyDescent="0.35">
      <c r="B17" s="46">
        <v>88.88</v>
      </c>
      <c r="C17" s="42">
        <v>90.05</v>
      </c>
      <c r="D17" s="45">
        <v>91</v>
      </c>
      <c r="F17" s="24">
        <v>91</v>
      </c>
      <c r="G17" s="25" t="s">
        <v>57</v>
      </c>
      <c r="H17" s="318"/>
    </row>
    <row r="18" spans="2:8" ht="15.75" customHeight="1" x14ac:dyDescent="0.35">
      <c r="B18" s="44">
        <v>87.7</v>
      </c>
      <c r="C18" s="42">
        <v>88.87</v>
      </c>
      <c r="D18" s="45">
        <v>90</v>
      </c>
      <c r="F18" s="24">
        <v>90</v>
      </c>
      <c r="G18" s="25" t="s">
        <v>57</v>
      </c>
      <c r="H18" s="321"/>
    </row>
    <row r="19" spans="2:8" ht="15.75" customHeight="1" x14ac:dyDescent="0.35">
      <c r="B19" s="46">
        <v>86.52</v>
      </c>
      <c r="C19" s="42">
        <v>87.69</v>
      </c>
      <c r="D19" s="45">
        <v>89</v>
      </c>
      <c r="F19" s="24">
        <v>89</v>
      </c>
      <c r="G19" s="25" t="s">
        <v>59</v>
      </c>
      <c r="H19" s="320" t="s">
        <v>60</v>
      </c>
    </row>
    <row r="20" spans="2:8" ht="15.75" customHeight="1" x14ac:dyDescent="0.35">
      <c r="B20" s="46">
        <v>85.34</v>
      </c>
      <c r="C20" s="42">
        <v>86.51</v>
      </c>
      <c r="D20" s="45">
        <v>88</v>
      </c>
      <c r="F20" s="24">
        <v>88</v>
      </c>
      <c r="G20" s="25" t="s">
        <v>59</v>
      </c>
      <c r="H20" s="318"/>
    </row>
    <row r="21" spans="2:8" ht="15.75" customHeight="1" x14ac:dyDescent="0.35">
      <c r="B21" s="46">
        <v>84.16</v>
      </c>
      <c r="C21" s="42">
        <v>85.33</v>
      </c>
      <c r="D21" s="45">
        <v>87</v>
      </c>
      <c r="F21" s="24">
        <v>87</v>
      </c>
      <c r="G21" s="25" t="s">
        <v>59</v>
      </c>
      <c r="H21" s="318"/>
    </row>
    <row r="22" spans="2:8" ht="15.75" customHeight="1" x14ac:dyDescent="0.35">
      <c r="B22" s="46">
        <v>82.98</v>
      </c>
      <c r="C22" s="42">
        <v>84.15</v>
      </c>
      <c r="D22" s="45">
        <v>86</v>
      </c>
      <c r="F22" s="24">
        <v>86</v>
      </c>
      <c r="G22" s="25" t="s">
        <v>59</v>
      </c>
      <c r="H22" s="318"/>
    </row>
    <row r="23" spans="2:8" ht="15.75" customHeight="1" x14ac:dyDescent="0.35">
      <c r="B23" s="46">
        <v>81.8</v>
      </c>
      <c r="C23" s="42">
        <v>82.97</v>
      </c>
      <c r="D23" s="45">
        <v>85</v>
      </c>
      <c r="F23" s="24">
        <v>85</v>
      </c>
      <c r="G23" s="25" t="s">
        <v>59</v>
      </c>
      <c r="H23" s="318"/>
    </row>
    <row r="24" spans="2:8" ht="15.75" customHeight="1" x14ac:dyDescent="0.35">
      <c r="B24" s="46">
        <v>80.62</v>
      </c>
      <c r="C24" s="42">
        <v>81.790000000000006</v>
      </c>
      <c r="D24" s="45">
        <v>84</v>
      </c>
      <c r="F24" s="24">
        <v>84</v>
      </c>
      <c r="G24" s="25" t="s">
        <v>59</v>
      </c>
      <c r="H24" s="318"/>
    </row>
    <row r="25" spans="2:8" ht="15.75" customHeight="1" x14ac:dyDescent="0.35">
      <c r="B25" s="46">
        <v>79.44</v>
      </c>
      <c r="C25" s="42">
        <v>80.61</v>
      </c>
      <c r="D25" s="45">
        <v>83</v>
      </c>
      <c r="F25" s="24">
        <v>83</v>
      </c>
      <c r="G25" s="25" t="s">
        <v>59</v>
      </c>
      <c r="H25" s="318"/>
    </row>
    <row r="26" spans="2:8" ht="15.75" customHeight="1" x14ac:dyDescent="0.35">
      <c r="B26" s="46">
        <v>78.260000000000005</v>
      </c>
      <c r="C26" s="42">
        <v>79.430000000000007</v>
      </c>
      <c r="D26" s="45">
        <v>82</v>
      </c>
      <c r="F26" s="24">
        <v>82</v>
      </c>
      <c r="G26" s="25" t="s">
        <v>59</v>
      </c>
      <c r="H26" s="318"/>
    </row>
    <row r="27" spans="2:8" ht="15.75" customHeight="1" x14ac:dyDescent="0.35">
      <c r="B27" s="46">
        <v>77.08</v>
      </c>
      <c r="C27" s="42">
        <v>78.25</v>
      </c>
      <c r="D27" s="45">
        <v>81</v>
      </c>
      <c r="F27" s="24">
        <v>81</v>
      </c>
      <c r="G27" s="25" t="s">
        <v>59</v>
      </c>
      <c r="H27" s="318"/>
    </row>
    <row r="28" spans="2:8" ht="15.75" customHeight="1" x14ac:dyDescent="0.35">
      <c r="B28" s="46">
        <v>75.900000000000006</v>
      </c>
      <c r="C28" s="42">
        <v>77.069999999999993</v>
      </c>
      <c r="D28" s="45">
        <v>80</v>
      </c>
      <c r="F28" s="24">
        <v>80</v>
      </c>
      <c r="G28" s="25" t="s">
        <v>59</v>
      </c>
      <c r="H28" s="321"/>
    </row>
    <row r="29" spans="2:8" ht="15.75" customHeight="1" x14ac:dyDescent="0.35">
      <c r="B29" s="46">
        <v>74.72</v>
      </c>
      <c r="C29" s="42">
        <v>75.89</v>
      </c>
      <c r="D29" s="45">
        <v>79</v>
      </c>
      <c r="F29" s="24">
        <v>79</v>
      </c>
      <c r="G29" s="25" t="s">
        <v>61</v>
      </c>
      <c r="H29" s="320" t="s">
        <v>62</v>
      </c>
    </row>
    <row r="30" spans="2:8" ht="15.75" customHeight="1" x14ac:dyDescent="0.35">
      <c r="B30" s="46">
        <v>73.540000000000006</v>
      </c>
      <c r="C30" s="42">
        <v>74.709999999999994</v>
      </c>
      <c r="D30" s="45">
        <v>78</v>
      </c>
      <c r="F30" s="24">
        <v>78</v>
      </c>
      <c r="G30" s="25" t="s">
        <v>61</v>
      </c>
      <c r="H30" s="318"/>
    </row>
    <row r="31" spans="2:8" ht="15.75" customHeight="1" x14ac:dyDescent="0.35">
      <c r="B31" s="46">
        <v>72.36</v>
      </c>
      <c r="C31" s="42">
        <v>73.53</v>
      </c>
      <c r="D31" s="45">
        <v>77</v>
      </c>
      <c r="F31" s="24">
        <v>77</v>
      </c>
      <c r="G31" s="25" t="s">
        <v>61</v>
      </c>
      <c r="H31" s="318"/>
    </row>
    <row r="32" spans="2:8" ht="15.75" customHeight="1" x14ac:dyDescent="0.35">
      <c r="B32" s="46">
        <v>71.180000000000007</v>
      </c>
      <c r="C32" s="42">
        <v>72.349999999999994</v>
      </c>
      <c r="D32" s="45">
        <v>76</v>
      </c>
      <c r="F32" s="24">
        <v>76</v>
      </c>
      <c r="G32" s="25" t="s">
        <v>61</v>
      </c>
      <c r="H32" s="318"/>
    </row>
    <row r="33" spans="2:8" ht="15.75" customHeight="1" x14ac:dyDescent="0.35">
      <c r="B33" s="47">
        <v>70</v>
      </c>
      <c r="C33" s="43">
        <v>71.17</v>
      </c>
      <c r="D33" s="48">
        <v>75</v>
      </c>
      <c r="F33" s="24">
        <v>75</v>
      </c>
      <c r="G33" s="25" t="s">
        <v>61</v>
      </c>
      <c r="H33" s="321"/>
    </row>
    <row r="34" spans="2:8" ht="15.65" customHeight="1" x14ac:dyDescent="0.35">
      <c r="B34" s="46">
        <v>65.34</v>
      </c>
      <c r="C34" s="42">
        <v>69.989999999999995</v>
      </c>
      <c r="D34" s="45">
        <v>74</v>
      </c>
      <c r="F34" s="24">
        <v>74</v>
      </c>
      <c r="G34" s="25" t="s">
        <v>63</v>
      </c>
      <c r="H34" s="320" t="s">
        <v>64</v>
      </c>
    </row>
    <row r="35" spans="2:8" ht="15.65" customHeight="1" x14ac:dyDescent="0.35">
      <c r="B35" s="46">
        <v>60.67</v>
      </c>
      <c r="C35" s="42">
        <v>65.33</v>
      </c>
      <c r="D35" s="45">
        <v>73</v>
      </c>
      <c r="F35" s="24">
        <v>73</v>
      </c>
      <c r="G35" s="25" t="s">
        <v>63</v>
      </c>
      <c r="H35" s="318"/>
    </row>
    <row r="36" spans="2:8" ht="15.65" customHeight="1" x14ac:dyDescent="0.35">
      <c r="B36" s="46">
        <v>56.01</v>
      </c>
      <c r="C36" s="42">
        <v>60.66</v>
      </c>
      <c r="D36" s="45">
        <v>72</v>
      </c>
      <c r="F36" s="24">
        <v>72</v>
      </c>
      <c r="G36" s="25" t="s">
        <v>63</v>
      </c>
      <c r="H36" s="318"/>
    </row>
    <row r="37" spans="2:8" ht="15.65" customHeight="1" x14ac:dyDescent="0.35">
      <c r="B37" s="46">
        <v>51.34</v>
      </c>
      <c r="C37" s="41">
        <v>56</v>
      </c>
      <c r="D37" s="45">
        <v>71</v>
      </c>
      <c r="F37" s="24">
        <v>71</v>
      </c>
      <c r="G37" s="25" t="s">
        <v>63</v>
      </c>
      <c r="H37" s="318"/>
    </row>
    <row r="38" spans="2:8" ht="15.65" customHeight="1" x14ac:dyDescent="0.35">
      <c r="B38" s="46">
        <v>46.67</v>
      </c>
      <c r="C38" s="42">
        <v>51.33</v>
      </c>
      <c r="D38" s="45">
        <v>70</v>
      </c>
      <c r="F38" s="24">
        <v>70</v>
      </c>
      <c r="G38" s="25" t="s">
        <v>63</v>
      </c>
      <c r="H38" s="318"/>
    </row>
    <row r="39" spans="2:8" ht="15.65" customHeight="1" x14ac:dyDescent="0.35">
      <c r="B39" s="46">
        <v>42.01</v>
      </c>
      <c r="C39" s="42">
        <v>46.66</v>
      </c>
      <c r="D39" s="45">
        <v>69</v>
      </c>
      <c r="F39" s="24">
        <v>69</v>
      </c>
      <c r="G39" s="25" t="s">
        <v>63</v>
      </c>
      <c r="H39" s="318"/>
    </row>
    <row r="40" spans="2:8" ht="15.65" customHeight="1" x14ac:dyDescent="0.35">
      <c r="B40" s="46">
        <v>37.340000000000003</v>
      </c>
      <c r="C40" s="41">
        <v>42</v>
      </c>
      <c r="D40" s="45">
        <v>68</v>
      </c>
      <c r="F40" s="24">
        <v>68</v>
      </c>
      <c r="G40" s="25" t="s">
        <v>63</v>
      </c>
      <c r="H40" s="318"/>
    </row>
    <row r="41" spans="2:8" ht="15.65" customHeight="1" x14ac:dyDescent="0.35">
      <c r="B41" s="46">
        <v>32.68</v>
      </c>
      <c r="C41" s="42">
        <v>37.33</v>
      </c>
      <c r="D41" s="45">
        <v>67</v>
      </c>
      <c r="F41" s="24">
        <v>67</v>
      </c>
      <c r="G41" s="25" t="s">
        <v>63</v>
      </c>
      <c r="H41" s="318"/>
    </row>
    <row r="42" spans="2:8" ht="15.65" customHeight="1" x14ac:dyDescent="0.35">
      <c r="B42" s="46">
        <v>28.01</v>
      </c>
      <c r="C42" s="42">
        <v>32.67</v>
      </c>
      <c r="D42" s="45">
        <v>66</v>
      </c>
      <c r="F42" s="24">
        <v>66</v>
      </c>
      <c r="G42" s="25" t="s">
        <v>63</v>
      </c>
      <c r="H42" s="318"/>
    </row>
    <row r="43" spans="2:8" ht="15.65" customHeight="1" x14ac:dyDescent="0.35">
      <c r="B43" s="46">
        <v>23.35</v>
      </c>
      <c r="C43" s="41">
        <v>28</v>
      </c>
      <c r="D43" s="45">
        <v>65</v>
      </c>
      <c r="F43" s="24">
        <v>65</v>
      </c>
      <c r="G43" s="25" t="s">
        <v>63</v>
      </c>
      <c r="H43" s="321"/>
    </row>
    <row r="44" spans="2:8" ht="15.65" customHeight="1" x14ac:dyDescent="0.35">
      <c r="B44" s="46">
        <v>18.68</v>
      </c>
      <c r="C44" s="42">
        <v>23.34</v>
      </c>
      <c r="D44" s="45">
        <v>64</v>
      </c>
      <c r="F44" s="24">
        <v>64</v>
      </c>
      <c r="G44" s="25" t="s">
        <v>65</v>
      </c>
      <c r="H44" s="317" t="s">
        <v>66</v>
      </c>
    </row>
    <row r="45" spans="2:8" ht="15.65" customHeight="1" x14ac:dyDescent="0.35">
      <c r="B45" s="46">
        <v>14.01</v>
      </c>
      <c r="C45" s="42">
        <v>18.670000000000002</v>
      </c>
      <c r="D45" s="45">
        <v>63</v>
      </c>
      <c r="F45" s="24">
        <v>63</v>
      </c>
      <c r="G45" s="25" t="s">
        <v>65</v>
      </c>
      <c r="H45" s="318"/>
    </row>
    <row r="46" spans="2:8" ht="15.65" customHeight="1" x14ac:dyDescent="0.35">
      <c r="B46" s="46">
        <v>9.35</v>
      </c>
      <c r="C46" s="41">
        <v>14</v>
      </c>
      <c r="D46" s="45">
        <v>62</v>
      </c>
      <c r="F46" s="24">
        <v>62</v>
      </c>
      <c r="G46" s="25" t="s">
        <v>65</v>
      </c>
      <c r="H46" s="318"/>
    </row>
    <row r="47" spans="2:8" ht="15.65" customHeight="1" x14ac:dyDescent="0.35">
      <c r="B47" s="46">
        <v>4.68</v>
      </c>
      <c r="C47" s="42">
        <v>9.34</v>
      </c>
      <c r="D47" s="45">
        <v>61</v>
      </c>
      <c r="F47" s="24">
        <v>61</v>
      </c>
      <c r="G47" s="25" t="s">
        <v>65</v>
      </c>
      <c r="H47" s="318"/>
    </row>
    <row r="48" spans="2:8" ht="16.25" customHeight="1" thickBot="1" x14ac:dyDescent="0.4">
      <c r="B48" s="49">
        <v>0</v>
      </c>
      <c r="C48" s="50">
        <v>4.67</v>
      </c>
      <c r="D48" s="51">
        <v>60</v>
      </c>
      <c r="F48" s="26">
        <v>60</v>
      </c>
      <c r="G48" s="27" t="s">
        <v>65</v>
      </c>
      <c r="H48" s="319"/>
    </row>
    <row r="49" spans="2:8" ht="15" customHeight="1" x14ac:dyDescent="0.25">
      <c r="B49" s="18"/>
      <c r="C49" s="18"/>
      <c r="D49" s="18"/>
      <c r="G49" s="18"/>
      <c r="H49" s="28"/>
    </row>
    <row r="50" spans="2:8" ht="15" customHeight="1" x14ac:dyDescent="0.2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RONEL RAMOS</cp:lastModifiedBy>
  <dcterms:created xsi:type="dcterms:W3CDTF">2026-08-29T07:40:19Z</dcterms:created>
  <dcterms:modified xsi:type="dcterms:W3CDTF">2026-09-04T01:30:06Z</dcterms:modified>
</cp:coreProperties>
</file>