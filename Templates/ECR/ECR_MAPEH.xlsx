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RonkyleSoriano\Desktop\UPDATED\"/>
    </mc:Choice>
  </mc:AlternateContent>
  <xr:revisionPtr revIDLastSave="0" documentId="13_ncr:1_{AA407BAF-AB0A-4917-A33C-7810AF1FC68B}" xr6:coauthVersionLast="47" xr6:coauthVersionMax="47" xr10:uidLastSave="{00000000-0000-0000-0000-000000000000}"/>
  <bookViews>
    <workbookView xWindow="-108" yWindow="-108" windowWidth="23256" windowHeight="12456" tabRatio="723" xr2:uid="{00000000-000D-0000-FFFF-FFFF00000000}"/>
  </bookViews>
  <sheets>
    <sheet name="INPUT DATA" sheetId="1" r:id="rId1"/>
    <sheet name="TERM 1 M and A" sheetId="2" r:id="rId2"/>
    <sheet name="TERM 1 PE and H" sheetId="10" r:id="rId3"/>
    <sheet name="TERM 2 M and A" sheetId="11" r:id="rId4"/>
    <sheet name="TERM 2 PE and H" sheetId="12" r:id="rId5"/>
    <sheet name="TERM 3 M and A" sheetId="13" r:id="rId6"/>
    <sheet name="TERM 3 PE and H" sheetId="14" r:id="rId7"/>
    <sheet name="FINAL GRADES" sheetId="8" r:id="rId8"/>
    <sheet name="HELPER" sheetId="9" r:id="rId9"/>
  </sheets>
  <definedNames>
    <definedName name="_xlnm.Print_Area" localSheetId="1">'TERM 1 M and A'!$B$1:$AD$118</definedName>
    <definedName name="_xlnm.Print_Area" localSheetId="2">'TERM 1 PE and H'!$B$1:$AD$118</definedName>
    <definedName name="_xlnm.Print_Area" localSheetId="3">'TERM 2 M and A'!$B$1:$AD$118</definedName>
    <definedName name="_xlnm.Print_Area" localSheetId="4">'TERM 2 PE and H'!$B$1:$AD$118</definedName>
    <definedName name="_xlnm.Print_Area" localSheetId="5">'TERM 3 M and A'!$B$1:$AD$118</definedName>
    <definedName name="_xlnm.Print_Area" localSheetId="6">'TERM 3 PE and H'!$B$1:$AD$118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10" i="8" l="1"/>
  <c r="L9" i="8"/>
  <c r="D10" i="8"/>
  <c r="D9" i="8"/>
  <c r="O6" i="8"/>
  <c r="O5" i="8"/>
  <c r="I5" i="8"/>
  <c r="D6" i="8"/>
  <c r="D5" i="8"/>
  <c r="AB118" i="14"/>
  <c r="AC118" i="14" s="1"/>
  <c r="AD118" i="14" s="1"/>
  <c r="Z118" i="14"/>
  <c r="AA118" i="14" s="1"/>
  <c r="Y118" i="14"/>
  <c r="X118" i="14"/>
  <c r="W118" i="14"/>
  <c r="R118" i="14"/>
  <c r="S118" i="14" s="1"/>
  <c r="Q118" i="14"/>
  <c r="L118" i="14"/>
  <c r="M118" i="14" s="1"/>
  <c r="K118" i="14"/>
  <c r="C118" i="14"/>
  <c r="AB117" i="14"/>
  <c r="AC117" i="14" s="1"/>
  <c r="AD117" i="14" s="1"/>
  <c r="Z117" i="14"/>
  <c r="AA117" i="14" s="1"/>
  <c r="Y117" i="14"/>
  <c r="X117" i="14"/>
  <c r="W117" i="14"/>
  <c r="R117" i="14"/>
  <c r="S117" i="14" s="1"/>
  <c r="Q117" i="14"/>
  <c r="L117" i="14"/>
  <c r="M117" i="14" s="1"/>
  <c r="K117" i="14"/>
  <c r="C117" i="14"/>
  <c r="AB116" i="14"/>
  <c r="AC116" i="14" s="1"/>
  <c r="Z116" i="14"/>
  <c r="AA116" i="14" s="1"/>
  <c r="Y116" i="14"/>
  <c r="X116" i="14"/>
  <c r="W116" i="14"/>
  <c r="R116" i="14"/>
  <c r="S116" i="14" s="1"/>
  <c r="Q116" i="14"/>
  <c r="L116" i="14"/>
  <c r="M116" i="14" s="1"/>
  <c r="K116" i="14"/>
  <c r="C116" i="14"/>
  <c r="AB115" i="14"/>
  <c r="AC115" i="14" s="1"/>
  <c r="AD115" i="14" s="1"/>
  <c r="Z115" i="14"/>
  <c r="AA115" i="14" s="1"/>
  <c r="Y115" i="14"/>
  <c r="X115" i="14"/>
  <c r="W115" i="14"/>
  <c r="R115" i="14"/>
  <c r="S115" i="14" s="1"/>
  <c r="Q115" i="14"/>
  <c r="L115" i="14"/>
  <c r="M115" i="14" s="1"/>
  <c r="K115" i="14"/>
  <c r="C115" i="14"/>
  <c r="AB114" i="14"/>
  <c r="AC114" i="14" s="1"/>
  <c r="AD114" i="14" s="1"/>
  <c r="Z114" i="14"/>
  <c r="AA114" i="14" s="1"/>
  <c r="Y114" i="14"/>
  <c r="X114" i="14"/>
  <c r="W114" i="14"/>
  <c r="R114" i="14"/>
  <c r="S114" i="14" s="1"/>
  <c r="Q114" i="14"/>
  <c r="M114" i="14"/>
  <c r="L114" i="14"/>
  <c r="K114" i="14"/>
  <c r="C114" i="14"/>
  <c r="AB113" i="14"/>
  <c r="AC113" i="14" s="1"/>
  <c r="Z113" i="14"/>
  <c r="AA113" i="14" s="1"/>
  <c r="Y113" i="14"/>
  <c r="X113" i="14"/>
  <c r="W113" i="14"/>
  <c r="R113" i="14"/>
  <c r="S113" i="14" s="1"/>
  <c r="Q113" i="14"/>
  <c r="L113" i="14"/>
  <c r="M113" i="14" s="1"/>
  <c r="K113" i="14"/>
  <c r="C113" i="14"/>
  <c r="AB112" i="14"/>
  <c r="AC112" i="14" s="1"/>
  <c r="AD112" i="14" s="1"/>
  <c r="Z112" i="14"/>
  <c r="AA112" i="14" s="1"/>
  <c r="Y112" i="14"/>
  <c r="X112" i="14"/>
  <c r="W112" i="14"/>
  <c r="R112" i="14"/>
  <c r="S112" i="14" s="1"/>
  <c r="Q112" i="14"/>
  <c r="L112" i="14"/>
  <c r="M112" i="14" s="1"/>
  <c r="K112" i="14"/>
  <c r="C112" i="14"/>
  <c r="AB111" i="14"/>
  <c r="AC111" i="14" s="1"/>
  <c r="AD111" i="14" s="1"/>
  <c r="Z111" i="14"/>
  <c r="AA111" i="14" s="1"/>
  <c r="Y111" i="14"/>
  <c r="X111" i="14"/>
  <c r="W111" i="14"/>
  <c r="R111" i="14"/>
  <c r="S111" i="14" s="1"/>
  <c r="Q111" i="14"/>
  <c r="L111" i="14"/>
  <c r="M111" i="14" s="1"/>
  <c r="K111" i="14"/>
  <c r="C111" i="14"/>
  <c r="AB110" i="14"/>
  <c r="AC110" i="14" s="1"/>
  <c r="AD110" i="14" s="1"/>
  <c r="Z110" i="14"/>
  <c r="AA110" i="14" s="1"/>
  <c r="Y110" i="14"/>
  <c r="X110" i="14"/>
  <c r="W110" i="14"/>
  <c r="R110" i="14"/>
  <c r="S110" i="14" s="1"/>
  <c r="Q110" i="14"/>
  <c r="L110" i="14"/>
  <c r="M110" i="14" s="1"/>
  <c r="K110" i="14"/>
  <c r="C110" i="14"/>
  <c r="AB109" i="14"/>
  <c r="AC109" i="14" s="1"/>
  <c r="Z109" i="14"/>
  <c r="AA109" i="14" s="1"/>
  <c r="Y109" i="14"/>
  <c r="X109" i="14"/>
  <c r="W109" i="14"/>
  <c r="R109" i="14"/>
  <c r="S109" i="14" s="1"/>
  <c r="Q109" i="14"/>
  <c r="L109" i="14"/>
  <c r="M109" i="14" s="1"/>
  <c r="K109" i="14"/>
  <c r="C109" i="14"/>
  <c r="AB108" i="14"/>
  <c r="AC108" i="14" s="1"/>
  <c r="Z108" i="14"/>
  <c r="AA108" i="14" s="1"/>
  <c r="Y108" i="14"/>
  <c r="X108" i="14"/>
  <c r="W108" i="14"/>
  <c r="S108" i="14"/>
  <c r="R108" i="14"/>
  <c r="Q108" i="14"/>
  <c r="L108" i="14"/>
  <c r="M108" i="14" s="1"/>
  <c r="K108" i="14"/>
  <c r="C108" i="14"/>
  <c r="AB107" i="14"/>
  <c r="AC107" i="14" s="1"/>
  <c r="AD107" i="14" s="1"/>
  <c r="Z107" i="14"/>
  <c r="AA107" i="14" s="1"/>
  <c r="Y107" i="14"/>
  <c r="X107" i="14"/>
  <c r="W107" i="14"/>
  <c r="R107" i="14"/>
  <c r="S107" i="14" s="1"/>
  <c r="Q107" i="14"/>
  <c r="L107" i="14"/>
  <c r="M107" i="14" s="1"/>
  <c r="K107" i="14"/>
  <c r="C107" i="14"/>
  <c r="AB106" i="14"/>
  <c r="AC106" i="14" s="1"/>
  <c r="AD106" i="14" s="1"/>
  <c r="Z106" i="14"/>
  <c r="AA106" i="14" s="1"/>
  <c r="Y106" i="14"/>
  <c r="X106" i="14"/>
  <c r="W106" i="14"/>
  <c r="R106" i="14"/>
  <c r="S106" i="14" s="1"/>
  <c r="Q106" i="14"/>
  <c r="M106" i="14"/>
  <c r="L106" i="14"/>
  <c r="K106" i="14"/>
  <c r="C106" i="14"/>
  <c r="AB105" i="14"/>
  <c r="AC105" i="14" s="1"/>
  <c r="AD105" i="14" s="1"/>
  <c r="Z105" i="14"/>
  <c r="AA105" i="14" s="1"/>
  <c r="Y105" i="14"/>
  <c r="X105" i="14"/>
  <c r="W105" i="14"/>
  <c r="R105" i="14"/>
  <c r="S105" i="14" s="1"/>
  <c r="Q105" i="14"/>
  <c r="L105" i="14"/>
  <c r="M105" i="14" s="1"/>
  <c r="K105" i="14"/>
  <c r="C105" i="14"/>
  <c r="AB104" i="14"/>
  <c r="AC104" i="14" s="1"/>
  <c r="Z104" i="14"/>
  <c r="AA104" i="14" s="1"/>
  <c r="Y104" i="14"/>
  <c r="X104" i="14"/>
  <c r="W104" i="14"/>
  <c r="S104" i="14"/>
  <c r="R104" i="14"/>
  <c r="Q104" i="14"/>
  <c r="L104" i="14"/>
  <c r="M104" i="14" s="1"/>
  <c r="K104" i="14"/>
  <c r="C104" i="14"/>
  <c r="AB103" i="14"/>
  <c r="AC103" i="14" s="1"/>
  <c r="AD103" i="14" s="1"/>
  <c r="Z103" i="14"/>
  <c r="AA103" i="14" s="1"/>
  <c r="Y103" i="14"/>
  <c r="X103" i="14"/>
  <c r="W103" i="14"/>
  <c r="R103" i="14"/>
  <c r="S103" i="14" s="1"/>
  <c r="Q103" i="14"/>
  <c r="L103" i="14"/>
  <c r="M103" i="14" s="1"/>
  <c r="K103" i="14"/>
  <c r="C103" i="14"/>
  <c r="AB102" i="14"/>
  <c r="AC102" i="14" s="1"/>
  <c r="AD102" i="14" s="1"/>
  <c r="Z102" i="14"/>
  <c r="AA102" i="14" s="1"/>
  <c r="Y102" i="14"/>
  <c r="X102" i="14"/>
  <c r="W102" i="14"/>
  <c r="R102" i="14"/>
  <c r="S102" i="14" s="1"/>
  <c r="Q102" i="14"/>
  <c r="M102" i="14"/>
  <c r="L102" i="14"/>
  <c r="K102" i="14"/>
  <c r="C102" i="14"/>
  <c r="AB101" i="14"/>
  <c r="AC101" i="14" s="1"/>
  <c r="Z101" i="14"/>
  <c r="AA101" i="14" s="1"/>
  <c r="Y101" i="14"/>
  <c r="X101" i="14"/>
  <c r="W101" i="14"/>
  <c r="R101" i="14"/>
  <c r="S101" i="14" s="1"/>
  <c r="Q101" i="14"/>
  <c r="L101" i="14"/>
  <c r="M101" i="14" s="1"/>
  <c r="K101" i="14"/>
  <c r="C101" i="14"/>
  <c r="AB100" i="14"/>
  <c r="AC100" i="14" s="1"/>
  <c r="Z100" i="14"/>
  <c r="AA100" i="14" s="1"/>
  <c r="Y100" i="14"/>
  <c r="X100" i="14"/>
  <c r="W100" i="14"/>
  <c r="S100" i="14"/>
  <c r="R100" i="14"/>
  <c r="Q100" i="14"/>
  <c r="L100" i="14"/>
  <c r="M100" i="14" s="1"/>
  <c r="K100" i="14"/>
  <c r="C100" i="14"/>
  <c r="AB99" i="14"/>
  <c r="AC99" i="14" s="1"/>
  <c r="AD99" i="14" s="1"/>
  <c r="Z99" i="14"/>
  <c r="AA99" i="14" s="1"/>
  <c r="Y99" i="14"/>
  <c r="X99" i="14"/>
  <c r="W99" i="14"/>
  <c r="R99" i="14"/>
  <c r="S99" i="14" s="1"/>
  <c r="Q99" i="14"/>
  <c r="L99" i="14"/>
  <c r="M99" i="14" s="1"/>
  <c r="K99" i="14"/>
  <c r="C99" i="14"/>
  <c r="AB98" i="14"/>
  <c r="AC98" i="14" s="1"/>
  <c r="AD98" i="14" s="1"/>
  <c r="Z98" i="14"/>
  <c r="AA98" i="14" s="1"/>
  <c r="Y98" i="14"/>
  <c r="X98" i="14"/>
  <c r="W98" i="14"/>
  <c r="R98" i="14"/>
  <c r="S98" i="14" s="1"/>
  <c r="Q98" i="14"/>
  <c r="L98" i="14"/>
  <c r="M98" i="14" s="1"/>
  <c r="K98" i="14"/>
  <c r="C98" i="14"/>
  <c r="AB97" i="14"/>
  <c r="AC97" i="14" s="1"/>
  <c r="AD97" i="14" s="1"/>
  <c r="Z97" i="14"/>
  <c r="AA97" i="14" s="1"/>
  <c r="Y97" i="14"/>
  <c r="X97" i="14"/>
  <c r="W97" i="14"/>
  <c r="R97" i="14"/>
  <c r="S97" i="14" s="1"/>
  <c r="Q97" i="14"/>
  <c r="M97" i="14"/>
  <c r="L97" i="14"/>
  <c r="K97" i="14"/>
  <c r="C97" i="14"/>
  <c r="AB96" i="14"/>
  <c r="AC96" i="14" s="1"/>
  <c r="AD96" i="14" s="1"/>
  <c r="Z96" i="14"/>
  <c r="AA96" i="14" s="1"/>
  <c r="Y96" i="14"/>
  <c r="X96" i="14"/>
  <c r="W96" i="14"/>
  <c r="S96" i="14"/>
  <c r="R96" i="14"/>
  <c r="Q96" i="14"/>
  <c r="L96" i="14"/>
  <c r="M96" i="14" s="1"/>
  <c r="K96" i="14"/>
  <c r="C96" i="14"/>
  <c r="AB95" i="14"/>
  <c r="AC95" i="14" s="1"/>
  <c r="AD95" i="14" s="1"/>
  <c r="Z95" i="14"/>
  <c r="AA95" i="14" s="1"/>
  <c r="Y95" i="14"/>
  <c r="X95" i="14"/>
  <c r="W95" i="14"/>
  <c r="R95" i="14"/>
  <c r="S95" i="14" s="1"/>
  <c r="Q95" i="14"/>
  <c r="L95" i="14"/>
  <c r="M95" i="14" s="1"/>
  <c r="K95" i="14"/>
  <c r="C95" i="14"/>
  <c r="AB94" i="14"/>
  <c r="AC94" i="14" s="1"/>
  <c r="AD94" i="14" s="1"/>
  <c r="Z94" i="14"/>
  <c r="AA94" i="14" s="1"/>
  <c r="Y94" i="14"/>
  <c r="X94" i="14"/>
  <c r="W94" i="14"/>
  <c r="R94" i="14"/>
  <c r="S94" i="14" s="1"/>
  <c r="Q94" i="14"/>
  <c r="L94" i="14"/>
  <c r="M94" i="14" s="1"/>
  <c r="K94" i="14"/>
  <c r="C94" i="14"/>
  <c r="AB93" i="14"/>
  <c r="AC93" i="14" s="1"/>
  <c r="AD93" i="14" s="1"/>
  <c r="Z93" i="14"/>
  <c r="AA93" i="14" s="1"/>
  <c r="Y93" i="14"/>
  <c r="X93" i="14"/>
  <c r="W93" i="14"/>
  <c r="S93" i="14"/>
  <c r="R93" i="14"/>
  <c r="Q93" i="14"/>
  <c r="M93" i="14"/>
  <c r="L93" i="14"/>
  <c r="K93" i="14"/>
  <c r="C93" i="14"/>
  <c r="AB92" i="14"/>
  <c r="AC92" i="14" s="1"/>
  <c r="Z92" i="14"/>
  <c r="AA92" i="14" s="1"/>
  <c r="Y92" i="14"/>
  <c r="X92" i="14"/>
  <c r="W92" i="14"/>
  <c r="S92" i="14"/>
  <c r="R92" i="14"/>
  <c r="Q92" i="14"/>
  <c r="L92" i="14"/>
  <c r="M92" i="14" s="1"/>
  <c r="K92" i="14"/>
  <c r="C92" i="14"/>
  <c r="AB91" i="14"/>
  <c r="AC91" i="14" s="1"/>
  <c r="AD91" i="14" s="1"/>
  <c r="Z91" i="14"/>
  <c r="AA91" i="14" s="1"/>
  <c r="Y91" i="14"/>
  <c r="X91" i="14"/>
  <c r="W91" i="14"/>
  <c r="R91" i="14"/>
  <c r="S91" i="14" s="1"/>
  <c r="Q91" i="14"/>
  <c r="L91" i="14"/>
  <c r="M91" i="14" s="1"/>
  <c r="K91" i="14"/>
  <c r="C91" i="14"/>
  <c r="AB90" i="14"/>
  <c r="AC90" i="14" s="1"/>
  <c r="AD90" i="14" s="1"/>
  <c r="Z90" i="14"/>
  <c r="AA90" i="14" s="1"/>
  <c r="Y90" i="14"/>
  <c r="X90" i="14"/>
  <c r="W90" i="14"/>
  <c r="R90" i="14"/>
  <c r="S90" i="14" s="1"/>
  <c r="Q90" i="14"/>
  <c r="M90" i="14"/>
  <c r="L90" i="14"/>
  <c r="K90" i="14"/>
  <c r="C90" i="14"/>
  <c r="AB89" i="14"/>
  <c r="AC89" i="14" s="1"/>
  <c r="Z89" i="14"/>
  <c r="AA89" i="14" s="1"/>
  <c r="Y89" i="14"/>
  <c r="X89" i="14"/>
  <c r="W89" i="14"/>
  <c r="R89" i="14"/>
  <c r="S89" i="14" s="1"/>
  <c r="Q89" i="14"/>
  <c r="L89" i="14"/>
  <c r="M89" i="14" s="1"/>
  <c r="K89" i="14"/>
  <c r="C89" i="14"/>
  <c r="AB88" i="14"/>
  <c r="AC88" i="14" s="1"/>
  <c r="AD88" i="14" s="1"/>
  <c r="Z88" i="14"/>
  <c r="AA88" i="14" s="1"/>
  <c r="Y88" i="14"/>
  <c r="X88" i="14"/>
  <c r="W88" i="14"/>
  <c r="R88" i="14"/>
  <c r="S88" i="14" s="1"/>
  <c r="Q88" i="14"/>
  <c r="L88" i="14"/>
  <c r="M88" i="14" s="1"/>
  <c r="K88" i="14"/>
  <c r="C88" i="14"/>
  <c r="AB87" i="14"/>
  <c r="AC87" i="14" s="1"/>
  <c r="AD87" i="14" s="1"/>
  <c r="Z87" i="14"/>
  <c r="AA87" i="14" s="1"/>
  <c r="Y87" i="14"/>
  <c r="X87" i="14"/>
  <c r="W87" i="14"/>
  <c r="R87" i="14"/>
  <c r="S87" i="14" s="1"/>
  <c r="Q87" i="14"/>
  <c r="L87" i="14"/>
  <c r="M87" i="14" s="1"/>
  <c r="K87" i="14"/>
  <c r="C87" i="14"/>
  <c r="AB86" i="14"/>
  <c r="AC86" i="14" s="1"/>
  <c r="AD86" i="14" s="1"/>
  <c r="Z86" i="14"/>
  <c r="AA86" i="14" s="1"/>
  <c r="Y86" i="14"/>
  <c r="X86" i="14"/>
  <c r="W86" i="14"/>
  <c r="R86" i="14"/>
  <c r="S86" i="14" s="1"/>
  <c r="Q86" i="14"/>
  <c r="L86" i="14"/>
  <c r="M86" i="14" s="1"/>
  <c r="K86" i="14"/>
  <c r="C86" i="14"/>
  <c r="AB85" i="14"/>
  <c r="AC85" i="14" s="1"/>
  <c r="Z85" i="14"/>
  <c r="AA85" i="14" s="1"/>
  <c r="Y85" i="14"/>
  <c r="X85" i="14"/>
  <c r="W85" i="14"/>
  <c r="R85" i="14"/>
  <c r="S85" i="14" s="1"/>
  <c r="Q85" i="14"/>
  <c r="L85" i="14"/>
  <c r="M85" i="14" s="1"/>
  <c r="K85" i="14"/>
  <c r="C85" i="14"/>
  <c r="AB84" i="14"/>
  <c r="AC84" i="14" s="1"/>
  <c r="AD84" i="14" s="1"/>
  <c r="Z84" i="14"/>
  <c r="AA84" i="14" s="1"/>
  <c r="Y84" i="14"/>
  <c r="X84" i="14"/>
  <c r="W84" i="14"/>
  <c r="R84" i="14"/>
  <c r="S84" i="14" s="1"/>
  <c r="Q84" i="14"/>
  <c r="L84" i="14"/>
  <c r="M84" i="14" s="1"/>
  <c r="K84" i="14"/>
  <c r="C84" i="14"/>
  <c r="AB83" i="14"/>
  <c r="AC83" i="14" s="1"/>
  <c r="AD83" i="14" s="1"/>
  <c r="Z83" i="14"/>
  <c r="AA83" i="14" s="1"/>
  <c r="Y83" i="14"/>
  <c r="X83" i="14"/>
  <c r="W83" i="14"/>
  <c r="R83" i="14"/>
  <c r="S83" i="14" s="1"/>
  <c r="Q83" i="14"/>
  <c r="L83" i="14"/>
  <c r="M83" i="14" s="1"/>
  <c r="K83" i="14"/>
  <c r="C83" i="14"/>
  <c r="AB82" i="14"/>
  <c r="AC82" i="14" s="1"/>
  <c r="AD82" i="14" s="1"/>
  <c r="Z82" i="14"/>
  <c r="AA82" i="14" s="1"/>
  <c r="Y82" i="14"/>
  <c r="X82" i="14"/>
  <c r="W82" i="14"/>
  <c r="R82" i="14"/>
  <c r="S82" i="14" s="1"/>
  <c r="Q82" i="14"/>
  <c r="M82" i="14"/>
  <c r="L82" i="14"/>
  <c r="K82" i="14"/>
  <c r="C82" i="14"/>
  <c r="AB81" i="14"/>
  <c r="AC81" i="14" s="1"/>
  <c r="AD81" i="14" s="1"/>
  <c r="Z81" i="14"/>
  <c r="AA81" i="14" s="1"/>
  <c r="Y81" i="14"/>
  <c r="X81" i="14"/>
  <c r="W81" i="14"/>
  <c r="S81" i="14"/>
  <c r="R81" i="14"/>
  <c r="Q81" i="14"/>
  <c r="M81" i="14"/>
  <c r="L81" i="14"/>
  <c r="K81" i="14"/>
  <c r="C81" i="14"/>
  <c r="AB80" i="14"/>
  <c r="AC80" i="14" s="1"/>
  <c r="AD80" i="14" s="1"/>
  <c r="Z80" i="14"/>
  <c r="AA80" i="14" s="1"/>
  <c r="Y80" i="14"/>
  <c r="X80" i="14"/>
  <c r="W80" i="14"/>
  <c r="R80" i="14"/>
  <c r="S80" i="14" s="1"/>
  <c r="Q80" i="14"/>
  <c r="L80" i="14"/>
  <c r="M80" i="14" s="1"/>
  <c r="K80" i="14"/>
  <c r="C80" i="14"/>
  <c r="AB79" i="14"/>
  <c r="AC79" i="14" s="1"/>
  <c r="AD79" i="14" s="1"/>
  <c r="Z79" i="14"/>
  <c r="AA79" i="14" s="1"/>
  <c r="Y79" i="14"/>
  <c r="X79" i="14"/>
  <c r="W79" i="14"/>
  <c r="R79" i="14"/>
  <c r="S79" i="14" s="1"/>
  <c r="Q79" i="14"/>
  <c r="L79" i="14"/>
  <c r="M79" i="14" s="1"/>
  <c r="K79" i="14"/>
  <c r="C79" i="14"/>
  <c r="AB78" i="14"/>
  <c r="AC78" i="14" s="1"/>
  <c r="AD78" i="14" s="1"/>
  <c r="Z78" i="14"/>
  <c r="AA78" i="14" s="1"/>
  <c r="Y78" i="14"/>
  <c r="X78" i="14"/>
  <c r="W78" i="14"/>
  <c r="R78" i="14"/>
  <c r="S78" i="14" s="1"/>
  <c r="Q78" i="14"/>
  <c r="M78" i="14"/>
  <c r="L78" i="14"/>
  <c r="K78" i="14"/>
  <c r="C78" i="14"/>
  <c r="AB77" i="14"/>
  <c r="AC77" i="14" s="1"/>
  <c r="Z77" i="14"/>
  <c r="AA77" i="14" s="1"/>
  <c r="Y77" i="14"/>
  <c r="X77" i="14"/>
  <c r="W77" i="14"/>
  <c r="R77" i="14"/>
  <c r="S77" i="14" s="1"/>
  <c r="Q77" i="14"/>
  <c r="L77" i="14"/>
  <c r="M77" i="14" s="1"/>
  <c r="K77" i="14"/>
  <c r="C77" i="14"/>
  <c r="AB76" i="14"/>
  <c r="AC76" i="14" s="1"/>
  <c r="Z76" i="14"/>
  <c r="AA76" i="14" s="1"/>
  <c r="Y76" i="14"/>
  <c r="X76" i="14"/>
  <c r="W76" i="14"/>
  <c r="R76" i="14"/>
  <c r="S76" i="14" s="1"/>
  <c r="Q76" i="14"/>
  <c r="L76" i="14"/>
  <c r="M76" i="14" s="1"/>
  <c r="K76" i="14"/>
  <c r="C76" i="14"/>
  <c r="AB75" i="14"/>
  <c r="AC75" i="14" s="1"/>
  <c r="AD75" i="14" s="1"/>
  <c r="Z75" i="14"/>
  <c r="AA75" i="14" s="1"/>
  <c r="Y75" i="14"/>
  <c r="X75" i="14"/>
  <c r="W75" i="14"/>
  <c r="R75" i="14"/>
  <c r="S75" i="14" s="1"/>
  <c r="Q75" i="14"/>
  <c r="L75" i="14"/>
  <c r="M75" i="14" s="1"/>
  <c r="K75" i="14"/>
  <c r="C75" i="14"/>
  <c r="AB74" i="14"/>
  <c r="AC74" i="14" s="1"/>
  <c r="AD74" i="14" s="1"/>
  <c r="Z74" i="14"/>
  <c r="AA74" i="14" s="1"/>
  <c r="Y74" i="14"/>
  <c r="X74" i="14"/>
  <c r="W74" i="14"/>
  <c r="R74" i="14"/>
  <c r="S74" i="14" s="1"/>
  <c r="Q74" i="14"/>
  <c r="L74" i="14"/>
  <c r="M74" i="14" s="1"/>
  <c r="K74" i="14"/>
  <c r="C74" i="14"/>
  <c r="AB73" i="14"/>
  <c r="AC73" i="14" s="1"/>
  <c r="AD73" i="14" s="1"/>
  <c r="Z73" i="14"/>
  <c r="AA73" i="14" s="1"/>
  <c r="Y73" i="14"/>
  <c r="X73" i="14"/>
  <c r="W73" i="14"/>
  <c r="R73" i="14"/>
  <c r="S73" i="14" s="1"/>
  <c r="Q73" i="14"/>
  <c r="M73" i="14"/>
  <c r="L73" i="14"/>
  <c r="K73" i="14"/>
  <c r="C73" i="14"/>
  <c r="AB72" i="14"/>
  <c r="AC72" i="14" s="1"/>
  <c r="AD72" i="14" s="1"/>
  <c r="Z72" i="14"/>
  <c r="AA72" i="14" s="1"/>
  <c r="Y72" i="14"/>
  <c r="X72" i="14"/>
  <c r="W72" i="14"/>
  <c r="S72" i="14"/>
  <c r="R72" i="14"/>
  <c r="Q72" i="14"/>
  <c r="L72" i="14"/>
  <c r="M72" i="14" s="1"/>
  <c r="K72" i="14"/>
  <c r="C72" i="14"/>
  <c r="AB71" i="14"/>
  <c r="AC71" i="14" s="1"/>
  <c r="AD71" i="14" s="1"/>
  <c r="Z71" i="14"/>
  <c r="AA71" i="14" s="1"/>
  <c r="Y71" i="14"/>
  <c r="X71" i="14"/>
  <c r="W71" i="14"/>
  <c r="R71" i="14"/>
  <c r="S71" i="14" s="1"/>
  <c r="Q71" i="14"/>
  <c r="L71" i="14"/>
  <c r="M71" i="14" s="1"/>
  <c r="K71" i="14"/>
  <c r="C71" i="14"/>
  <c r="AB70" i="14"/>
  <c r="AC70" i="14" s="1"/>
  <c r="AD70" i="14" s="1"/>
  <c r="Z70" i="14"/>
  <c r="AA70" i="14" s="1"/>
  <c r="Y70" i="14"/>
  <c r="X70" i="14"/>
  <c r="W70" i="14"/>
  <c r="R70" i="14"/>
  <c r="S70" i="14" s="1"/>
  <c r="Q70" i="14"/>
  <c r="L70" i="14"/>
  <c r="M70" i="14" s="1"/>
  <c r="K70" i="14"/>
  <c r="C70" i="14"/>
  <c r="AC69" i="14"/>
  <c r="AD69" i="14" s="1"/>
  <c r="AB69" i="14"/>
  <c r="Z69" i="14"/>
  <c r="AA69" i="14" s="1"/>
  <c r="Y69" i="14"/>
  <c r="X69" i="14"/>
  <c r="W69" i="14"/>
  <c r="R69" i="14"/>
  <c r="S69" i="14" s="1"/>
  <c r="Q69" i="14"/>
  <c r="M69" i="14"/>
  <c r="L69" i="14"/>
  <c r="K69" i="14"/>
  <c r="C69" i="14"/>
  <c r="AB67" i="14"/>
  <c r="AC67" i="14" s="1"/>
  <c r="Z67" i="14"/>
  <c r="AA67" i="14" s="1"/>
  <c r="Y67" i="14"/>
  <c r="X67" i="14"/>
  <c r="W67" i="14"/>
  <c r="R67" i="14"/>
  <c r="S67" i="14" s="1"/>
  <c r="Q67" i="14"/>
  <c r="L67" i="14"/>
  <c r="M67" i="14" s="1"/>
  <c r="K67" i="14"/>
  <c r="C67" i="14"/>
  <c r="AB66" i="14"/>
  <c r="AC66" i="14" s="1"/>
  <c r="AD66" i="14" s="1"/>
  <c r="Z66" i="14"/>
  <c r="AA66" i="14" s="1"/>
  <c r="Y66" i="14"/>
  <c r="X66" i="14"/>
  <c r="W66" i="14"/>
  <c r="R66" i="14"/>
  <c r="S66" i="14" s="1"/>
  <c r="Q66" i="14"/>
  <c r="L66" i="14"/>
  <c r="M66" i="14" s="1"/>
  <c r="K66" i="14"/>
  <c r="C66" i="14"/>
  <c r="AB65" i="14"/>
  <c r="AC65" i="14" s="1"/>
  <c r="AD65" i="14" s="1"/>
  <c r="Z65" i="14"/>
  <c r="AA65" i="14" s="1"/>
  <c r="Y65" i="14"/>
  <c r="X65" i="14"/>
  <c r="W65" i="14"/>
  <c r="R65" i="14"/>
  <c r="S65" i="14" s="1"/>
  <c r="Q65" i="14"/>
  <c r="M65" i="14"/>
  <c r="L65" i="14"/>
  <c r="K65" i="14"/>
  <c r="C65" i="14"/>
  <c r="AB64" i="14"/>
  <c r="AC64" i="14" s="1"/>
  <c r="Z64" i="14"/>
  <c r="AA64" i="14" s="1"/>
  <c r="Y64" i="14"/>
  <c r="X64" i="14"/>
  <c r="W64" i="14"/>
  <c r="R64" i="14"/>
  <c r="S64" i="14" s="1"/>
  <c r="Q64" i="14"/>
  <c r="L64" i="14"/>
  <c r="M64" i="14" s="1"/>
  <c r="K64" i="14"/>
  <c r="C64" i="14"/>
  <c r="AB63" i="14"/>
  <c r="AC63" i="14" s="1"/>
  <c r="AD63" i="14" s="1"/>
  <c r="Z63" i="14"/>
  <c r="AA63" i="14" s="1"/>
  <c r="Y63" i="14"/>
  <c r="X63" i="14"/>
  <c r="W63" i="14"/>
  <c r="R63" i="14"/>
  <c r="S63" i="14" s="1"/>
  <c r="Q63" i="14"/>
  <c r="L63" i="14"/>
  <c r="M63" i="14" s="1"/>
  <c r="K63" i="14"/>
  <c r="C63" i="14"/>
  <c r="AB62" i="14"/>
  <c r="AC62" i="14" s="1"/>
  <c r="AD62" i="14" s="1"/>
  <c r="Z62" i="14"/>
  <c r="AA62" i="14" s="1"/>
  <c r="Y62" i="14"/>
  <c r="X62" i="14"/>
  <c r="W62" i="14"/>
  <c r="R62" i="14"/>
  <c r="S62" i="14" s="1"/>
  <c r="Q62" i="14"/>
  <c r="L62" i="14"/>
  <c r="M62" i="14" s="1"/>
  <c r="K62" i="14"/>
  <c r="C62" i="14"/>
  <c r="AB61" i="14"/>
  <c r="AC61" i="14" s="1"/>
  <c r="AD61" i="14" s="1"/>
  <c r="Z61" i="14"/>
  <c r="AA61" i="14" s="1"/>
  <c r="Y61" i="14"/>
  <c r="X61" i="14"/>
  <c r="W61" i="14"/>
  <c r="R61" i="14"/>
  <c r="S61" i="14" s="1"/>
  <c r="Q61" i="14"/>
  <c r="L61" i="14"/>
  <c r="M61" i="14" s="1"/>
  <c r="K61" i="14"/>
  <c r="C61" i="14"/>
  <c r="AB60" i="14"/>
  <c r="AC60" i="14" s="1"/>
  <c r="Z60" i="14"/>
  <c r="AA60" i="14" s="1"/>
  <c r="Y60" i="14"/>
  <c r="X60" i="14"/>
  <c r="W60" i="14"/>
  <c r="S60" i="14"/>
  <c r="R60" i="14"/>
  <c r="Q60" i="14"/>
  <c r="L60" i="14"/>
  <c r="M60" i="14" s="1"/>
  <c r="K60" i="14"/>
  <c r="C60" i="14"/>
  <c r="AB59" i="14"/>
  <c r="AC59" i="14" s="1"/>
  <c r="AD59" i="14" s="1"/>
  <c r="Z59" i="14"/>
  <c r="AA59" i="14" s="1"/>
  <c r="Y59" i="14"/>
  <c r="X59" i="14"/>
  <c r="W59" i="14"/>
  <c r="S59" i="14"/>
  <c r="R59" i="14"/>
  <c r="Q59" i="14"/>
  <c r="L59" i="14"/>
  <c r="M59" i="14" s="1"/>
  <c r="K59" i="14"/>
  <c r="C59" i="14"/>
  <c r="AB58" i="14"/>
  <c r="AC58" i="14" s="1"/>
  <c r="AD58" i="14" s="1"/>
  <c r="Z58" i="14"/>
  <c r="AA58" i="14" s="1"/>
  <c r="Y58" i="14"/>
  <c r="X58" i="14"/>
  <c r="W58" i="14"/>
  <c r="R58" i="14"/>
  <c r="S58" i="14" s="1"/>
  <c r="Q58" i="14"/>
  <c r="L58" i="14"/>
  <c r="M58" i="14" s="1"/>
  <c r="K58" i="14"/>
  <c r="C58" i="14"/>
  <c r="AB57" i="14"/>
  <c r="AC57" i="14" s="1"/>
  <c r="AD57" i="14" s="1"/>
  <c r="Z57" i="14"/>
  <c r="AA57" i="14" s="1"/>
  <c r="Y57" i="14"/>
  <c r="X57" i="14"/>
  <c r="W57" i="14"/>
  <c r="R57" i="14"/>
  <c r="S57" i="14" s="1"/>
  <c r="Q57" i="14"/>
  <c r="M57" i="14"/>
  <c r="L57" i="14"/>
  <c r="K57" i="14"/>
  <c r="C57" i="14"/>
  <c r="AC56" i="14"/>
  <c r="AD56" i="14" s="1"/>
  <c r="AB56" i="14"/>
  <c r="Z56" i="14"/>
  <c r="AA56" i="14" s="1"/>
  <c r="Y56" i="14"/>
  <c r="X56" i="14"/>
  <c r="W56" i="14"/>
  <c r="S56" i="14"/>
  <c r="R56" i="14"/>
  <c r="Q56" i="14"/>
  <c r="M56" i="14"/>
  <c r="L56" i="14"/>
  <c r="K56" i="14"/>
  <c r="C56" i="14"/>
  <c r="AB55" i="14"/>
  <c r="AC55" i="14" s="1"/>
  <c r="AD55" i="14" s="1"/>
  <c r="Z55" i="14"/>
  <c r="AA55" i="14" s="1"/>
  <c r="Y55" i="14"/>
  <c r="X55" i="14"/>
  <c r="W55" i="14"/>
  <c r="R55" i="14"/>
  <c r="S55" i="14" s="1"/>
  <c r="Q55" i="14"/>
  <c r="L55" i="14"/>
  <c r="M55" i="14" s="1"/>
  <c r="K55" i="14"/>
  <c r="C55" i="14"/>
  <c r="AB54" i="14"/>
  <c r="AC54" i="14" s="1"/>
  <c r="AD54" i="14" s="1"/>
  <c r="Z54" i="14"/>
  <c r="AA54" i="14" s="1"/>
  <c r="Y54" i="14"/>
  <c r="X54" i="14"/>
  <c r="W54" i="14"/>
  <c r="R54" i="14"/>
  <c r="S54" i="14" s="1"/>
  <c r="Q54" i="14"/>
  <c r="L54" i="14"/>
  <c r="M54" i="14" s="1"/>
  <c r="K54" i="14"/>
  <c r="C54" i="14"/>
  <c r="AB53" i="14"/>
  <c r="AC53" i="14" s="1"/>
  <c r="AD53" i="14" s="1"/>
  <c r="Z53" i="14"/>
  <c r="AA53" i="14" s="1"/>
  <c r="Y53" i="14"/>
  <c r="X53" i="14"/>
  <c r="W53" i="14"/>
  <c r="R53" i="14"/>
  <c r="S53" i="14" s="1"/>
  <c r="Q53" i="14"/>
  <c r="M53" i="14"/>
  <c r="L53" i="14"/>
  <c r="K53" i="14"/>
  <c r="C53" i="14"/>
  <c r="AB52" i="14"/>
  <c r="AC52" i="14" s="1"/>
  <c r="Z52" i="14"/>
  <c r="AA52" i="14" s="1"/>
  <c r="Y52" i="14"/>
  <c r="X52" i="14"/>
  <c r="W52" i="14"/>
  <c r="R52" i="14"/>
  <c r="S52" i="14" s="1"/>
  <c r="Q52" i="14"/>
  <c r="L52" i="14"/>
  <c r="M52" i="14" s="1"/>
  <c r="K52" i="14"/>
  <c r="C52" i="14"/>
  <c r="AB51" i="14"/>
  <c r="AC51" i="14" s="1"/>
  <c r="Z51" i="14"/>
  <c r="AA51" i="14" s="1"/>
  <c r="Y51" i="14"/>
  <c r="X51" i="14"/>
  <c r="W51" i="14"/>
  <c r="R51" i="14"/>
  <c r="S51" i="14" s="1"/>
  <c r="Q51" i="14"/>
  <c r="L51" i="14"/>
  <c r="M51" i="14" s="1"/>
  <c r="K51" i="14"/>
  <c r="C51" i="14"/>
  <c r="AB50" i="14"/>
  <c r="AC50" i="14" s="1"/>
  <c r="AD50" i="14" s="1"/>
  <c r="Z50" i="14"/>
  <c r="AA50" i="14" s="1"/>
  <c r="Y50" i="14"/>
  <c r="X50" i="14"/>
  <c r="W50" i="14"/>
  <c r="R50" i="14"/>
  <c r="S50" i="14" s="1"/>
  <c r="Q50" i="14"/>
  <c r="L50" i="14"/>
  <c r="M50" i="14" s="1"/>
  <c r="K50" i="14"/>
  <c r="C50" i="14"/>
  <c r="AB49" i="14"/>
  <c r="AC49" i="14" s="1"/>
  <c r="AD49" i="14" s="1"/>
  <c r="Z49" i="14"/>
  <c r="AA49" i="14" s="1"/>
  <c r="Y49" i="14"/>
  <c r="X49" i="14"/>
  <c r="W49" i="14"/>
  <c r="R49" i="14"/>
  <c r="S49" i="14" s="1"/>
  <c r="Q49" i="14"/>
  <c r="L49" i="14"/>
  <c r="M49" i="14" s="1"/>
  <c r="K49" i="14"/>
  <c r="C49" i="14"/>
  <c r="AC48" i="14"/>
  <c r="AD48" i="14" s="1"/>
  <c r="AB48" i="14"/>
  <c r="Z48" i="14"/>
  <c r="AA48" i="14" s="1"/>
  <c r="Y48" i="14"/>
  <c r="X48" i="14"/>
  <c r="W48" i="14"/>
  <c r="R48" i="14"/>
  <c r="S48" i="14" s="1"/>
  <c r="Q48" i="14"/>
  <c r="M48" i="14"/>
  <c r="L48" i="14"/>
  <c r="K48" i="14"/>
  <c r="C48" i="14"/>
  <c r="AC47" i="14"/>
  <c r="AD47" i="14" s="1"/>
  <c r="AB47" i="14"/>
  <c r="Z47" i="14"/>
  <c r="AA47" i="14" s="1"/>
  <c r="Y47" i="14"/>
  <c r="X47" i="14"/>
  <c r="W47" i="14"/>
  <c r="R47" i="14"/>
  <c r="S47" i="14" s="1"/>
  <c r="Q47" i="14"/>
  <c r="L47" i="14"/>
  <c r="M47" i="14" s="1"/>
  <c r="K47" i="14"/>
  <c r="C47" i="14"/>
  <c r="AB46" i="14"/>
  <c r="AC46" i="14" s="1"/>
  <c r="AD46" i="14" s="1"/>
  <c r="Z46" i="14"/>
  <c r="AA46" i="14" s="1"/>
  <c r="Y46" i="14"/>
  <c r="X46" i="14"/>
  <c r="W46" i="14"/>
  <c r="R46" i="14"/>
  <c r="S46" i="14" s="1"/>
  <c r="Q46" i="14"/>
  <c r="L46" i="14"/>
  <c r="M46" i="14" s="1"/>
  <c r="K46" i="14"/>
  <c r="C46" i="14"/>
  <c r="AB45" i="14"/>
  <c r="AC45" i="14" s="1"/>
  <c r="AD45" i="14" s="1"/>
  <c r="Z45" i="14"/>
  <c r="AA45" i="14" s="1"/>
  <c r="Y45" i="14"/>
  <c r="X45" i="14"/>
  <c r="W45" i="14"/>
  <c r="R45" i="14"/>
  <c r="S45" i="14" s="1"/>
  <c r="Q45" i="14"/>
  <c r="L45" i="14"/>
  <c r="M45" i="14" s="1"/>
  <c r="K45" i="14"/>
  <c r="C45" i="14"/>
  <c r="AB44" i="14"/>
  <c r="AC44" i="14" s="1"/>
  <c r="AD44" i="14" s="1"/>
  <c r="Z44" i="14"/>
  <c r="AA44" i="14" s="1"/>
  <c r="Y44" i="14"/>
  <c r="X44" i="14"/>
  <c r="W44" i="14"/>
  <c r="R44" i="14"/>
  <c r="S44" i="14" s="1"/>
  <c r="Q44" i="14"/>
  <c r="M44" i="14"/>
  <c r="L44" i="14"/>
  <c r="K44" i="14"/>
  <c r="C44" i="14"/>
  <c r="AB43" i="14"/>
  <c r="AC43" i="14" s="1"/>
  <c r="Z43" i="14"/>
  <c r="AA43" i="14" s="1"/>
  <c r="Y43" i="14"/>
  <c r="X43" i="14"/>
  <c r="W43" i="14"/>
  <c r="R43" i="14"/>
  <c r="S43" i="14" s="1"/>
  <c r="Q43" i="14"/>
  <c r="L43" i="14"/>
  <c r="M43" i="14" s="1"/>
  <c r="K43" i="14"/>
  <c r="C43" i="14"/>
  <c r="AB42" i="14"/>
  <c r="AC42" i="14" s="1"/>
  <c r="AD42" i="14" s="1"/>
  <c r="Z42" i="14"/>
  <c r="AA42" i="14" s="1"/>
  <c r="Y42" i="14"/>
  <c r="X42" i="14"/>
  <c r="W42" i="14"/>
  <c r="R42" i="14"/>
  <c r="S42" i="14" s="1"/>
  <c r="Q42" i="14"/>
  <c r="L42" i="14"/>
  <c r="M42" i="14" s="1"/>
  <c r="K42" i="14"/>
  <c r="C42" i="14"/>
  <c r="AB41" i="14"/>
  <c r="AC41" i="14" s="1"/>
  <c r="AD41" i="14" s="1"/>
  <c r="Z41" i="14"/>
  <c r="AA41" i="14" s="1"/>
  <c r="Y41" i="14"/>
  <c r="X41" i="14"/>
  <c r="W41" i="14"/>
  <c r="R41" i="14"/>
  <c r="S41" i="14" s="1"/>
  <c r="Q41" i="14"/>
  <c r="M41" i="14"/>
  <c r="L41" i="14"/>
  <c r="K41" i="14"/>
  <c r="C41" i="14"/>
  <c r="AB40" i="14"/>
  <c r="AC40" i="14" s="1"/>
  <c r="Z40" i="14"/>
  <c r="AA40" i="14" s="1"/>
  <c r="Y40" i="14"/>
  <c r="X40" i="14"/>
  <c r="W40" i="14"/>
  <c r="R40" i="14"/>
  <c r="S40" i="14" s="1"/>
  <c r="Q40" i="14"/>
  <c r="L40" i="14"/>
  <c r="M40" i="14" s="1"/>
  <c r="K40" i="14"/>
  <c r="C40" i="14"/>
  <c r="AB39" i="14"/>
  <c r="AC39" i="14" s="1"/>
  <c r="AD39" i="14" s="1"/>
  <c r="Z39" i="14"/>
  <c r="AA39" i="14" s="1"/>
  <c r="Y39" i="14"/>
  <c r="X39" i="14"/>
  <c r="W39" i="14"/>
  <c r="R39" i="14"/>
  <c r="S39" i="14" s="1"/>
  <c r="Q39" i="14"/>
  <c r="L39" i="14"/>
  <c r="M39" i="14" s="1"/>
  <c r="K39" i="14"/>
  <c r="C39" i="14"/>
  <c r="AB38" i="14"/>
  <c r="AC38" i="14" s="1"/>
  <c r="AD38" i="14" s="1"/>
  <c r="Z38" i="14"/>
  <c r="AA38" i="14" s="1"/>
  <c r="Y38" i="14"/>
  <c r="X38" i="14"/>
  <c r="W38" i="14"/>
  <c r="R38" i="14"/>
  <c r="S38" i="14" s="1"/>
  <c r="Q38" i="14"/>
  <c r="L38" i="14"/>
  <c r="M38" i="14" s="1"/>
  <c r="K38" i="14"/>
  <c r="C38" i="14"/>
  <c r="AB37" i="14"/>
  <c r="AC37" i="14" s="1"/>
  <c r="AD37" i="14" s="1"/>
  <c r="Z37" i="14"/>
  <c r="AA37" i="14" s="1"/>
  <c r="Y37" i="14"/>
  <c r="X37" i="14"/>
  <c r="W37" i="14"/>
  <c r="R37" i="14"/>
  <c r="S37" i="14" s="1"/>
  <c r="Q37" i="14"/>
  <c r="L37" i="14"/>
  <c r="M37" i="14" s="1"/>
  <c r="K37" i="14"/>
  <c r="C37" i="14"/>
  <c r="AB36" i="14"/>
  <c r="AC36" i="14" s="1"/>
  <c r="Z36" i="14"/>
  <c r="AA36" i="14" s="1"/>
  <c r="Y36" i="14"/>
  <c r="X36" i="14"/>
  <c r="W36" i="14"/>
  <c r="R36" i="14"/>
  <c r="S36" i="14" s="1"/>
  <c r="Q36" i="14"/>
  <c r="L36" i="14"/>
  <c r="M36" i="14" s="1"/>
  <c r="K36" i="14"/>
  <c r="C36" i="14"/>
  <c r="AC35" i="14"/>
  <c r="AD35" i="14" s="1"/>
  <c r="AB35" i="14"/>
  <c r="Z35" i="14"/>
  <c r="AA35" i="14" s="1"/>
  <c r="Y35" i="14"/>
  <c r="X35" i="14"/>
  <c r="W35" i="14"/>
  <c r="R35" i="14"/>
  <c r="S35" i="14" s="1"/>
  <c r="Q35" i="14"/>
  <c r="L35" i="14"/>
  <c r="M35" i="14" s="1"/>
  <c r="K35" i="14"/>
  <c r="C35" i="14"/>
  <c r="AB34" i="14"/>
  <c r="AC34" i="14" s="1"/>
  <c r="AD34" i="14" s="1"/>
  <c r="Z34" i="14"/>
  <c r="AA34" i="14" s="1"/>
  <c r="Y34" i="14"/>
  <c r="X34" i="14"/>
  <c r="W34" i="14"/>
  <c r="R34" i="14"/>
  <c r="S34" i="14" s="1"/>
  <c r="Q34" i="14"/>
  <c r="L34" i="14"/>
  <c r="M34" i="14" s="1"/>
  <c r="K34" i="14"/>
  <c r="C34" i="14"/>
  <c r="AB33" i="14"/>
  <c r="AC33" i="14" s="1"/>
  <c r="AD33" i="14" s="1"/>
  <c r="Z33" i="14"/>
  <c r="AA33" i="14" s="1"/>
  <c r="Y33" i="14"/>
  <c r="X33" i="14"/>
  <c r="W33" i="14"/>
  <c r="R33" i="14"/>
  <c r="S33" i="14" s="1"/>
  <c r="Q33" i="14"/>
  <c r="M33" i="14"/>
  <c r="L33" i="14"/>
  <c r="K33" i="14"/>
  <c r="C33" i="14"/>
  <c r="AB32" i="14"/>
  <c r="AC32" i="14" s="1"/>
  <c r="AD32" i="14" s="1"/>
  <c r="Z32" i="14"/>
  <c r="AA32" i="14" s="1"/>
  <c r="Y32" i="14"/>
  <c r="X32" i="14"/>
  <c r="W32" i="14"/>
  <c r="R32" i="14"/>
  <c r="S32" i="14" s="1"/>
  <c r="Q32" i="14"/>
  <c r="M32" i="14"/>
  <c r="L32" i="14"/>
  <c r="K32" i="14"/>
  <c r="C32" i="14"/>
  <c r="AB31" i="14"/>
  <c r="AC31" i="14" s="1"/>
  <c r="AD31" i="14" s="1"/>
  <c r="Z31" i="14"/>
  <c r="AA31" i="14" s="1"/>
  <c r="Y31" i="14"/>
  <c r="X31" i="14"/>
  <c r="W31" i="14"/>
  <c r="R31" i="14"/>
  <c r="S31" i="14" s="1"/>
  <c r="Q31" i="14"/>
  <c r="L31" i="14"/>
  <c r="M31" i="14" s="1"/>
  <c r="K31" i="14"/>
  <c r="C31" i="14"/>
  <c r="AB30" i="14"/>
  <c r="AC30" i="14" s="1"/>
  <c r="AD30" i="14" s="1"/>
  <c r="Z30" i="14"/>
  <c r="AA30" i="14" s="1"/>
  <c r="Y30" i="14"/>
  <c r="X30" i="14"/>
  <c r="W30" i="14"/>
  <c r="R30" i="14"/>
  <c r="S30" i="14" s="1"/>
  <c r="Q30" i="14"/>
  <c r="L30" i="14"/>
  <c r="M30" i="14" s="1"/>
  <c r="K30" i="14"/>
  <c r="C30" i="14"/>
  <c r="AB29" i="14"/>
  <c r="AC29" i="14" s="1"/>
  <c r="AD29" i="14" s="1"/>
  <c r="Z29" i="14"/>
  <c r="AA29" i="14" s="1"/>
  <c r="Y29" i="14"/>
  <c r="X29" i="14"/>
  <c r="W29" i="14"/>
  <c r="R29" i="14"/>
  <c r="S29" i="14" s="1"/>
  <c r="Q29" i="14"/>
  <c r="M29" i="14"/>
  <c r="L29" i="14"/>
  <c r="K29" i="14"/>
  <c r="C29" i="14"/>
  <c r="AB28" i="14"/>
  <c r="AC28" i="14" s="1"/>
  <c r="Z28" i="14"/>
  <c r="AA28" i="14" s="1"/>
  <c r="Y28" i="14"/>
  <c r="X28" i="14"/>
  <c r="W28" i="14"/>
  <c r="S28" i="14"/>
  <c r="R28" i="14"/>
  <c r="Q28" i="14"/>
  <c r="L28" i="14"/>
  <c r="M28" i="14" s="1"/>
  <c r="K28" i="14"/>
  <c r="C28" i="14"/>
  <c r="AB27" i="14"/>
  <c r="AC27" i="14" s="1"/>
  <c r="Z27" i="14"/>
  <c r="AA27" i="14" s="1"/>
  <c r="Y27" i="14"/>
  <c r="X27" i="14"/>
  <c r="W27" i="14"/>
  <c r="R27" i="14"/>
  <c r="S27" i="14" s="1"/>
  <c r="Q27" i="14"/>
  <c r="L27" i="14"/>
  <c r="M27" i="14" s="1"/>
  <c r="K27" i="14"/>
  <c r="C27" i="14"/>
  <c r="AB26" i="14"/>
  <c r="AC26" i="14" s="1"/>
  <c r="AD26" i="14" s="1"/>
  <c r="Z26" i="14"/>
  <c r="AA26" i="14" s="1"/>
  <c r="Y26" i="14"/>
  <c r="X26" i="14"/>
  <c r="W26" i="14"/>
  <c r="R26" i="14"/>
  <c r="S26" i="14" s="1"/>
  <c r="Q26" i="14"/>
  <c r="L26" i="14"/>
  <c r="M26" i="14" s="1"/>
  <c r="K26" i="14"/>
  <c r="C26" i="14"/>
  <c r="AB25" i="14"/>
  <c r="AC25" i="14" s="1"/>
  <c r="AD25" i="14" s="1"/>
  <c r="Z25" i="14"/>
  <c r="AA25" i="14" s="1"/>
  <c r="Y25" i="14"/>
  <c r="X25" i="14"/>
  <c r="W25" i="14"/>
  <c r="R25" i="14"/>
  <c r="S25" i="14" s="1"/>
  <c r="Q25" i="14"/>
  <c r="L25" i="14"/>
  <c r="M25" i="14" s="1"/>
  <c r="K25" i="14"/>
  <c r="C25" i="14"/>
  <c r="AB24" i="14"/>
  <c r="AC24" i="14" s="1"/>
  <c r="AD24" i="14" s="1"/>
  <c r="Z24" i="14"/>
  <c r="AA24" i="14" s="1"/>
  <c r="Y24" i="14"/>
  <c r="X24" i="14"/>
  <c r="W24" i="14"/>
  <c r="R24" i="14"/>
  <c r="S24" i="14" s="1"/>
  <c r="Q24" i="14"/>
  <c r="M24" i="14"/>
  <c r="L24" i="14"/>
  <c r="K24" i="14"/>
  <c r="C24" i="14"/>
  <c r="AB23" i="14"/>
  <c r="AC23" i="14" s="1"/>
  <c r="AD23" i="14" s="1"/>
  <c r="Z23" i="14"/>
  <c r="AA23" i="14" s="1"/>
  <c r="Y23" i="14"/>
  <c r="X23" i="14"/>
  <c r="W23" i="14"/>
  <c r="S23" i="14"/>
  <c r="R23" i="14"/>
  <c r="Q23" i="14"/>
  <c r="L23" i="14"/>
  <c r="M23" i="14" s="1"/>
  <c r="K23" i="14"/>
  <c r="C23" i="14"/>
  <c r="AB22" i="14"/>
  <c r="AC22" i="14" s="1"/>
  <c r="AD22" i="14" s="1"/>
  <c r="Z22" i="14"/>
  <c r="AA22" i="14" s="1"/>
  <c r="Y22" i="14"/>
  <c r="X22" i="14"/>
  <c r="W22" i="14"/>
  <c r="R22" i="14"/>
  <c r="S22" i="14" s="1"/>
  <c r="Q22" i="14"/>
  <c r="L22" i="14"/>
  <c r="M22" i="14" s="1"/>
  <c r="K22" i="14"/>
  <c r="C22" i="14"/>
  <c r="AB21" i="14"/>
  <c r="AC21" i="14" s="1"/>
  <c r="AD21" i="14" s="1"/>
  <c r="Z21" i="14"/>
  <c r="AA21" i="14" s="1"/>
  <c r="Y21" i="14"/>
  <c r="X21" i="14"/>
  <c r="W21" i="14"/>
  <c r="R21" i="14"/>
  <c r="S21" i="14" s="1"/>
  <c r="Q21" i="14"/>
  <c r="L21" i="14"/>
  <c r="M21" i="14" s="1"/>
  <c r="K21" i="14"/>
  <c r="C21" i="14"/>
  <c r="AB20" i="14"/>
  <c r="AC20" i="14" s="1"/>
  <c r="AD20" i="14" s="1"/>
  <c r="Z20" i="14"/>
  <c r="AA20" i="14" s="1"/>
  <c r="Y20" i="14"/>
  <c r="X20" i="14"/>
  <c r="W20" i="14"/>
  <c r="R20" i="14"/>
  <c r="S20" i="14" s="1"/>
  <c r="Q20" i="14"/>
  <c r="M20" i="14"/>
  <c r="L20" i="14"/>
  <c r="K20" i="14"/>
  <c r="C20" i="14"/>
  <c r="AB19" i="14"/>
  <c r="AC19" i="14" s="1"/>
  <c r="Z19" i="14"/>
  <c r="AA19" i="14" s="1"/>
  <c r="Y19" i="14"/>
  <c r="X19" i="14"/>
  <c r="W19" i="14"/>
  <c r="R19" i="14"/>
  <c r="S19" i="14" s="1"/>
  <c r="Q19" i="14"/>
  <c r="L19" i="14"/>
  <c r="M19" i="14" s="1"/>
  <c r="K19" i="14"/>
  <c r="C19" i="14"/>
  <c r="AB18" i="14"/>
  <c r="AC18" i="14" s="1"/>
  <c r="AD18" i="14" s="1"/>
  <c r="Z18" i="14"/>
  <c r="AA18" i="14" s="1"/>
  <c r="Y18" i="14"/>
  <c r="X18" i="14"/>
  <c r="W18" i="14"/>
  <c r="R18" i="14"/>
  <c r="S18" i="14" s="1"/>
  <c r="Q18" i="14"/>
  <c r="L18" i="14"/>
  <c r="M18" i="14" s="1"/>
  <c r="K18" i="14"/>
  <c r="C18" i="14"/>
  <c r="Q15" i="14"/>
  <c r="K15" i="14"/>
  <c r="J11" i="14"/>
  <c r="Q10" i="14"/>
  <c r="J10" i="14"/>
  <c r="Z7" i="14"/>
  <c r="F7" i="14"/>
  <c r="Z5" i="14"/>
  <c r="R5" i="14"/>
  <c r="F5" i="14"/>
  <c r="AB118" i="13"/>
  <c r="AC118" i="13" s="1"/>
  <c r="AD118" i="13" s="1"/>
  <c r="Z118" i="13"/>
  <c r="AA118" i="13" s="1"/>
  <c r="Y118" i="13"/>
  <c r="X118" i="13"/>
  <c r="W118" i="13"/>
  <c r="R118" i="13"/>
  <c r="S118" i="13" s="1"/>
  <c r="Q118" i="13"/>
  <c r="L118" i="13"/>
  <c r="M118" i="13" s="1"/>
  <c r="K118" i="13"/>
  <c r="C118" i="13"/>
  <c r="AB117" i="13"/>
  <c r="AC117" i="13" s="1"/>
  <c r="AD117" i="13" s="1"/>
  <c r="Z117" i="13"/>
  <c r="AA117" i="13" s="1"/>
  <c r="Y117" i="13"/>
  <c r="X117" i="13"/>
  <c r="W117" i="13"/>
  <c r="R117" i="13"/>
  <c r="S117" i="13" s="1"/>
  <c r="Q117" i="13"/>
  <c r="L117" i="13"/>
  <c r="M117" i="13" s="1"/>
  <c r="K117" i="13"/>
  <c r="C117" i="13"/>
  <c r="AB116" i="13"/>
  <c r="AC116" i="13" s="1"/>
  <c r="AD116" i="13" s="1"/>
  <c r="Z116" i="13"/>
  <c r="AA116" i="13" s="1"/>
  <c r="Y116" i="13"/>
  <c r="X116" i="13"/>
  <c r="W116" i="13"/>
  <c r="R116" i="13"/>
  <c r="S116" i="13" s="1"/>
  <c r="Q116" i="13"/>
  <c r="L116" i="13"/>
  <c r="M116" i="13" s="1"/>
  <c r="K116" i="13"/>
  <c r="C116" i="13"/>
  <c r="AB115" i="13"/>
  <c r="AC115" i="13" s="1"/>
  <c r="AD115" i="13" s="1"/>
  <c r="Z115" i="13"/>
  <c r="AA115" i="13" s="1"/>
  <c r="Y115" i="13"/>
  <c r="X115" i="13"/>
  <c r="W115" i="13"/>
  <c r="R115" i="13"/>
  <c r="S115" i="13" s="1"/>
  <c r="Q115" i="13"/>
  <c r="L115" i="13"/>
  <c r="M115" i="13" s="1"/>
  <c r="K115" i="13"/>
  <c r="C115" i="13"/>
  <c r="AB114" i="13"/>
  <c r="AC114" i="13" s="1"/>
  <c r="AD114" i="13" s="1"/>
  <c r="Z114" i="13"/>
  <c r="AA114" i="13" s="1"/>
  <c r="Y114" i="13"/>
  <c r="X114" i="13"/>
  <c r="W114" i="13"/>
  <c r="R114" i="13"/>
  <c r="S114" i="13" s="1"/>
  <c r="Q114" i="13"/>
  <c r="L114" i="13"/>
  <c r="M114" i="13" s="1"/>
  <c r="K114" i="13"/>
  <c r="C114" i="13"/>
  <c r="AB113" i="13"/>
  <c r="AC113" i="13" s="1"/>
  <c r="AD113" i="13" s="1"/>
  <c r="Z113" i="13"/>
  <c r="AA113" i="13" s="1"/>
  <c r="Y113" i="13"/>
  <c r="X113" i="13"/>
  <c r="W113" i="13"/>
  <c r="R113" i="13"/>
  <c r="S113" i="13" s="1"/>
  <c r="Q113" i="13"/>
  <c r="L113" i="13"/>
  <c r="M113" i="13" s="1"/>
  <c r="K113" i="13"/>
  <c r="C113" i="13"/>
  <c r="AB112" i="13"/>
  <c r="AC112" i="13" s="1"/>
  <c r="AD112" i="13" s="1"/>
  <c r="Z112" i="13"/>
  <c r="AA112" i="13" s="1"/>
  <c r="Y112" i="13"/>
  <c r="X112" i="13"/>
  <c r="W112" i="13"/>
  <c r="R112" i="13"/>
  <c r="S112" i="13" s="1"/>
  <c r="Q112" i="13"/>
  <c r="L112" i="13"/>
  <c r="M112" i="13" s="1"/>
  <c r="K112" i="13"/>
  <c r="C112" i="13"/>
  <c r="AB111" i="13"/>
  <c r="AC111" i="13" s="1"/>
  <c r="AD111" i="13" s="1"/>
  <c r="Z111" i="13"/>
  <c r="AA111" i="13" s="1"/>
  <c r="Y111" i="13"/>
  <c r="X111" i="13"/>
  <c r="W111" i="13"/>
  <c r="R111" i="13"/>
  <c r="S111" i="13" s="1"/>
  <c r="Q111" i="13"/>
  <c r="L111" i="13"/>
  <c r="M111" i="13" s="1"/>
  <c r="K111" i="13"/>
  <c r="C111" i="13"/>
  <c r="AB110" i="13"/>
  <c r="AC110" i="13" s="1"/>
  <c r="AD110" i="13" s="1"/>
  <c r="Z110" i="13"/>
  <c r="AA110" i="13" s="1"/>
  <c r="Y110" i="13"/>
  <c r="X110" i="13"/>
  <c r="W110" i="13"/>
  <c r="S110" i="13"/>
  <c r="R110" i="13"/>
  <c r="Q110" i="13"/>
  <c r="L110" i="13"/>
  <c r="M110" i="13" s="1"/>
  <c r="K110" i="13"/>
  <c r="C110" i="13"/>
  <c r="AB109" i="13"/>
  <c r="AC109" i="13" s="1"/>
  <c r="AD109" i="13" s="1"/>
  <c r="Z109" i="13"/>
  <c r="AA109" i="13" s="1"/>
  <c r="Y109" i="13"/>
  <c r="X109" i="13"/>
  <c r="W109" i="13"/>
  <c r="S109" i="13"/>
  <c r="R109" i="13"/>
  <c r="Q109" i="13"/>
  <c r="L109" i="13"/>
  <c r="M109" i="13" s="1"/>
  <c r="K109" i="13"/>
  <c r="C109" i="13"/>
  <c r="AB108" i="13"/>
  <c r="AC108" i="13" s="1"/>
  <c r="AD108" i="13" s="1"/>
  <c r="Z108" i="13"/>
  <c r="AA108" i="13" s="1"/>
  <c r="Y108" i="13"/>
  <c r="X108" i="13"/>
  <c r="W108" i="13"/>
  <c r="R108" i="13"/>
  <c r="S108" i="13" s="1"/>
  <c r="Q108" i="13"/>
  <c r="L108" i="13"/>
  <c r="M108" i="13" s="1"/>
  <c r="K108" i="13"/>
  <c r="C108" i="13"/>
  <c r="AB107" i="13"/>
  <c r="AC107" i="13" s="1"/>
  <c r="AD107" i="13" s="1"/>
  <c r="Z107" i="13"/>
  <c r="AA107" i="13" s="1"/>
  <c r="Y107" i="13"/>
  <c r="X107" i="13"/>
  <c r="W107" i="13"/>
  <c r="R107" i="13"/>
  <c r="S107" i="13" s="1"/>
  <c r="Q107" i="13"/>
  <c r="L107" i="13"/>
  <c r="M107" i="13" s="1"/>
  <c r="K107" i="13"/>
  <c r="C107" i="13"/>
  <c r="AB106" i="13"/>
  <c r="AC106" i="13" s="1"/>
  <c r="AD106" i="13" s="1"/>
  <c r="Z106" i="13"/>
  <c r="AA106" i="13" s="1"/>
  <c r="Y106" i="13"/>
  <c r="X106" i="13"/>
  <c r="W106" i="13"/>
  <c r="S106" i="13"/>
  <c r="R106" i="13"/>
  <c r="Q106" i="13"/>
  <c r="L106" i="13"/>
  <c r="M106" i="13" s="1"/>
  <c r="K106" i="13"/>
  <c r="C106" i="13"/>
  <c r="AB105" i="13"/>
  <c r="AC105" i="13" s="1"/>
  <c r="AD105" i="13" s="1"/>
  <c r="Z105" i="13"/>
  <c r="AA105" i="13" s="1"/>
  <c r="Y105" i="13"/>
  <c r="X105" i="13"/>
  <c r="W105" i="13"/>
  <c r="R105" i="13"/>
  <c r="S105" i="13" s="1"/>
  <c r="Q105" i="13"/>
  <c r="L105" i="13"/>
  <c r="M105" i="13" s="1"/>
  <c r="K105" i="13"/>
  <c r="C105" i="13"/>
  <c r="AB104" i="13"/>
  <c r="AC104" i="13" s="1"/>
  <c r="AD104" i="13" s="1"/>
  <c r="Z104" i="13"/>
  <c r="AA104" i="13" s="1"/>
  <c r="Y104" i="13"/>
  <c r="X104" i="13"/>
  <c r="W104" i="13"/>
  <c r="S104" i="13"/>
  <c r="R104" i="13"/>
  <c r="Q104" i="13"/>
  <c r="L104" i="13"/>
  <c r="M104" i="13" s="1"/>
  <c r="K104" i="13"/>
  <c r="C104" i="13"/>
  <c r="AB103" i="13"/>
  <c r="AC103" i="13" s="1"/>
  <c r="AD103" i="13" s="1"/>
  <c r="Z103" i="13"/>
  <c r="AA103" i="13" s="1"/>
  <c r="Y103" i="13"/>
  <c r="X103" i="13"/>
  <c r="W103" i="13"/>
  <c r="R103" i="13"/>
  <c r="S103" i="13" s="1"/>
  <c r="Q103" i="13"/>
  <c r="L103" i="13"/>
  <c r="M103" i="13" s="1"/>
  <c r="K103" i="13"/>
  <c r="C103" i="13"/>
  <c r="AB102" i="13"/>
  <c r="AC102" i="13" s="1"/>
  <c r="AD102" i="13" s="1"/>
  <c r="Z102" i="13"/>
  <c r="AA102" i="13" s="1"/>
  <c r="Y102" i="13"/>
  <c r="X102" i="13"/>
  <c r="W102" i="13"/>
  <c r="S102" i="13"/>
  <c r="R102" i="13"/>
  <c r="Q102" i="13"/>
  <c r="L102" i="13"/>
  <c r="M102" i="13" s="1"/>
  <c r="K102" i="13"/>
  <c r="C102" i="13"/>
  <c r="AB101" i="13"/>
  <c r="AC101" i="13" s="1"/>
  <c r="AD101" i="13" s="1"/>
  <c r="Z101" i="13"/>
  <c r="AA101" i="13" s="1"/>
  <c r="Y101" i="13"/>
  <c r="X101" i="13"/>
  <c r="W101" i="13"/>
  <c r="R101" i="13"/>
  <c r="S101" i="13" s="1"/>
  <c r="Q101" i="13"/>
  <c r="L101" i="13"/>
  <c r="M101" i="13" s="1"/>
  <c r="K101" i="13"/>
  <c r="C101" i="13"/>
  <c r="AB100" i="13"/>
  <c r="AC100" i="13" s="1"/>
  <c r="AD100" i="13" s="1"/>
  <c r="Z100" i="13"/>
  <c r="AA100" i="13" s="1"/>
  <c r="Y100" i="13"/>
  <c r="X100" i="13"/>
  <c r="W100" i="13"/>
  <c r="S100" i="13"/>
  <c r="R100" i="13"/>
  <c r="Q100" i="13"/>
  <c r="L100" i="13"/>
  <c r="M100" i="13" s="1"/>
  <c r="K100" i="13"/>
  <c r="C100" i="13"/>
  <c r="AB99" i="13"/>
  <c r="AC99" i="13" s="1"/>
  <c r="AD99" i="13" s="1"/>
  <c r="Z99" i="13"/>
  <c r="AA99" i="13" s="1"/>
  <c r="Y99" i="13"/>
  <c r="X99" i="13"/>
  <c r="W99" i="13"/>
  <c r="R99" i="13"/>
  <c r="S99" i="13" s="1"/>
  <c r="Q99" i="13"/>
  <c r="L99" i="13"/>
  <c r="M99" i="13" s="1"/>
  <c r="K99" i="13"/>
  <c r="C99" i="13"/>
  <c r="AB98" i="13"/>
  <c r="AC98" i="13" s="1"/>
  <c r="AD98" i="13" s="1"/>
  <c r="Z98" i="13"/>
  <c r="AA98" i="13" s="1"/>
  <c r="Y98" i="13"/>
  <c r="X98" i="13"/>
  <c r="W98" i="13"/>
  <c r="R98" i="13"/>
  <c r="S98" i="13" s="1"/>
  <c r="Q98" i="13"/>
  <c r="L98" i="13"/>
  <c r="M98" i="13" s="1"/>
  <c r="K98" i="13"/>
  <c r="C98" i="13"/>
  <c r="AB97" i="13"/>
  <c r="AC97" i="13" s="1"/>
  <c r="AD97" i="13" s="1"/>
  <c r="Z97" i="13"/>
  <c r="AA97" i="13" s="1"/>
  <c r="Y97" i="13"/>
  <c r="X97" i="13"/>
  <c r="W97" i="13"/>
  <c r="S97" i="13"/>
  <c r="R97" i="13"/>
  <c r="Q97" i="13"/>
  <c r="L97" i="13"/>
  <c r="M97" i="13" s="1"/>
  <c r="K97" i="13"/>
  <c r="C97" i="13"/>
  <c r="AB96" i="13"/>
  <c r="AC96" i="13" s="1"/>
  <c r="AD96" i="13" s="1"/>
  <c r="Z96" i="13"/>
  <c r="AA96" i="13" s="1"/>
  <c r="Y96" i="13"/>
  <c r="X96" i="13"/>
  <c r="W96" i="13"/>
  <c r="R96" i="13"/>
  <c r="S96" i="13" s="1"/>
  <c r="Q96" i="13"/>
  <c r="L96" i="13"/>
  <c r="M96" i="13" s="1"/>
  <c r="K96" i="13"/>
  <c r="C96" i="13"/>
  <c r="AB95" i="13"/>
  <c r="AC95" i="13" s="1"/>
  <c r="AD95" i="13" s="1"/>
  <c r="Z95" i="13"/>
  <c r="AA95" i="13" s="1"/>
  <c r="Y95" i="13"/>
  <c r="X95" i="13"/>
  <c r="W95" i="13"/>
  <c r="R95" i="13"/>
  <c r="S95" i="13" s="1"/>
  <c r="Q95" i="13"/>
  <c r="L95" i="13"/>
  <c r="M95" i="13" s="1"/>
  <c r="K95" i="13"/>
  <c r="C95" i="13"/>
  <c r="AB94" i="13"/>
  <c r="AC94" i="13" s="1"/>
  <c r="AD94" i="13" s="1"/>
  <c r="Z94" i="13"/>
  <c r="AA94" i="13" s="1"/>
  <c r="Y94" i="13"/>
  <c r="X94" i="13"/>
  <c r="W94" i="13"/>
  <c r="S94" i="13"/>
  <c r="R94" i="13"/>
  <c r="Q94" i="13"/>
  <c r="L94" i="13"/>
  <c r="M94" i="13" s="1"/>
  <c r="K94" i="13"/>
  <c r="C94" i="13"/>
  <c r="AB93" i="13"/>
  <c r="AC93" i="13" s="1"/>
  <c r="AD93" i="13" s="1"/>
  <c r="Z93" i="13"/>
  <c r="AA93" i="13" s="1"/>
  <c r="Y93" i="13"/>
  <c r="X93" i="13"/>
  <c r="W93" i="13"/>
  <c r="R93" i="13"/>
  <c r="S93" i="13" s="1"/>
  <c r="Q93" i="13"/>
  <c r="L93" i="13"/>
  <c r="M93" i="13" s="1"/>
  <c r="K93" i="13"/>
  <c r="C93" i="13"/>
  <c r="AB92" i="13"/>
  <c r="AC92" i="13" s="1"/>
  <c r="AD92" i="13" s="1"/>
  <c r="Z92" i="13"/>
  <c r="AA92" i="13" s="1"/>
  <c r="Y92" i="13"/>
  <c r="X92" i="13"/>
  <c r="W92" i="13"/>
  <c r="R92" i="13"/>
  <c r="S92" i="13" s="1"/>
  <c r="Q92" i="13"/>
  <c r="L92" i="13"/>
  <c r="M92" i="13" s="1"/>
  <c r="K92" i="13"/>
  <c r="C92" i="13"/>
  <c r="AB91" i="13"/>
  <c r="AC91" i="13" s="1"/>
  <c r="AD91" i="13" s="1"/>
  <c r="Z91" i="13"/>
  <c r="AA91" i="13" s="1"/>
  <c r="Y91" i="13"/>
  <c r="X91" i="13"/>
  <c r="W91" i="13"/>
  <c r="R91" i="13"/>
  <c r="S91" i="13" s="1"/>
  <c r="Q91" i="13"/>
  <c r="L91" i="13"/>
  <c r="M91" i="13" s="1"/>
  <c r="K91" i="13"/>
  <c r="C91" i="13"/>
  <c r="AB90" i="13"/>
  <c r="AC90" i="13" s="1"/>
  <c r="AD90" i="13" s="1"/>
  <c r="Z90" i="13"/>
  <c r="AA90" i="13" s="1"/>
  <c r="Y90" i="13"/>
  <c r="X90" i="13"/>
  <c r="W90" i="13"/>
  <c r="S90" i="13"/>
  <c r="R90" i="13"/>
  <c r="Q90" i="13"/>
  <c r="L90" i="13"/>
  <c r="M90" i="13" s="1"/>
  <c r="K90" i="13"/>
  <c r="C90" i="13"/>
  <c r="AB89" i="13"/>
  <c r="AC89" i="13" s="1"/>
  <c r="AD89" i="13" s="1"/>
  <c r="Z89" i="13"/>
  <c r="AA89" i="13" s="1"/>
  <c r="Y89" i="13"/>
  <c r="X89" i="13"/>
  <c r="W89" i="13"/>
  <c r="S89" i="13"/>
  <c r="R89" i="13"/>
  <c r="Q89" i="13"/>
  <c r="L89" i="13"/>
  <c r="M89" i="13" s="1"/>
  <c r="K89" i="13"/>
  <c r="C89" i="13"/>
  <c r="AB88" i="13"/>
  <c r="AC88" i="13" s="1"/>
  <c r="AD88" i="13" s="1"/>
  <c r="Z88" i="13"/>
  <c r="AA88" i="13" s="1"/>
  <c r="Y88" i="13"/>
  <c r="X88" i="13"/>
  <c r="W88" i="13"/>
  <c r="R88" i="13"/>
  <c r="S88" i="13" s="1"/>
  <c r="Q88" i="13"/>
  <c r="L88" i="13"/>
  <c r="M88" i="13" s="1"/>
  <c r="K88" i="13"/>
  <c r="C88" i="13"/>
  <c r="AB87" i="13"/>
  <c r="AC87" i="13" s="1"/>
  <c r="AD87" i="13" s="1"/>
  <c r="Z87" i="13"/>
  <c r="AA87" i="13" s="1"/>
  <c r="Y87" i="13"/>
  <c r="X87" i="13"/>
  <c r="W87" i="13"/>
  <c r="R87" i="13"/>
  <c r="S87" i="13" s="1"/>
  <c r="Q87" i="13"/>
  <c r="L87" i="13"/>
  <c r="M87" i="13" s="1"/>
  <c r="K87" i="13"/>
  <c r="C87" i="13"/>
  <c r="AB86" i="13"/>
  <c r="AC86" i="13" s="1"/>
  <c r="AD86" i="13" s="1"/>
  <c r="Z86" i="13"/>
  <c r="AA86" i="13" s="1"/>
  <c r="Y86" i="13"/>
  <c r="X86" i="13"/>
  <c r="W86" i="13"/>
  <c r="S86" i="13"/>
  <c r="R86" i="13"/>
  <c r="Q86" i="13"/>
  <c r="L86" i="13"/>
  <c r="M86" i="13" s="1"/>
  <c r="K86" i="13"/>
  <c r="C86" i="13"/>
  <c r="AB85" i="13"/>
  <c r="AC85" i="13" s="1"/>
  <c r="AD85" i="13" s="1"/>
  <c r="Z85" i="13"/>
  <c r="AA85" i="13" s="1"/>
  <c r="Y85" i="13"/>
  <c r="X85" i="13"/>
  <c r="W85" i="13"/>
  <c r="R85" i="13"/>
  <c r="S85" i="13" s="1"/>
  <c r="Q85" i="13"/>
  <c r="L85" i="13"/>
  <c r="M85" i="13" s="1"/>
  <c r="K85" i="13"/>
  <c r="C85" i="13"/>
  <c r="AB84" i="13"/>
  <c r="AC84" i="13" s="1"/>
  <c r="AD84" i="13" s="1"/>
  <c r="Z84" i="13"/>
  <c r="AA84" i="13" s="1"/>
  <c r="Y84" i="13"/>
  <c r="X84" i="13"/>
  <c r="W84" i="13"/>
  <c r="S84" i="13"/>
  <c r="R84" i="13"/>
  <c r="Q84" i="13"/>
  <c r="L84" i="13"/>
  <c r="M84" i="13" s="1"/>
  <c r="K84" i="13"/>
  <c r="C84" i="13"/>
  <c r="AB83" i="13"/>
  <c r="AC83" i="13" s="1"/>
  <c r="AD83" i="13" s="1"/>
  <c r="Z83" i="13"/>
  <c r="AA83" i="13" s="1"/>
  <c r="Y83" i="13"/>
  <c r="X83" i="13"/>
  <c r="W83" i="13"/>
  <c r="R83" i="13"/>
  <c r="S83" i="13" s="1"/>
  <c r="Q83" i="13"/>
  <c r="M83" i="13"/>
  <c r="L83" i="13"/>
  <c r="K83" i="13"/>
  <c r="C83" i="13"/>
  <c r="AB82" i="13"/>
  <c r="AC82" i="13" s="1"/>
  <c r="AD82" i="13" s="1"/>
  <c r="Z82" i="13"/>
  <c r="AA82" i="13" s="1"/>
  <c r="Y82" i="13"/>
  <c r="X82" i="13"/>
  <c r="W82" i="13"/>
  <c r="R82" i="13"/>
  <c r="S82" i="13" s="1"/>
  <c r="Q82" i="13"/>
  <c r="M82" i="13"/>
  <c r="L82" i="13"/>
  <c r="K82" i="13"/>
  <c r="C82" i="13"/>
  <c r="AB81" i="13"/>
  <c r="AC81" i="13" s="1"/>
  <c r="AD81" i="13" s="1"/>
  <c r="Z81" i="13"/>
  <c r="AA81" i="13" s="1"/>
  <c r="Y81" i="13"/>
  <c r="X81" i="13"/>
  <c r="W81" i="13"/>
  <c r="R81" i="13"/>
  <c r="S81" i="13" s="1"/>
  <c r="Q81" i="13"/>
  <c r="M81" i="13"/>
  <c r="L81" i="13"/>
  <c r="K81" i="13"/>
  <c r="C81" i="13"/>
  <c r="AB80" i="13"/>
  <c r="AC80" i="13" s="1"/>
  <c r="AD80" i="13" s="1"/>
  <c r="Z80" i="13"/>
  <c r="AA80" i="13" s="1"/>
  <c r="Y80" i="13"/>
  <c r="X80" i="13"/>
  <c r="W80" i="13"/>
  <c r="R80" i="13"/>
  <c r="S80" i="13" s="1"/>
  <c r="Q80" i="13"/>
  <c r="L80" i="13"/>
  <c r="M80" i="13" s="1"/>
  <c r="K80" i="13"/>
  <c r="C80" i="13"/>
  <c r="AB79" i="13"/>
  <c r="AC79" i="13" s="1"/>
  <c r="AD79" i="13" s="1"/>
  <c r="Z79" i="13"/>
  <c r="AA79" i="13" s="1"/>
  <c r="Y79" i="13"/>
  <c r="X79" i="13"/>
  <c r="W79" i="13"/>
  <c r="R79" i="13"/>
  <c r="S79" i="13" s="1"/>
  <c r="Q79" i="13"/>
  <c r="M79" i="13"/>
  <c r="L79" i="13"/>
  <c r="K79" i="13"/>
  <c r="C79" i="13"/>
  <c r="AB78" i="13"/>
  <c r="AC78" i="13" s="1"/>
  <c r="AD78" i="13" s="1"/>
  <c r="Z78" i="13"/>
  <c r="AA78" i="13" s="1"/>
  <c r="Y78" i="13"/>
  <c r="X78" i="13"/>
  <c r="W78" i="13"/>
  <c r="R78" i="13"/>
  <c r="S78" i="13" s="1"/>
  <c r="Q78" i="13"/>
  <c r="M78" i="13"/>
  <c r="L78" i="13"/>
  <c r="K78" i="13"/>
  <c r="C78" i="13"/>
  <c r="AB77" i="13"/>
  <c r="AC77" i="13" s="1"/>
  <c r="AD77" i="13" s="1"/>
  <c r="Z77" i="13"/>
  <c r="AA77" i="13" s="1"/>
  <c r="Y77" i="13"/>
  <c r="X77" i="13"/>
  <c r="W77" i="13"/>
  <c r="R77" i="13"/>
  <c r="S77" i="13" s="1"/>
  <c r="Q77" i="13"/>
  <c r="M77" i="13"/>
  <c r="L77" i="13"/>
  <c r="K77" i="13"/>
  <c r="C77" i="13"/>
  <c r="AB76" i="13"/>
  <c r="AC76" i="13" s="1"/>
  <c r="AD76" i="13" s="1"/>
  <c r="Z76" i="13"/>
  <c r="AA76" i="13" s="1"/>
  <c r="Y76" i="13"/>
  <c r="X76" i="13"/>
  <c r="W76" i="13"/>
  <c r="R76" i="13"/>
  <c r="S76" i="13" s="1"/>
  <c r="Q76" i="13"/>
  <c r="L76" i="13"/>
  <c r="M76" i="13" s="1"/>
  <c r="K76" i="13"/>
  <c r="C76" i="13"/>
  <c r="AB75" i="13"/>
  <c r="AC75" i="13" s="1"/>
  <c r="AD75" i="13" s="1"/>
  <c r="Z75" i="13"/>
  <c r="AA75" i="13" s="1"/>
  <c r="Y75" i="13"/>
  <c r="X75" i="13"/>
  <c r="W75" i="13"/>
  <c r="R75" i="13"/>
  <c r="S75" i="13" s="1"/>
  <c r="Q75" i="13"/>
  <c r="L75" i="13"/>
  <c r="M75" i="13" s="1"/>
  <c r="K75" i="13"/>
  <c r="C75" i="13"/>
  <c r="AB74" i="13"/>
  <c r="AC74" i="13" s="1"/>
  <c r="AD74" i="13" s="1"/>
  <c r="Z74" i="13"/>
  <c r="AA74" i="13" s="1"/>
  <c r="Y74" i="13"/>
  <c r="X74" i="13"/>
  <c r="W74" i="13"/>
  <c r="R74" i="13"/>
  <c r="S74" i="13" s="1"/>
  <c r="Q74" i="13"/>
  <c r="L74" i="13"/>
  <c r="M74" i="13" s="1"/>
  <c r="K74" i="13"/>
  <c r="C74" i="13"/>
  <c r="AB73" i="13"/>
  <c r="AC73" i="13" s="1"/>
  <c r="AD73" i="13" s="1"/>
  <c r="Z73" i="13"/>
  <c r="AA73" i="13" s="1"/>
  <c r="Y73" i="13"/>
  <c r="X73" i="13"/>
  <c r="W73" i="13"/>
  <c r="R73" i="13"/>
  <c r="S73" i="13" s="1"/>
  <c r="Q73" i="13"/>
  <c r="L73" i="13"/>
  <c r="M73" i="13" s="1"/>
  <c r="K73" i="13"/>
  <c r="C73" i="13"/>
  <c r="AB72" i="13"/>
  <c r="AC72" i="13" s="1"/>
  <c r="AD72" i="13" s="1"/>
  <c r="Z72" i="13"/>
  <c r="AA72" i="13" s="1"/>
  <c r="Y72" i="13"/>
  <c r="X72" i="13"/>
  <c r="W72" i="13"/>
  <c r="S72" i="13"/>
  <c r="R72" i="13"/>
  <c r="Q72" i="13"/>
  <c r="L72" i="13"/>
  <c r="M72" i="13" s="1"/>
  <c r="K72" i="13"/>
  <c r="C72" i="13"/>
  <c r="AB71" i="13"/>
  <c r="AC71" i="13" s="1"/>
  <c r="AD71" i="13" s="1"/>
  <c r="Z71" i="13"/>
  <c r="AA71" i="13" s="1"/>
  <c r="Y71" i="13"/>
  <c r="X71" i="13"/>
  <c r="W71" i="13"/>
  <c r="R71" i="13"/>
  <c r="S71" i="13" s="1"/>
  <c r="Q71" i="13"/>
  <c r="M71" i="13"/>
  <c r="L71" i="13"/>
  <c r="K71" i="13"/>
  <c r="C71" i="13"/>
  <c r="AB70" i="13"/>
  <c r="AC70" i="13" s="1"/>
  <c r="AD70" i="13" s="1"/>
  <c r="Z70" i="13"/>
  <c r="AA70" i="13" s="1"/>
  <c r="Y70" i="13"/>
  <c r="X70" i="13"/>
  <c r="W70" i="13"/>
  <c r="R70" i="13"/>
  <c r="S70" i="13" s="1"/>
  <c r="Q70" i="13"/>
  <c r="M70" i="13"/>
  <c r="L70" i="13"/>
  <c r="K70" i="13"/>
  <c r="C70" i="13"/>
  <c r="AB69" i="13"/>
  <c r="AC69" i="13" s="1"/>
  <c r="AD69" i="13" s="1"/>
  <c r="Z69" i="13"/>
  <c r="AA69" i="13" s="1"/>
  <c r="Y69" i="13"/>
  <c r="X69" i="13"/>
  <c r="W69" i="13"/>
  <c r="S69" i="13"/>
  <c r="R69" i="13"/>
  <c r="Q69" i="13"/>
  <c r="L69" i="13"/>
  <c r="M69" i="13" s="1"/>
  <c r="K69" i="13"/>
  <c r="C69" i="13"/>
  <c r="AB67" i="13"/>
  <c r="AC67" i="13" s="1"/>
  <c r="AD67" i="13" s="1"/>
  <c r="Z67" i="13"/>
  <c r="AA67" i="13" s="1"/>
  <c r="Y67" i="13"/>
  <c r="X67" i="13"/>
  <c r="W67" i="13"/>
  <c r="R67" i="13"/>
  <c r="S67" i="13" s="1"/>
  <c r="Q67" i="13"/>
  <c r="L67" i="13"/>
  <c r="M67" i="13" s="1"/>
  <c r="K67" i="13"/>
  <c r="C67" i="13"/>
  <c r="AB66" i="13"/>
  <c r="AC66" i="13" s="1"/>
  <c r="AD66" i="13" s="1"/>
  <c r="Z66" i="13"/>
  <c r="AA66" i="13" s="1"/>
  <c r="Y66" i="13"/>
  <c r="X66" i="13"/>
  <c r="W66" i="13"/>
  <c r="R66" i="13"/>
  <c r="S66" i="13" s="1"/>
  <c r="Q66" i="13"/>
  <c r="L66" i="13"/>
  <c r="M66" i="13" s="1"/>
  <c r="K66" i="13"/>
  <c r="C66" i="13"/>
  <c r="AB65" i="13"/>
  <c r="AC65" i="13" s="1"/>
  <c r="AD65" i="13" s="1"/>
  <c r="Z65" i="13"/>
  <c r="AA65" i="13" s="1"/>
  <c r="Y65" i="13"/>
  <c r="X65" i="13"/>
  <c r="W65" i="13"/>
  <c r="R65" i="13"/>
  <c r="S65" i="13" s="1"/>
  <c r="Q65" i="13"/>
  <c r="L65" i="13"/>
  <c r="M65" i="13" s="1"/>
  <c r="K65" i="13"/>
  <c r="C65" i="13"/>
  <c r="AB64" i="13"/>
  <c r="AC64" i="13" s="1"/>
  <c r="Z64" i="13"/>
  <c r="AA64" i="13" s="1"/>
  <c r="Y64" i="13"/>
  <c r="X64" i="13"/>
  <c r="W64" i="13"/>
  <c r="S64" i="13"/>
  <c r="R64" i="13"/>
  <c r="Q64" i="13"/>
  <c r="L64" i="13"/>
  <c r="M64" i="13" s="1"/>
  <c r="K64" i="13"/>
  <c r="C64" i="13"/>
  <c r="AB63" i="13"/>
  <c r="AC63" i="13" s="1"/>
  <c r="AD63" i="13" s="1"/>
  <c r="Z63" i="13"/>
  <c r="AA63" i="13" s="1"/>
  <c r="Y63" i="13"/>
  <c r="X63" i="13"/>
  <c r="W63" i="13"/>
  <c r="R63" i="13"/>
  <c r="S63" i="13" s="1"/>
  <c r="Q63" i="13"/>
  <c r="L63" i="13"/>
  <c r="M63" i="13" s="1"/>
  <c r="K63" i="13"/>
  <c r="C63" i="13"/>
  <c r="AB62" i="13"/>
  <c r="AC62" i="13" s="1"/>
  <c r="AD62" i="13" s="1"/>
  <c r="Z62" i="13"/>
  <c r="AA62" i="13" s="1"/>
  <c r="Y62" i="13"/>
  <c r="X62" i="13"/>
  <c r="W62" i="13"/>
  <c r="R62" i="13"/>
  <c r="S62" i="13" s="1"/>
  <c r="Q62" i="13"/>
  <c r="M62" i="13"/>
  <c r="L62" i="13"/>
  <c r="K62" i="13"/>
  <c r="C62" i="13"/>
  <c r="AB61" i="13"/>
  <c r="AC61" i="13" s="1"/>
  <c r="AD61" i="13" s="1"/>
  <c r="Z61" i="13"/>
  <c r="AA61" i="13" s="1"/>
  <c r="Y61" i="13"/>
  <c r="X61" i="13"/>
  <c r="W61" i="13"/>
  <c r="R61" i="13"/>
  <c r="S61" i="13" s="1"/>
  <c r="Q61" i="13"/>
  <c r="M61" i="13"/>
  <c r="L61" i="13"/>
  <c r="K61" i="13"/>
  <c r="C61" i="13"/>
  <c r="AB60" i="13"/>
  <c r="AC60" i="13" s="1"/>
  <c r="Z60" i="13"/>
  <c r="AA60" i="13" s="1"/>
  <c r="Y60" i="13"/>
  <c r="X60" i="13"/>
  <c r="W60" i="13"/>
  <c r="R60" i="13"/>
  <c r="S60" i="13" s="1"/>
  <c r="Q60" i="13"/>
  <c r="L60" i="13"/>
  <c r="M60" i="13" s="1"/>
  <c r="K60" i="13"/>
  <c r="C60" i="13"/>
  <c r="AB59" i="13"/>
  <c r="AC59" i="13" s="1"/>
  <c r="AD59" i="13" s="1"/>
  <c r="Z59" i="13"/>
  <c r="AA59" i="13" s="1"/>
  <c r="Y59" i="13"/>
  <c r="X59" i="13"/>
  <c r="W59" i="13"/>
  <c r="S59" i="13"/>
  <c r="R59" i="13"/>
  <c r="Q59" i="13"/>
  <c r="L59" i="13"/>
  <c r="M59" i="13" s="1"/>
  <c r="K59" i="13"/>
  <c r="C59" i="13"/>
  <c r="AB58" i="13"/>
  <c r="AC58" i="13" s="1"/>
  <c r="AD58" i="13" s="1"/>
  <c r="Z58" i="13"/>
  <c r="AA58" i="13" s="1"/>
  <c r="Y58" i="13"/>
  <c r="X58" i="13"/>
  <c r="W58" i="13"/>
  <c r="R58" i="13"/>
  <c r="S58" i="13" s="1"/>
  <c r="Q58" i="13"/>
  <c r="L58" i="13"/>
  <c r="M58" i="13" s="1"/>
  <c r="K58" i="13"/>
  <c r="C58" i="13"/>
  <c r="AB57" i="13"/>
  <c r="AC57" i="13" s="1"/>
  <c r="AD57" i="13" s="1"/>
  <c r="Z57" i="13"/>
  <c r="AA57" i="13" s="1"/>
  <c r="Y57" i="13"/>
  <c r="X57" i="13"/>
  <c r="W57" i="13"/>
  <c r="S57" i="13"/>
  <c r="R57" i="13"/>
  <c r="Q57" i="13"/>
  <c r="L57" i="13"/>
  <c r="M57" i="13" s="1"/>
  <c r="K57" i="13"/>
  <c r="C57" i="13"/>
  <c r="AB56" i="13"/>
  <c r="AC56" i="13" s="1"/>
  <c r="Z56" i="13"/>
  <c r="AA56" i="13" s="1"/>
  <c r="Y56" i="13"/>
  <c r="X56" i="13"/>
  <c r="W56" i="13"/>
  <c r="R56" i="13"/>
  <c r="S56" i="13" s="1"/>
  <c r="Q56" i="13"/>
  <c r="M56" i="13"/>
  <c r="L56" i="13"/>
  <c r="K56" i="13"/>
  <c r="C56" i="13"/>
  <c r="AB55" i="13"/>
  <c r="AC55" i="13" s="1"/>
  <c r="AD55" i="13" s="1"/>
  <c r="Z55" i="13"/>
  <c r="AA55" i="13" s="1"/>
  <c r="Y55" i="13"/>
  <c r="X55" i="13"/>
  <c r="W55" i="13"/>
  <c r="R55" i="13"/>
  <c r="S55" i="13" s="1"/>
  <c r="Q55" i="13"/>
  <c r="L55" i="13"/>
  <c r="M55" i="13" s="1"/>
  <c r="K55" i="13"/>
  <c r="C55" i="13"/>
  <c r="AB54" i="13"/>
  <c r="AC54" i="13" s="1"/>
  <c r="AD54" i="13" s="1"/>
  <c r="Z54" i="13"/>
  <c r="AA54" i="13" s="1"/>
  <c r="Y54" i="13"/>
  <c r="X54" i="13"/>
  <c r="W54" i="13"/>
  <c r="R54" i="13"/>
  <c r="S54" i="13" s="1"/>
  <c r="Q54" i="13"/>
  <c r="M54" i="13"/>
  <c r="L54" i="13"/>
  <c r="K54" i="13"/>
  <c r="C54" i="13"/>
  <c r="AB53" i="13"/>
  <c r="AC53" i="13" s="1"/>
  <c r="AD53" i="13" s="1"/>
  <c r="Z53" i="13"/>
  <c r="AA53" i="13" s="1"/>
  <c r="Y53" i="13"/>
  <c r="X53" i="13"/>
  <c r="W53" i="13"/>
  <c r="S53" i="13"/>
  <c r="R53" i="13"/>
  <c r="Q53" i="13"/>
  <c r="M53" i="13"/>
  <c r="L53" i="13"/>
  <c r="K53" i="13"/>
  <c r="C53" i="13"/>
  <c r="AB52" i="13"/>
  <c r="AC52" i="13" s="1"/>
  <c r="Z52" i="13"/>
  <c r="AA52" i="13" s="1"/>
  <c r="Y52" i="13"/>
  <c r="X52" i="13"/>
  <c r="W52" i="13"/>
  <c r="S52" i="13"/>
  <c r="R52" i="13"/>
  <c r="Q52" i="13"/>
  <c r="L52" i="13"/>
  <c r="M52" i="13" s="1"/>
  <c r="K52" i="13"/>
  <c r="C52" i="13"/>
  <c r="AB51" i="13"/>
  <c r="AC51" i="13" s="1"/>
  <c r="AD51" i="13" s="1"/>
  <c r="Z51" i="13"/>
  <c r="AA51" i="13" s="1"/>
  <c r="Y51" i="13"/>
  <c r="X51" i="13"/>
  <c r="W51" i="13"/>
  <c r="R51" i="13"/>
  <c r="S51" i="13" s="1"/>
  <c r="Q51" i="13"/>
  <c r="L51" i="13"/>
  <c r="M51" i="13" s="1"/>
  <c r="K51" i="13"/>
  <c r="C51" i="13"/>
  <c r="AB50" i="13"/>
  <c r="AC50" i="13" s="1"/>
  <c r="AD50" i="13" s="1"/>
  <c r="Z50" i="13"/>
  <c r="AA50" i="13" s="1"/>
  <c r="Y50" i="13"/>
  <c r="X50" i="13"/>
  <c r="W50" i="13"/>
  <c r="R50" i="13"/>
  <c r="S50" i="13" s="1"/>
  <c r="Q50" i="13"/>
  <c r="L50" i="13"/>
  <c r="M50" i="13" s="1"/>
  <c r="K50" i="13"/>
  <c r="C50" i="13"/>
  <c r="AB49" i="13"/>
  <c r="AC49" i="13" s="1"/>
  <c r="AD49" i="13" s="1"/>
  <c r="Z49" i="13"/>
  <c r="AA49" i="13" s="1"/>
  <c r="Y49" i="13"/>
  <c r="X49" i="13"/>
  <c r="W49" i="13"/>
  <c r="S49" i="13"/>
  <c r="R49" i="13"/>
  <c r="Q49" i="13"/>
  <c r="L49" i="13"/>
  <c r="M49" i="13" s="1"/>
  <c r="K49" i="13"/>
  <c r="C49" i="13"/>
  <c r="AB48" i="13"/>
  <c r="AC48" i="13" s="1"/>
  <c r="Z48" i="13"/>
  <c r="AA48" i="13" s="1"/>
  <c r="Y48" i="13"/>
  <c r="X48" i="13"/>
  <c r="W48" i="13"/>
  <c r="S48" i="13"/>
  <c r="R48" i="13"/>
  <c r="Q48" i="13"/>
  <c r="M48" i="13"/>
  <c r="L48" i="13"/>
  <c r="K48" i="13"/>
  <c r="C48" i="13"/>
  <c r="AB47" i="13"/>
  <c r="AC47" i="13" s="1"/>
  <c r="AD47" i="13" s="1"/>
  <c r="Z47" i="13"/>
  <c r="AA47" i="13" s="1"/>
  <c r="Y47" i="13"/>
  <c r="X47" i="13"/>
  <c r="W47" i="13"/>
  <c r="S47" i="13"/>
  <c r="R47" i="13"/>
  <c r="Q47" i="13"/>
  <c r="M47" i="13"/>
  <c r="L47" i="13"/>
  <c r="K47" i="13"/>
  <c r="C47" i="13"/>
  <c r="AB46" i="13"/>
  <c r="AC46" i="13" s="1"/>
  <c r="AD46" i="13" s="1"/>
  <c r="Z46" i="13"/>
  <c r="AA46" i="13" s="1"/>
  <c r="Y46" i="13"/>
  <c r="X46" i="13"/>
  <c r="W46" i="13"/>
  <c r="S46" i="13"/>
  <c r="R46" i="13"/>
  <c r="Q46" i="13"/>
  <c r="M46" i="13"/>
  <c r="L46" i="13"/>
  <c r="K46" i="13"/>
  <c r="C46" i="13"/>
  <c r="AB45" i="13"/>
  <c r="AC45" i="13" s="1"/>
  <c r="AD45" i="13" s="1"/>
  <c r="Z45" i="13"/>
  <c r="AA45" i="13" s="1"/>
  <c r="Y45" i="13"/>
  <c r="X45" i="13"/>
  <c r="W45" i="13"/>
  <c r="S45" i="13"/>
  <c r="R45" i="13"/>
  <c r="Q45" i="13"/>
  <c r="M45" i="13"/>
  <c r="L45" i="13"/>
  <c r="K45" i="13"/>
  <c r="C45" i="13"/>
  <c r="AB44" i="13"/>
  <c r="AC44" i="13" s="1"/>
  <c r="AD44" i="13" s="1"/>
  <c r="Z44" i="13"/>
  <c r="AA44" i="13" s="1"/>
  <c r="Y44" i="13"/>
  <c r="X44" i="13"/>
  <c r="W44" i="13"/>
  <c r="S44" i="13"/>
  <c r="R44" i="13"/>
  <c r="Q44" i="13"/>
  <c r="L44" i="13"/>
  <c r="M44" i="13" s="1"/>
  <c r="K44" i="13"/>
  <c r="C44" i="13"/>
  <c r="AB43" i="13"/>
  <c r="AC43" i="13" s="1"/>
  <c r="AD43" i="13" s="1"/>
  <c r="Z43" i="13"/>
  <c r="AA43" i="13" s="1"/>
  <c r="Y43" i="13"/>
  <c r="X43" i="13"/>
  <c r="W43" i="13"/>
  <c r="S43" i="13"/>
  <c r="R43" i="13"/>
  <c r="Q43" i="13"/>
  <c r="L43" i="13"/>
  <c r="M43" i="13" s="1"/>
  <c r="K43" i="13"/>
  <c r="C43" i="13"/>
  <c r="AB42" i="13"/>
  <c r="AC42" i="13" s="1"/>
  <c r="AD42" i="13" s="1"/>
  <c r="Z42" i="13"/>
  <c r="AA42" i="13" s="1"/>
  <c r="Y42" i="13"/>
  <c r="X42" i="13"/>
  <c r="W42" i="13"/>
  <c r="R42" i="13"/>
  <c r="S42" i="13" s="1"/>
  <c r="Q42" i="13"/>
  <c r="L42" i="13"/>
  <c r="M42" i="13" s="1"/>
  <c r="K42" i="13"/>
  <c r="C42" i="13"/>
  <c r="AB41" i="13"/>
  <c r="AC41" i="13" s="1"/>
  <c r="AD41" i="13" s="1"/>
  <c r="AA41" i="13"/>
  <c r="Z41" i="13"/>
  <c r="Y41" i="13"/>
  <c r="X41" i="13"/>
  <c r="W41" i="13"/>
  <c r="R41" i="13"/>
  <c r="S41" i="13" s="1"/>
  <c r="Q41" i="13"/>
  <c r="M41" i="13"/>
  <c r="L41" i="13"/>
  <c r="K41" i="13"/>
  <c r="C41" i="13"/>
  <c r="AB40" i="13"/>
  <c r="AC40" i="13" s="1"/>
  <c r="Z40" i="13"/>
  <c r="AA40" i="13" s="1"/>
  <c r="Y40" i="13"/>
  <c r="X40" i="13"/>
  <c r="W40" i="13"/>
  <c r="R40" i="13"/>
  <c r="S40" i="13" s="1"/>
  <c r="Q40" i="13"/>
  <c r="L40" i="13"/>
  <c r="M40" i="13" s="1"/>
  <c r="K40" i="13"/>
  <c r="C40" i="13"/>
  <c r="AB39" i="13"/>
  <c r="AC39" i="13" s="1"/>
  <c r="AD39" i="13" s="1"/>
  <c r="Z39" i="13"/>
  <c r="AA39" i="13" s="1"/>
  <c r="Y39" i="13"/>
  <c r="X39" i="13"/>
  <c r="W39" i="13"/>
  <c r="R39" i="13"/>
  <c r="S39" i="13" s="1"/>
  <c r="Q39" i="13"/>
  <c r="L39" i="13"/>
  <c r="M39" i="13" s="1"/>
  <c r="K39" i="13"/>
  <c r="C39" i="13"/>
  <c r="AB38" i="13"/>
  <c r="AC38" i="13" s="1"/>
  <c r="AD38" i="13" s="1"/>
  <c r="Z38" i="13"/>
  <c r="AA38" i="13" s="1"/>
  <c r="Y38" i="13"/>
  <c r="X38" i="13"/>
  <c r="W38" i="13"/>
  <c r="R38" i="13"/>
  <c r="S38" i="13" s="1"/>
  <c r="Q38" i="13"/>
  <c r="L38" i="13"/>
  <c r="M38" i="13" s="1"/>
  <c r="K38" i="13"/>
  <c r="C38" i="13"/>
  <c r="AB37" i="13"/>
  <c r="AC37" i="13" s="1"/>
  <c r="AD37" i="13" s="1"/>
  <c r="Z37" i="13"/>
  <c r="AA37" i="13" s="1"/>
  <c r="Y37" i="13"/>
  <c r="X37" i="13"/>
  <c r="W37" i="13"/>
  <c r="R37" i="13"/>
  <c r="S37" i="13" s="1"/>
  <c r="Q37" i="13"/>
  <c r="M37" i="13"/>
  <c r="L37" i="13"/>
  <c r="K37" i="13"/>
  <c r="C37" i="13"/>
  <c r="AB36" i="13"/>
  <c r="AC36" i="13" s="1"/>
  <c r="L33" i="8" s="1"/>
  <c r="Z36" i="13"/>
  <c r="AA36" i="13" s="1"/>
  <c r="Y36" i="13"/>
  <c r="X36" i="13"/>
  <c r="W36" i="13"/>
  <c r="R36" i="13"/>
  <c r="S36" i="13" s="1"/>
  <c r="Q36" i="13"/>
  <c r="L36" i="13"/>
  <c r="M36" i="13" s="1"/>
  <c r="K36" i="13"/>
  <c r="C36" i="13"/>
  <c r="AB35" i="13"/>
  <c r="AC35" i="13" s="1"/>
  <c r="AD35" i="13" s="1"/>
  <c r="Z35" i="13"/>
  <c r="AA35" i="13" s="1"/>
  <c r="Y35" i="13"/>
  <c r="X35" i="13"/>
  <c r="W35" i="13"/>
  <c r="R35" i="13"/>
  <c r="S35" i="13" s="1"/>
  <c r="Q35" i="13"/>
  <c r="L35" i="13"/>
  <c r="M35" i="13" s="1"/>
  <c r="K35" i="13"/>
  <c r="C35" i="13"/>
  <c r="AB34" i="13"/>
  <c r="AC34" i="13" s="1"/>
  <c r="AD34" i="13" s="1"/>
  <c r="Z34" i="13"/>
  <c r="AA34" i="13" s="1"/>
  <c r="Y34" i="13"/>
  <c r="X34" i="13"/>
  <c r="W34" i="13"/>
  <c r="S34" i="13"/>
  <c r="R34" i="13"/>
  <c r="Q34" i="13"/>
  <c r="L34" i="13"/>
  <c r="M34" i="13" s="1"/>
  <c r="K34" i="13"/>
  <c r="C34" i="13"/>
  <c r="AB33" i="13"/>
  <c r="AC33" i="13" s="1"/>
  <c r="AD33" i="13" s="1"/>
  <c r="Z33" i="13"/>
  <c r="AA33" i="13" s="1"/>
  <c r="Y33" i="13"/>
  <c r="X33" i="13"/>
  <c r="W33" i="13"/>
  <c r="S33" i="13"/>
  <c r="R33" i="13"/>
  <c r="Q33" i="13"/>
  <c r="M33" i="13"/>
  <c r="L33" i="13"/>
  <c r="K33" i="13"/>
  <c r="C33" i="13"/>
  <c r="AB32" i="13"/>
  <c r="AC32" i="13" s="1"/>
  <c r="Z32" i="13"/>
  <c r="AA32" i="13" s="1"/>
  <c r="Y32" i="13"/>
  <c r="X32" i="13"/>
  <c r="W32" i="13"/>
  <c r="S32" i="13"/>
  <c r="R32" i="13"/>
  <c r="Q32" i="13"/>
  <c r="M32" i="13"/>
  <c r="L32" i="13"/>
  <c r="K32" i="13"/>
  <c r="C32" i="13"/>
  <c r="AB31" i="13"/>
  <c r="AC31" i="13" s="1"/>
  <c r="AD31" i="13" s="1"/>
  <c r="Z31" i="13"/>
  <c r="AA31" i="13" s="1"/>
  <c r="Y31" i="13"/>
  <c r="X31" i="13"/>
  <c r="W31" i="13"/>
  <c r="S31" i="13"/>
  <c r="R31" i="13"/>
  <c r="Q31" i="13"/>
  <c r="M31" i="13"/>
  <c r="L31" i="13"/>
  <c r="K31" i="13"/>
  <c r="C31" i="13"/>
  <c r="AB30" i="13"/>
  <c r="AC30" i="13" s="1"/>
  <c r="AD30" i="13" s="1"/>
  <c r="Z30" i="13"/>
  <c r="AA30" i="13" s="1"/>
  <c r="Y30" i="13"/>
  <c r="X30" i="13"/>
  <c r="W30" i="13"/>
  <c r="S30" i="13"/>
  <c r="R30" i="13"/>
  <c r="Q30" i="13"/>
  <c r="M30" i="13"/>
  <c r="L30" i="13"/>
  <c r="K30" i="13"/>
  <c r="C30" i="13"/>
  <c r="AB29" i="13"/>
  <c r="AC29" i="13" s="1"/>
  <c r="AD29" i="13" s="1"/>
  <c r="Z29" i="13"/>
  <c r="AA29" i="13" s="1"/>
  <c r="Y29" i="13"/>
  <c r="X29" i="13"/>
  <c r="W29" i="13"/>
  <c r="S29" i="13"/>
  <c r="R29" i="13"/>
  <c r="Q29" i="13"/>
  <c r="M29" i="13"/>
  <c r="L29" i="13"/>
  <c r="K29" i="13"/>
  <c r="C29" i="13"/>
  <c r="AB28" i="13"/>
  <c r="AC28" i="13" s="1"/>
  <c r="Z28" i="13"/>
  <c r="AA28" i="13" s="1"/>
  <c r="Y28" i="13"/>
  <c r="X28" i="13"/>
  <c r="W28" i="13"/>
  <c r="S28" i="13"/>
  <c r="R28" i="13"/>
  <c r="Q28" i="13"/>
  <c r="L28" i="13"/>
  <c r="M28" i="13" s="1"/>
  <c r="K28" i="13"/>
  <c r="C28" i="13"/>
  <c r="AB27" i="13"/>
  <c r="AC27" i="13" s="1"/>
  <c r="AD27" i="13" s="1"/>
  <c r="Z27" i="13"/>
  <c r="AA27" i="13" s="1"/>
  <c r="Y27" i="13"/>
  <c r="X27" i="13"/>
  <c r="W27" i="13"/>
  <c r="S27" i="13"/>
  <c r="R27" i="13"/>
  <c r="Q27" i="13"/>
  <c r="L27" i="13"/>
  <c r="M27" i="13" s="1"/>
  <c r="K27" i="13"/>
  <c r="C27" i="13"/>
  <c r="AB26" i="13"/>
  <c r="AC26" i="13" s="1"/>
  <c r="AD26" i="13" s="1"/>
  <c r="Z26" i="13"/>
  <c r="AA26" i="13" s="1"/>
  <c r="Y26" i="13"/>
  <c r="X26" i="13"/>
  <c r="W26" i="13"/>
  <c r="R26" i="13"/>
  <c r="S26" i="13" s="1"/>
  <c r="Q26" i="13"/>
  <c r="L26" i="13"/>
  <c r="M26" i="13" s="1"/>
  <c r="K26" i="13"/>
  <c r="C26" i="13"/>
  <c r="AB25" i="13"/>
  <c r="AC25" i="13" s="1"/>
  <c r="AD25" i="13" s="1"/>
  <c r="Z25" i="13"/>
  <c r="AA25" i="13" s="1"/>
  <c r="Y25" i="13"/>
  <c r="X25" i="13"/>
  <c r="W25" i="13"/>
  <c r="R25" i="13"/>
  <c r="S25" i="13" s="1"/>
  <c r="Q25" i="13"/>
  <c r="M25" i="13"/>
  <c r="L25" i="13"/>
  <c r="K25" i="13"/>
  <c r="C25" i="13"/>
  <c r="AB24" i="13"/>
  <c r="AC24" i="13" s="1"/>
  <c r="Z24" i="13"/>
  <c r="AA24" i="13" s="1"/>
  <c r="Y24" i="13"/>
  <c r="X24" i="13"/>
  <c r="W24" i="13"/>
  <c r="R24" i="13"/>
  <c r="S24" i="13" s="1"/>
  <c r="Q24" i="13"/>
  <c r="L24" i="13"/>
  <c r="M24" i="13" s="1"/>
  <c r="K24" i="13"/>
  <c r="C24" i="13"/>
  <c r="AB23" i="13"/>
  <c r="AC23" i="13" s="1"/>
  <c r="AD23" i="13" s="1"/>
  <c r="Z23" i="13"/>
  <c r="AA23" i="13" s="1"/>
  <c r="Y23" i="13"/>
  <c r="X23" i="13"/>
  <c r="W23" i="13"/>
  <c r="S23" i="13"/>
  <c r="R23" i="13"/>
  <c r="Q23" i="13"/>
  <c r="L23" i="13"/>
  <c r="M23" i="13" s="1"/>
  <c r="K23" i="13"/>
  <c r="C23" i="13"/>
  <c r="AB22" i="13"/>
  <c r="AC22" i="13" s="1"/>
  <c r="AD22" i="13" s="1"/>
  <c r="Z22" i="13"/>
  <c r="AA22" i="13" s="1"/>
  <c r="Y22" i="13"/>
  <c r="X22" i="13"/>
  <c r="W22" i="13"/>
  <c r="S22" i="13"/>
  <c r="R22" i="13"/>
  <c r="Q22" i="13"/>
  <c r="L22" i="13"/>
  <c r="M22" i="13" s="1"/>
  <c r="K22" i="13"/>
  <c r="C22" i="13"/>
  <c r="AB21" i="13"/>
  <c r="AC21" i="13" s="1"/>
  <c r="AD21" i="13" s="1"/>
  <c r="Z21" i="13"/>
  <c r="AA21" i="13" s="1"/>
  <c r="Y21" i="13"/>
  <c r="X21" i="13"/>
  <c r="W21" i="13"/>
  <c r="S21" i="13"/>
  <c r="R21" i="13"/>
  <c r="Q21" i="13"/>
  <c r="M21" i="13"/>
  <c r="L21" i="13"/>
  <c r="K21" i="13"/>
  <c r="C21" i="13"/>
  <c r="AB20" i="13"/>
  <c r="AC20" i="13" s="1"/>
  <c r="AD20" i="13" s="1"/>
  <c r="Z20" i="13"/>
  <c r="AA20" i="13" s="1"/>
  <c r="Y20" i="13"/>
  <c r="X20" i="13"/>
  <c r="W20" i="13"/>
  <c r="S20" i="13"/>
  <c r="R20" i="13"/>
  <c r="Q20" i="13"/>
  <c r="L20" i="13"/>
  <c r="M20" i="13" s="1"/>
  <c r="K20" i="13"/>
  <c r="C20" i="13"/>
  <c r="AB19" i="13"/>
  <c r="AC19" i="13" s="1"/>
  <c r="AD19" i="13" s="1"/>
  <c r="Z19" i="13"/>
  <c r="AA19" i="13" s="1"/>
  <c r="Y19" i="13"/>
  <c r="X19" i="13"/>
  <c r="W19" i="13"/>
  <c r="R19" i="13"/>
  <c r="S19" i="13" s="1"/>
  <c r="Q19" i="13"/>
  <c r="M19" i="13"/>
  <c r="L19" i="13"/>
  <c r="K19" i="13"/>
  <c r="C19" i="13"/>
  <c r="AB18" i="13"/>
  <c r="AC18" i="13" s="1"/>
  <c r="AD18" i="13" s="1"/>
  <c r="Z18" i="13"/>
  <c r="AA18" i="13" s="1"/>
  <c r="Y18" i="13"/>
  <c r="X18" i="13"/>
  <c r="W18" i="13"/>
  <c r="R18" i="13"/>
  <c r="S18" i="13" s="1"/>
  <c r="Q18" i="13"/>
  <c r="M18" i="13"/>
  <c r="L18" i="13"/>
  <c r="K18" i="13"/>
  <c r="C18" i="13"/>
  <c r="Q15" i="13"/>
  <c r="K15" i="13"/>
  <c r="J11" i="13"/>
  <c r="Q10" i="13"/>
  <c r="J10" i="13"/>
  <c r="Z7" i="13"/>
  <c r="F7" i="13"/>
  <c r="Z5" i="13"/>
  <c r="R5" i="13"/>
  <c r="F5" i="13"/>
  <c r="AB118" i="12"/>
  <c r="AC118" i="12" s="1"/>
  <c r="AD118" i="12" s="1"/>
  <c r="Z118" i="12"/>
  <c r="AA118" i="12" s="1"/>
  <c r="Y118" i="12"/>
  <c r="X118" i="12"/>
  <c r="W118" i="12"/>
  <c r="R118" i="12"/>
  <c r="S118" i="12" s="1"/>
  <c r="Q118" i="12"/>
  <c r="M118" i="12"/>
  <c r="L118" i="12"/>
  <c r="K118" i="12"/>
  <c r="C118" i="12"/>
  <c r="AB117" i="12"/>
  <c r="AC117" i="12" s="1"/>
  <c r="AD117" i="12" s="1"/>
  <c r="Z117" i="12"/>
  <c r="AA117" i="12" s="1"/>
  <c r="Y117" i="12"/>
  <c r="X117" i="12"/>
  <c r="W117" i="12"/>
  <c r="R117" i="12"/>
  <c r="S117" i="12" s="1"/>
  <c r="Q117" i="12"/>
  <c r="M117" i="12"/>
  <c r="L117" i="12"/>
  <c r="K117" i="12"/>
  <c r="C117" i="12"/>
  <c r="AB116" i="12"/>
  <c r="AC116" i="12" s="1"/>
  <c r="AD116" i="12" s="1"/>
  <c r="AA116" i="12"/>
  <c r="Z116" i="12"/>
  <c r="Y116" i="12"/>
  <c r="X116" i="12"/>
  <c r="W116" i="12"/>
  <c r="S116" i="12"/>
  <c r="R116" i="12"/>
  <c r="Q116" i="12"/>
  <c r="L116" i="12"/>
  <c r="M116" i="12" s="1"/>
  <c r="K116" i="12"/>
  <c r="C116" i="12"/>
  <c r="AB115" i="12"/>
  <c r="AC115" i="12" s="1"/>
  <c r="AD115" i="12" s="1"/>
  <c r="Z115" i="12"/>
  <c r="AA115" i="12" s="1"/>
  <c r="Y115" i="12"/>
  <c r="X115" i="12"/>
  <c r="W115" i="12"/>
  <c r="R115" i="12"/>
  <c r="S115" i="12" s="1"/>
  <c r="Q115" i="12"/>
  <c r="L115" i="12"/>
  <c r="M115" i="12" s="1"/>
  <c r="K115" i="12"/>
  <c r="C115" i="12"/>
  <c r="AB114" i="12"/>
  <c r="AC114" i="12" s="1"/>
  <c r="AD114" i="12" s="1"/>
  <c r="Z114" i="12"/>
  <c r="AA114" i="12" s="1"/>
  <c r="Y114" i="12"/>
  <c r="X114" i="12"/>
  <c r="W114" i="12"/>
  <c r="R114" i="12"/>
  <c r="S114" i="12" s="1"/>
  <c r="Q114" i="12"/>
  <c r="L114" i="12"/>
  <c r="M114" i="12" s="1"/>
  <c r="K114" i="12"/>
  <c r="C114" i="12"/>
  <c r="AB113" i="12"/>
  <c r="AC113" i="12" s="1"/>
  <c r="AD113" i="12" s="1"/>
  <c r="Z113" i="12"/>
  <c r="AA113" i="12" s="1"/>
  <c r="Y113" i="12"/>
  <c r="X113" i="12"/>
  <c r="W113" i="12"/>
  <c r="S113" i="12"/>
  <c r="R113" i="12"/>
  <c r="Q113" i="12"/>
  <c r="L113" i="12"/>
  <c r="M113" i="12" s="1"/>
  <c r="K113" i="12"/>
  <c r="C113" i="12"/>
  <c r="AB112" i="12"/>
  <c r="AC112" i="12" s="1"/>
  <c r="AD112" i="12" s="1"/>
  <c r="Z112" i="12"/>
  <c r="AA112" i="12" s="1"/>
  <c r="Y112" i="12"/>
  <c r="X112" i="12"/>
  <c r="W112" i="12"/>
  <c r="S112" i="12"/>
  <c r="R112" i="12"/>
  <c r="Q112" i="12"/>
  <c r="L112" i="12"/>
  <c r="M112" i="12" s="1"/>
  <c r="K112" i="12"/>
  <c r="C112" i="12"/>
  <c r="AB111" i="12"/>
  <c r="AC111" i="12" s="1"/>
  <c r="AD111" i="12" s="1"/>
  <c r="Z111" i="12"/>
  <c r="AA111" i="12" s="1"/>
  <c r="Y111" i="12"/>
  <c r="X111" i="12"/>
  <c r="W111" i="12"/>
  <c r="R111" i="12"/>
  <c r="S111" i="12" s="1"/>
  <c r="Q111" i="12"/>
  <c r="L111" i="12"/>
  <c r="M111" i="12" s="1"/>
  <c r="K111" i="12"/>
  <c r="C111" i="12"/>
  <c r="AB110" i="12"/>
  <c r="AC110" i="12" s="1"/>
  <c r="AD110" i="12" s="1"/>
  <c r="Z110" i="12"/>
  <c r="AA110" i="12" s="1"/>
  <c r="Y110" i="12"/>
  <c r="X110" i="12"/>
  <c r="W110" i="12"/>
  <c r="R110" i="12"/>
  <c r="S110" i="12" s="1"/>
  <c r="Q110" i="12"/>
  <c r="L110" i="12"/>
  <c r="M110" i="12" s="1"/>
  <c r="K110" i="12"/>
  <c r="C110" i="12"/>
  <c r="AB109" i="12"/>
  <c r="AC109" i="12" s="1"/>
  <c r="AD109" i="12" s="1"/>
  <c r="Z109" i="12"/>
  <c r="AA109" i="12" s="1"/>
  <c r="Y109" i="12"/>
  <c r="X109" i="12"/>
  <c r="W109" i="12"/>
  <c r="R109" i="12"/>
  <c r="S109" i="12" s="1"/>
  <c r="Q109" i="12"/>
  <c r="L109" i="12"/>
  <c r="M109" i="12" s="1"/>
  <c r="K109" i="12"/>
  <c r="C109" i="12"/>
  <c r="AB108" i="12"/>
  <c r="AC108" i="12" s="1"/>
  <c r="AD108" i="12" s="1"/>
  <c r="AA108" i="12"/>
  <c r="Z108" i="12"/>
  <c r="Y108" i="12"/>
  <c r="X108" i="12"/>
  <c r="W108" i="12"/>
  <c r="R108" i="12"/>
  <c r="S108" i="12" s="1"/>
  <c r="Q108" i="12"/>
  <c r="L108" i="12"/>
  <c r="M108" i="12" s="1"/>
  <c r="K108" i="12"/>
  <c r="C108" i="12"/>
  <c r="AB107" i="12"/>
  <c r="AC107" i="12" s="1"/>
  <c r="AD107" i="12" s="1"/>
  <c r="Z107" i="12"/>
  <c r="AA107" i="12" s="1"/>
  <c r="Y107" i="12"/>
  <c r="X107" i="12"/>
  <c r="W107" i="12"/>
  <c r="R107" i="12"/>
  <c r="S107" i="12" s="1"/>
  <c r="Q107" i="12"/>
  <c r="L107" i="12"/>
  <c r="M107" i="12" s="1"/>
  <c r="K107" i="12"/>
  <c r="C107" i="12"/>
  <c r="AB106" i="12"/>
  <c r="AC106" i="12" s="1"/>
  <c r="AD106" i="12" s="1"/>
  <c r="Z106" i="12"/>
  <c r="AA106" i="12" s="1"/>
  <c r="Y106" i="12"/>
  <c r="X106" i="12"/>
  <c r="W106" i="12"/>
  <c r="R106" i="12"/>
  <c r="S106" i="12" s="1"/>
  <c r="Q106" i="12"/>
  <c r="L106" i="12"/>
  <c r="M106" i="12" s="1"/>
  <c r="K106" i="12"/>
  <c r="C106" i="12"/>
  <c r="AB105" i="12"/>
  <c r="AC105" i="12" s="1"/>
  <c r="AD105" i="12" s="1"/>
  <c r="AA105" i="12"/>
  <c r="Z105" i="12"/>
  <c r="Y105" i="12"/>
  <c r="X105" i="12"/>
  <c r="W105" i="12"/>
  <c r="S105" i="12"/>
  <c r="R105" i="12"/>
  <c r="Q105" i="12"/>
  <c r="L105" i="12"/>
  <c r="M105" i="12" s="1"/>
  <c r="K105" i="12"/>
  <c r="C105" i="12"/>
  <c r="AB104" i="12"/>
  <c r="AC104" i="12" s="1"/>
  <c r="AD104" i="12" s="1"/>
  <c r="AA104" i="12"/>
  <c r="Z104" i="12"/>
  <c r="Y104" i="12"/>
  <c r="X104" i="12"/>
  <c r="W104" i="12"/>
  <c r="S104" i="12"/>
  <c r="R104" i="12"/>
  <c r="Q104" i="12"/>
  <c r="L104" i="12"/>
  <c r="M104" i="12" s="1"/>
  <c r="K104" i="12"/>
  <c r="C104" i="12"/>
  <c r="AB103" i="12"/>
  <c r="AC103" i="12" s="1"/>
  <c r="AD103" i="12" s="1"/>
  <c r="AA103" i="12"/>
  <c r="Z103" i="12"/>
  <c r="Y103" i="12"/>
  <c r="X103" i="12"/>
  <c r="W103" i="12"/>
  <c r="R103" i="12"/>
  <c r="S103" i="12" s="1"/>
  <c r="Q103" i="12"/>
  <c r="L103" i="12"/>
  <c r="M103" i="12" s="1"/>
  <c r="K103" i="12"/>
  <c r="C103" i="12"/>
  <c r="AB102" i="12"/>
  <c r="AC102" i="12" s="1"/>
  <c r="AD102" i="12" s="1"/>
  <c r="Z102" i="12"/>
  <c r="AA102" i="12" s="1"/>
  <c r="Y102" i="12"/>
  <c r="X102" i="12"/>
  <c r="W102" i="12"/>
  <c r="R102" i="12"/>
  <c r="S102" i="12" s="1"/>
  <c r="Q102" i="12"/>
  <c r="L102" i="12"/>
  <c r="M102" i="12" s="1"/>
  <c r="K102" i="12"/>
  <c r="C102" i="12"/>
  <c r="AB101" i="12"/>
  <c r="AC101" i="12" s="1"/>
  <c r="AD101" i="12" s="1"/>
  <c r="Z101" i="12"/>
  <c r="AA101" i="12" s="1"/>
  <c r="Y101" i="12"/>
  <c r="X101" i="12"/>
  <c r="W101" i="12"/>
  <c r="S101" i="12"/>
  <c r="R101" i="12"/>
  <c r="Q101" i="12"/>
  <c r="L101" i="12"/>
  <c r="M101" i="12" s="1"/>
  <c r="K101" i="12"/>
  <c r="C101" i="12"/>
  <c r="AB100" i="12"/>
  <c r="AC100" i="12" s="1"/>
  <c r="AD100" i="12" s="1"/>
  <c r="AA100" i="12"/>
  <c r="Z100" i="12"/>
  <c r="Y100" i="12"/>
  <c r="X100" i="12"/>
  <c r="W100" i="12"/>
  <c r="S100" i="12"/>
  <c r="R100" i="12"/>
  <c r="Q100" i="12"/>
  <c r="L100" i="12"/>
  <c r="M100" i="12" s="1"/>
  <c r="K100" i="12"/>
  <c r="C100" i="12"/>
  <c r="AB99" i="12"/>
  <c r="AC99" i="12" s="1"/>
  <c r="AD99" i="12" s="1"/>
  <c r="AA99" i="12"/>
  <c r="Z99" i="12"/>
  <c r="Y99" i="12"/>
  <c r="X99" i="12"/>
  <c r="W99" i="12"/>
  <c r="R99" i="12"/>
  <c r="S99" i="12" s="1"/>
  <c r="Q99" i="12"/>
  <c r="L99" i="12"/>
  <c r="M99" i="12" s="1"/>
  <c r="K99" i="12"/>
  <c r="C99" i="12"/>
  <c r="AB98" i="12"/>
  <c r="AC98" i="12" s="1"/>
  <c r="AD98" i="12" s="1"/>
  <c r="Z98" i="12"/>
  <c r="AA98" i="12" s="1"/>
  <c r="Y98" i="12"/>
  <c r="X98" i="12"/>
  <c r="W98" i="12"/>
  <c r="R98" i="12"/>
  <c r="S98" i="12" s="1"/>
  <c r="Q98" i="12"/>
  <c r="M98" i="12"/>
  <c r="L98" i="12"/>
  <c r="K98" i="12"/>
  <c r="C98" i="12"/>
  <c r="AB97" i="12"/>
  <c r="AC97" i="12" s="1"/>
  <c r="AD97" i="12" s="1"/>
  <c r="AA97" i="12"/>
  <c r="Z97" i="12"/>
  <c r="Y97" i="12"/>
  <c r="X97" i="12"/>
  <c r="W97" i="12"/>
  <c r="R97" i="12"/>
  <c r="S97" i="12" s="1"/>
  <c r="Q97" i="12"/>
  <c r="L97" i="12"/>
  <c r="M97" i="12" s="1"/>
  <c r="K97" i="12"/>
  <c r="C97" i="12"/>
  <c r="AB96" i="12"/>
  <c r="AC96" i="12" s="1"/>
  <c r="AD96" i="12" s="1"/>
  <c r="Z96" i="12"/>
  <c r="AA96" i="12" s="1"/>
  <c r="Y96" i="12"/>
  <c r="X96" i="12"/>
  <c r="W96" i="12"/>
  <c r="R96" i="12"/>
  <c r="S96" i="12" s="1"/>
  <c r="Q96" i="12"/>
  <c r="L96" i="12"/>
  <c r="M96" i="12" s="1"/>
  <c r="K96" i="12"/>
  <c r="C96" i="12"/>
  <c r="AB95" i="12"/>
  <c r="AC95" i="12" s="1"/>
  <c r="AD95" i="12" s="1"/>
  <c r="Z95" i="12"/>
  <c r="AA95" i="12" s="1"/>
  <c r="Y95" i="12"/>
  <c r="X95" i="12"/>
  <c r="W95" i="12"/>
  <c r="R95" i="12"/>
  <c r="S95" i="12" s="1"/>
  <c r="Q95" i="12"/>
  <c r="L95" i="12"/>
  <c r="M95" i="12" s="1"/>
  <c r="K95" i="12"/>
  <c r="C95" i="12"/>
  <c r="AB94" i="12"/>
  <c r="AC94" i="12" s="1"/>
  <c r="AD94" i="12" s="1"/>
  <c r="Z94" i="12"/>
  <c r="AA94" i="12" s="1"/>
  <c r="Y94" i="12"/>
  <c r="X94" i="12"/>
  <c r="W94" i="12"/>
  <c r="R94" i="12"/>
  <c r="S94" i="12" s="1"/>
  <c r="Q94" i="12"/>
  <c r="M94" i="12"/>
  <c r="L94" i="12"/>
  <c r="K94" i="12"/>
  <c r="C94" i="12"/>
  <c r="AB93" i="12"/>
  <c r="AC93" i="12" s="1"/>
  <c r="Z93" i="12"/>
  <c r="AA93" i="12" s="1"/>
  <c r="Y93" i="12"/>
  <c r="X93" i="12"/>
  <c r="W93" i="12"/>
  <c r="R93" i="12"/>
  <c r="S93" i="12" s="1"/>
  <c r="Q93" i="12"/>
  <c r="M93" i="12"/>
  <c r="L93" i="12"/>
  <c r="K93" i="12"/>
  <c r="C93" i="12"/>
  <c r="AB92" i="12"/>
  <c r="AC92" i="12" s="1"/>
  <c r="AD92" i="12" s="1"/>
  <c r="Z92" i="12"/>
  <c r="AA92" i="12" s="1"/>
  <c r="Y92" i="12"/>
  <c r="X92" i="12"/>
  <c r="W92" i="12"/>
  <c r="S92" i="12"/>
  <c r="R92" i="12"/>
  <c r="Q92" i="12"/>
  <c r="L92" i="12"/>
  <c r="M92" i="12" s="1"/>
  <c r="K92" i="12"/>
  <c r="C92" i="12"/>
  <c r="AB91" i="12"/>
  <c r="AC91" i="12" s="1"/>
  <c r="AD91" i="12" s="1"/>
  <c r="Z91" i="12"/>
  <c r="AA91" i="12" s="1"/>
  <c r="Y91" i="12"/>
  <c r="X91" i="12"/>
  <c r="W91" i="12"/>
  <c r="R91" i="12"/>
  <c r="S91" i="12" s="1"/>
  <c r="Q91" i="12"/>
  <c r="L91" i="12"/>
  <c r="M91" i="12" s="1"/>
  <c r="K91" i="12"/>
  <c r="C91" i="12"/>
  <c r="AB90" i="12"/>
  <c r="AC90" i="12" s="1"/>
  <c r="AD90" i="12" s="1"/>
  <c r="Z90" i="12"/>
  <c r="AA90" i="12" s="1"/>
  <c r="Y90" i="12"/>
  <c r="X90" i="12"/>
  <c r="W90" i="12"/>
  <c r="R90" i="12"/>
  <c r="S90" i="12" s="1"/>
  <c r="Q90" i="12"/>
  <c r="M90" i="12"/>
  <c r="L90" i="12"/>
  <c r="K90" i="12"/>
  <c r="C90" i="12"/>
  <c r="AB89" i="12"/>
  <c r="AC89" i="12" s="1"/>
  <c r="Z89" i="12"/>
  <c r="AA89" i="12" s="1"/>
  <c r="Y89" i="12"/>
  <c r="X89" i="12"/>
  <c r="W89" i="12"/>
  <c r="S89" i="12"/>
  <c r="R89" i="12"/>
  <c r="Q89" i="12"/>
  <c r="M89" i="12"/>
  <c r="L89" i="12"/>
  <c r="K89" i="12"/>
  <c r="C89" i="12"/>
  <c r="AB88" i="12"/>
  <c r="AC88" i="12" s="1"/>
  <c r="AD88" i="12" s="1"/>
  <c r="AA88" i="12"/>
  <c r="Z88" i="12"/>
  <c r="Y88" i="12"/>
  <c r="X88" i="12"/>
  <c r="W88" i="12"/>
  <c r="R88" i="12"/>
  <c r="S88" i="12" s="1"/>
  <c r="Q88" i="12"/>
  <c r="L88" i="12"/>
  <c r="M88" i="12" s="1"/>
  <c r="K88" i="12"/>
  <c r="C88" i="12"/>
  <c r="AB87" i="12"/>
  <c r="AC87" i="12" s="1"/>
  <c r="AD87" i="12" s="1"/>
  <c r="Z87" i="12"/>
  <c r="AA87" i="12" s="1"/>
  <c r="Y87" i="12"/>
  <c r="X87" i="12"/>
  <c r="W87" i="12"/>
  <c r="R87" i="12"/>
  <c r="S87" i="12" s="1"/>
  <c r="Q87" i="12"/>
  <c r="L87" i="12"/>
  <c r="M87" i="12" s="1"/>
  <c r="K87" i="12"/>
  <c r="C87" i="12"/>
  <c r="AB86" i="12"/>
  <c r="AC86" i="12" s="1"/>
  <c r="AD86" i="12" s="1"/>
  <c r="Z86" i="12"/>
  <c r="AA86" i="12" s="1"/>
  <c r="Y86" i="12"/>
  <c r="X86" i="12"/>
  <c r="W86" i="12"/>
  <c r="R86" i="12"/>
  <c r="S86" i="12" s="1"/>
  <c r="Q86" i="12"/>
  <c r="M86" i="12"/>
  <c r="L86" i="12"/>
  <c r="K86" i="12"/>
  <c r="C86" i="12"/>
  <c r="AB85" i="12"/>
  <c r="AC85" i="12" s="1"/>
  <c r="Z85" i="12"/>
  <c r="AA85" i="12" s="1"/>
  <c r="Y85" i="12"/>
  <c r="X85" i="12"/>
  <c r="W85" i="12"/>
  <c r="R85" i="12"/>
  <c r="S85" i="12" s="1"/>
  <c r="Q85" i="12"/>
  <c r="M85" i="12"/>
  <c r="L85" i="12"/>
  <c r="K85" i="12"/>
  <c r="C85" i="12"/>
  <c r="AB84" i="12"/>
  <c r="AC84" i="12" s="1"/>
  <c r="AD84" i="12" s="1"/>
  <c r="Z84" i="12"/>
  <c r="AA84" i="12" s="1"/>
  <c r="Y84" i="12"/>
  <c r="X84" i="12"/>
  <c r="W84" i="12"/>
  <c r="S84" i="12"/>
  <c r="R84" i="12"/>
  <c r="Q84" i="12"/>
  <c r="L84" i="12"/>
  <c r="M84" i="12" s="1"/>
  <c r="K84" i="12"/>
  <c r="C84" i="12"/>
  <c r="AB83" i="12"/>
  <c r="AC83" i="12" s="1"/>
  <c r="AD83" i="12" s="1"/>
  <c r="Z83" i="12"/>
  <c r="AA83" i="12" s="1"/>
  <c r="Y83" i="12"/>
  <c r="X83" i="12"/>
  <c r="W83" i="12"/>
  <c r="R83" i="12"/>
  <c r="S83" i="12" s="1"/>
  <c r="Q83" i="12"/>
  <c r="L83" i="12"/>
  <c r="M83" i="12" s="1"/>
  <c r="K83" i="12"/>
  <c r="C83" i="12"/>
  <c r="AB82" i="12"/>
  <c r="AC82" i="12" s="1"/>
  <c r="AD82" i="12" s="1"/>
  <c r="Z82" i="12"/>
  <c r="AA82" i="12" s="1"/>
  <c r="Y82" i="12"/>
  <c r="X82" i="12"/>
  <c r="W82" i="12"/>
  <c r="R82" i="12"/>
  <c r="S82" i="12" s="1"/>
  <c r="Q82" i="12"/>
  <c r="M82" i="12"/>
  <c r="L82" i="12"/>
  <c r="K82" i="12"/>
  <c r="C82" i="12"/>
  <c r="AB81" i="12"/>
  <c r="AC81" i="12" s="1"/>
  <c r="Z81" i="12"/>
  <c r="AA81" i="12" s="1"/>
  <c r="Y81" i="12"/>
  <c r="X81" i="12"/>
  <c r="W81" i="12"/>
  <c r="R81" i="12"/>
  <c r="S81" i="12" s="1"/>
  <c r="Q81" i="12"/>
  <c r="M81" i="12"/>
  <c r="L81" i="12"/>
  <c r="K81" i="12"/>
  <c r="C81" i="12"/>
  <c r="AB80" i="12"/>
  <c r="AC80" i="12" s="1"/>
  <c r="AD80" i="12" s="1"/>
  <c r="Z80" i="12"/>
  <c r="AA80" i="12" s="1"/>
  <c r="Y80" i="12"/>
  <c r="X80" i="12"/>
  <c r="W80" i="12"/>
  <c r="R80" i="12"/>
  <c r="S80" i="12" s="1"/>
  <c r="Q80" i="12"/>
  <c r="L80" i="12"/>
  <c r="M80" i="12" s="1"/>
  <c r="K80" i="12"/>
  <c r="C80" i="12"/>
  <c r="AB79" i="12"/>
  <c r="AC79" i="12" s="1"/>
  <c r="AD79" i="12" s="1"/>
  <c r="AA79" i="12"/>
  <c r="Z79" i="12"/>
  <c r="Y79" i="12"/>
  <c r="X79" i="12"/>
  <c r="W79" i="12"/>
  <c r="R79" i="12"/>
  <c r="S79" i="12" s="1"/>
  <c r="Q79" i="12"/>
  <c r="L79" i="12"/>
  <c r="M79" i="12" s="1"/>
  <c r="K79" i="12"/>
  <c r="C79" i="12"/>
  <c r="AB78" i="12"/>
  <c r="AC78" i="12" s="1"/>
  <c r="AD78" i="12" s="1"/>
  <c r="Z78" i="12"/>
  <c r="AA78" i="12" s="1"/>
  <c r="Y78" i="12"/>
  <c r="X78" i="12"/>
  <c r="W78" i="12"/>
  <c r="R78" i="12"/>
  <c r="S78" i="12" s="1"/>
  <c r="Q78" i="12"/>
  <c r="M78" i="12"/>
  <c r="L78" i="12"/>
  <c r="K78" i="12"/>
  <c r="C78" i="12"/>
  <c r="AB77" i="12"/>
  <c r="AC77" i="12" s="1"/>
  <c r="Z77" i="12"/>
  <c r="AA77" i="12" s="1"/>
  <c r="Y77" i="12"/>
  <c r="X77" i="12"/>
  <c r="W77" i="12"/>
  <c r="R77" i="12"/>
  <c r="S77" i="12" s="1"/>
  <c r="Q77" i="12"/>
  <c r="M77" i="12"/>
  <c r="L77" i="12"/>
  <c r="K77" i="12"/>
  <c r="C77" i="12"/>
  <c r="AB76" i="12"/>
  <c r="AC76" i="12" s="1"/>
  <c r="AD76" i="12" s="1"/>
  <c r="Z76" i="12"/>
  <c r="AA76" i="12" s="1"/>
  <c r="Y76" i="12"/>
  <c r="X76" i="12"/>
  <c r="W76" i="12"/>
  <c r="R76" i="12"/>
  <c r="S76" i="12" s="1"/>
  <c r="Q76" i="12"/>
  <c r="L76" i="12"/>
  <c r="M76" i="12" s="1"/>
  <c r="K76" i="12"/>
  <c r="C76" i="12"/>
  <c r="AB75" i="12"/>
  <c r="AC75" i="12" s="1"/>
  <c r="AD75" i="12" s="1"/>
  <c r="AA75" i="12"/>
  <c r="Z75" i="12"/>
  <c r="Y75" i="12"/>
  <c r="X75" i="12"/>
  <c r="W75" i="12"/>
  <c r="R75" i="12"/>
  <c r="S75" i="12" s="1"/>
  <c r="Q75" i="12"/>
  <c r="L75" i="12"/>
  <c r="M75" i="12" s="1"/>
  <c r="K75" i="12"/>
  <c r="C75" i="12"/>
  <c r="AB74" i="12"/>
  <c r="AC74" i="12" s="1"/>
  <c r="AD74" i="12" s="1"/>
  <c r="Z74" i="12"/>
  <c r="AA74" i="12" s="1"/>
  <c r="Y74" i="12"/>
  <c r="X74" i="12"/>
  <c r="W74" i="12"/>
  <c r="R74" i="12"/>
  <c r="S74" i="12" s="1"/>
  <c r="Q74" i="12"/>
  <c r="M74" i="12"/>
  <c r="L74" i="12"/>
  <c r="K74" i="12"/>
  <c r="C74" i="12"/>
  <c r="AB73" i="12"/>
  <c r="AC73" i="12" s="1"/>
  <c r="Z73" i="12"/>
  <c r="AA73" i="12" s="1"/>
  <c r="Y73" i="12"/>
  <c r="X73" i="12"/>
  <c r="W73" i="12"/>
  <c r="R73" i="12"/>
  <c r="S73" i="12" s="1"/>
  <c r="Q73" i="12"/>
  <c r="M73" i="12"/>
  <c r="L73" i="12"/>
  <c r="K73" i="12"/>
  <c r="C73" i="12"/>
  <c r="AB72" i="12"/>
  <c r="AC72" i="12" s="1"/>
  <c r="AD72" i="12" s="1"/>
  <c r="Z72" i="12"/>
  <c r="AA72" i="12" s="1"/>
  <c r="Y72" i="12"/>
  <c r="X72" i="12"/>
  <c r="W72" i="12"/>
  <c r="R72" i="12"/>
  <c r="S72" i="12" s="1"/>
  <c r="Q72" i="12"/>
  <c r="M72" i="12"/>
  <c r="L72" i="12"/>
  <c r="K72" i="12"/>
  <c r="C72" i="12"/>
  <c r="AB71" i="12"/>
  <c r="AC71" i="12" s="1"/>
  <c r="AD71" i="12" s="1"/>
  <c r="Z71" i="12"/>
  <c r="AA71" i="12" s="1"/>
  <c r="Y71" i="12"/>
  <c r="X71" i="12"/>
  <c r="W71" i="12"/>
  <c r="S71" i="12"/>
  <c r="R71" i="12"/>
  <c r="Q71" i="12"/>
  <c r="L71" i="12"/>
  <c r="M71" i="12" s="1"/>
  <c r="K71" i="12"/>
  <c r="C71" i="12"/>
  <c r="AB70" i="12"/>
  <c r="AC70" i="12" s="1"/>
  <c r="AD70" i="12" s="1"/>
  <c r="Z70" i="12"/>
  <c r="AA70" i="12" s="1"/>
  <c r="Y70" i="12"/>
  <c r="X70" i="12"/>
  <c r="W70" i="12"/>
  <c r="R70" i="12"/>
  <c r="S70" i="12" s="1"/>
  <c r="Q70" i="12"/>
  <c r="M70" i="12"/>
  <c r="L70" i="12"/>
  <c r="K70" i="12"/>
  <c r="C70" i="12"/>
  <c r="AB69" i="12"/>
  <c r="AC69" i="12" s="1"/>
  <c r="AD69" i="12" s="1"/>
  <c r="AA69" i="12"/>
  <c r="Z69" i="12"/>
  <c r="Y69" i="12"/>
  <c r="X69" i="12"/>
  <c r="W69" i="12"/>
  <c r="S69" i="12"/>
  <c r="R69" i="12"/>
  <c r="Q69" i="12"/>
  <c r="L69" i="12"/>
  <c r="M69" i="12" s="1"/>
  <c r="K69" i="12"/>
  <c r="C69" i="12"/>
  <c r="AB67" i="12"/>
  <c r="AC67" i="12" s="1"/>
  <c r="AD67" i="12" s="1"/>
  <c r="AA67" i="12"/>
  <c r="Z67" i="12"/>
  <c r="Y67" i="12"/>
  <c r="X67" i="12"/>
  <c r="W67" i="12"/>
  <c r="S67" i="12"/>
  <c r="R67" i="12"/>
  <c r="Q67" i="12"/>
  <c r="L67" i="12"/>
  <c r="M67" i="12" s="1"/>
  <c r="K67" i="12"/>
  <c r="C67" i="12"/>
  <c r="AB66" i="12"/>
  <c r="AC66" i="12" s="1"/>
  <c r="AD66" i="12" s="1"/>
  <c r="AA66" i="12"/>
  <c r="Z66" i="12"/>
  <c r="Y66" i="12"/>
  <c r="X66" i="12"/>
  <c r="W66" i="12"/>
  <c r="S66" i="12"/>
  <c r="R66" i="12"/>
  <c r="Q66" i="12"/>
  <c r="L66" i="12"/>
  <c r="M66" i="12" s="1"/>
  <c r="K66" i="12"/>
  <c r="C66" i="12"/>
  <c r="AB65" i="12"/>
  <c r="AC65" i="12" s="1"/>
  <c r="AD65" i="12" s="1"/>
  <c r="Z65" i="12"/>
  <c r="AA65" i="12" s="1"/>
  <c r="Y65" i="12"/>
  <c r="X65" i="12"/>
  <c r="W65" i="12"/>
  <c r="R65" i="12"/>
  <c r="S65" i="12" s="1"/>
  <c r="Q65" i="12"/>
  <c r="L65" i="12"/>
  <c r="M65" i="12" s="1"/>
  <c r="K65" i="12"/>
  <c r="C65" i="12"/>
  <c r="AB64" i="12"/>
  <c r="AC64" i="12" s="1"/>
  <c r="AD64" i="12" s="1"/>
  <c r="Z64" i="12"/>
  <c r="AA64" i="12" s="1"/>
  <c r="Y64" i="12"/>
  <c r="X64" i="12"/>
  <c r="W64" i="12"/>
  <c r="R64" i="12"/>
  <c r="S64" i="12" s="1"/>
  <c r="Q64" i="12"/>
  <c r="M64" i="12"/>
  <c r="L64" i="12"/>
  <c r="K64" i="12"/>
  <c r="C64" i="12"/>
  <c r="AB63" i="12"/>
  <c r="AC63" i="12" s="1"/>
  <c r="AD63" i="12" s="1"/>
  <c r="Z63" i="12"/>
  <c r="AA63" i="12" s="1"/>
  <c r="Y63" i="12"/>
  <c r="X63" i="12"/>
  <c r="W63" i="12"/>
  <c r="S63" i="12"/>
  <c r="R63" i="12"/>
  <c r="Q63" i="12"/>
  <c r="L63" i="12"/>
  <c r="M63" i="12" s="1"/>
  <c r="K63" i="12"/>
  <c r="C63" i="12"/>
  <c r="AB62" i="12"/>
  <c r="AC62" i="12" s="1"/>
  <c r="AD62" i="12" s="1"/>
  <c r="Z62" i="12"/>
  <c r="AA62" i="12" s="1"/>
  <c r="Y62" i="12"/>
  <c r="X62" i="12"/>
  <c r="W62" i="12"/>
  <c r="S62" i="12"/>
  <c r="R62" i="12"/>
  <c r="Q62" i="12"/>
  <c r="L62" i="12"/>
  <c r="M62" i="12" s="1"/>
  <c r="K62" i="12"/>
  <c r="C62" i="12"/>
  <c r="AB61" i="12"/>
  <c r="AC61" i="12" s="1"/>
  <c r="AD61" i="12" s="1"/>
  <c r="Z61" i="12"/>
  <c r="AA61" i="12" s="1"/>
  <c r="Y61" i="12"/>
  <c r="X61" i="12"/>
  <c r="W61" i="12"/>
  <c r="R61" i="12"/>
  <c r="S61" i="12" s="1"/>
  <c r="Q61" i="12"/>
  <c r="M61" i="12"/>
  <c r="L61" i="12"/>
  <c r="K61" i="12"/>
  <c r="C61" i="12"/>
  <c r="AB60" i="12"/>
  <c r="AC60" i="12" s="1"/>
  <c r="AD60" i="12" s="1"/>
  <c r="AA60" i="12"/>
  <c r="Z60" i="12"/>
  <c r="Y60" i="12"/>
  <c r="X60" i="12"/>
  <c r="W60" i="12"/>
  <c r="S60" i="12"/>
  <c r="R60" i="12"/>
  <c r="Q60" i="12"/>
  <c r="M60" i="12"/>
  <c r="L60" i="12"/>
  <c r="K60" i="12"/>
  <c r="C60" i="12"/>
  <c r="AB59" i="12"/>
  <c r="AC59" i="12" s="1"/>
  <c r="AD59" i="12" s="1"/>
  <c r="Z59" i="12"/>
  <c r="AA59" i="12" s="1"/>
  <c r="Y59" i="12"/>
  <c r="X59" i="12"/>
  <c r="W59" i="12"/>
  <c r="S59" i="12"/>
  <c r="R59" i="12"/>
  <c r="Q59" i="12"/>
  <c r="L59" i="12"/>
  <c r="M59" i="12" s="1"/>
  <c r="K59" i="12"/>
  <c r="C59" i="12"/>
  <c r="AB58" i="12"/>
  <c r="AC58" i="12" s="1"/>
  <c r="AD58" i="12" s="1"/>
  <c r="Z58" i="12"/>
  <c r="AA58" i="12" s="1"/>
  <c r="Y58" i="12"/>
  <c r="X58" i="12"/>
  <c r="W58" i="12"/>
  <c r="S58" i="12"/>
  <c r="R58" i="12"/>
  <c r="Q58" i="12"/>
  <c r="L58" i="12"/>
  <c r="M58" i="12" s="1"/>
  <c r="K58" i="12"/>
  <c r="C58" i="12"/>
  <c r="AB57" i="12"/>
  <c r="AC57" i="12" s="1"/>
  <c r="AD57" i="12" s="1"/>
  <c r="Z57" i="12"/>
  <c r="AA57" i="12" s="1"/>
  <c r="Y57" i="12"/>
  <c r="X57" i="12"/>
  <c r="W57" i="12"/>
  <c r="R57" i="12"/>
  <c r="S57" i="12" s="1"/>
  <c r="Q57" i="12"/>
  <c r="M57" i="12"/>
  <c r="L57" i="12"/>
  <c r="K57" i="12"/>
  <c r="C57" i="12"/>
  <c r="AB56" i="12"/>
  <c r="AC56" i="12" s="1"/>
  <c r="AA56" i="12"/>
  <c r="Z56" i="12"/>
  <c r="Y56" i="12"/>
  <c r="X56" i="12"/>
  <c r="W56" i="12"/>
  <c r="S56" i="12"/>
  <c r="R56" i="12"/>
  <c r="Q56" i="12"/>
  <c r="M56" i="12"/>
  <c r="L56" i="12"/>
  <c r="K56" i="12"/>
  <c r="C56" i="12"/>
  <c r="AB55" i="12"/>
  <c r="AC55" i="12" s="1"/>
  <c r="AD55" i="12" s="1"/>
  <c r="Z55" i="12"/>
  <c r="AA55" i="12" s="1"/>
  <c r="Y55" i="12"/>
  <c r="X55" i="12"/>
  <c r="W55" i="12"/>
  <c r="S55" i="12"/>
  <c r="R55" i="12"/>
  <c r="Q55" i="12"/>
  <c r="M55" i="12"/>
  <c r="L55" i="12"/>
  <c r="K55" i="12"/>
  <c r="C55" i="12"/>
  <c r="AB54" i="12"/>
  <c r="AC54" i="12" s="1"/>
  <c r="AD54" i="12" s="1"/>
  <c r="AA54" i="12"/>
  <c r="Z54" i="12"/>
  <c r="Y54" i="12"/>
  <c r="X54" i="12"/>
  <c r="W54" i="12"/>
  <c r="S54" i="12"/>
  <c r="R54" i="12"/>
  <c r="Q54" i="12"/>
  <c r="L54" i="12"/>
  <c r="M54" i="12" s="1"/>
  <c r="K54" i="12"/>
  <c r="C54" i="12"/>
  <c r="AB53" i="12"/>
  <c r="AC53" i="12" s="1"/>
  <c r="AD53" i="12" s="1"/>
  <c r="Z53" i="12"/>
  <c r="AA53" i="12" s="1"/>
  <c r="Y53" i="12"/>
  <c r="X53" i="12"/>
  <c r="W53" i="12"/>
  <c r="R53" i="12"/>
  <c r="S53" i="12" s="1"/>
  <c r="Q53" i="12"/>
  <c r="M53" i="12"/>
  <c r="L53" i="12"/>
  <c r="K53" i="12"/>
  <c r="C53" i="12"/>
  <c r="AC52" i="12"/>
  <c r="AD52" i="12" s="1"/>
  <c r="AB52" i="12"/>
  <c r="AA52" i="12"/>
  <c r="Z52" i="12"/>
  <c r="Y52" i="12"/>
  <c r="X52" i="12"/>
  <c r="W52" i="12"/>
  <c r="S52" i="12"/>
  <c r="R52" i="12"/>
  <c r="Q52" i="12"/>
  <c r="M52" i="12"/>
  <c r="L52" i="12"/>
  <c r="K52" i="12"/>
  <c r="C52" i="12"/>
  <c r="AB51" i="12"/>
  <c r="AC51" i="12" s="1"/>
  <c r="AD51" i="12" s="1"/>
  <c r="Z51" i="12"/>
  <c r="AA51" i="12" s="1"/>
  <c r="Y51" i="12"/>
  <c r="X51" i="12"/>
  <c r="W51" i="12"/>
  <c r="R51" i="12"/>
  <c r="S51" i="12" s="1"/>
  <c r="Q51" i="12"/>
  <c r="L51" i="12"/>
  <c r="M51" i="12" s="1"/>
  <c r="K51" i="12"/>
  <c r="C51" i="12"/>
  <c r="AB50" i="12"/>
  <c r="AC50" i="12" s="1"/>
  <c r="AD50" i="12" s="1"/>
  <c r="AA50" i="12"/>
  <c r="Z50" i="12"/>
  <c r="Y50" i="12"/>
  <c r="X50" i="12"/>
  <c r="W50" i="12"/>
  <c r="R50" i="12"/>
  <c r="S50" i="12" s="1"/>
  <c r="Q50" i="12"/>
  <c r="L50" i="12"/>
  <c r="M50" i="12" s="1"/>
  <c r="K50" i="12"/>
  <c r="C50" i="12"/>
  <c r="AB49" i="12"/>
  <c r="AC49" i="12" s="1"/>
  <c r="AD49" i="12" s="1"/>
  <c r="Z49" i="12"/>
  <c r="AA49" i="12" s="1"/>
  <c r="Y49" i="12"/>
  <c r="X49" i="12"/>
  <c r="W49" i="12"/>
  <c r="R49" i="12"/>
  <c r="S49" i="12" s="1"/>
  <c r="Q49" i="12"/>
  <c r="M49" i="12"/>
  <c r="L49" i="12"/>
  <c r="K49" i="12"/>
  <c r="C49" i="12"/>
  <c r="AB48" i="12"/>
  <c r="AC48" i="12" s="1"/>
  <c r="AA48" i="12"/>
  <c r="Z48" i="12"/>
  <c r="Y48" i="12"/>
  <c r="X48" i="12"/>
  <c r="W48" i="12"/>
  <c r="S48" i="12"/>
  <c r="R48" i="12"/>
  <c r="Q48" i="12"/>
  <c r="M48" i="12"/>
  <c r="L48" i="12"/>
  <c r="K48" i="12"/>
  <c r="C48" i="12"/>
  <c r="AB47" i="12"/>
  <c r="AC47" i="12" s="1"/>
  <c r="AD47" i="12" s="1"/>
  <c r="Z47" i="12"/>
  <c r="AA47" i="12" s="1"/>
  <c r="Y47" i="12"/>
  <c r="X47" i="12"/>
  <c r="W47" i="12"/>
  <c r="R47" i="12"/>
  <c r="S47" i="12" s="1"/>
  <c r="Q47" i="12"/>
  <c r="M47" i="12"/>
  <c r="L47" i="12"/>
  <c r="K47" i="12"/>
  <c r="C47" i="12"/>
  <c r="AB46" i="12"/>
  <c r="AC46" i="12" s="1"/>
  <c r="AD46" i="12" s="1"/>
  <c r="Z46" i="12"/>
  <c r="AA46" i="12" s="1"/>
  <c r="Y46" i="12"/>
  <c r="X46" i="12"/>
  <c r="W46" i="12"/>
  <c r="S46" i="12"/>
  <c r="R46" i="12"/>
  <c r="Q46" i="12"/>
  <c r="L46" i="12"/>
  <c r="M46" i="12" s="1"/>
  <c r="K46" i="12"/>
  <c r="C46" i="12"/>
  <c r="AB45" i="12"/>
  <c r="AC45" i="12" s="1"/>
  <c r="AD45" i="12" s="1"/>
  <c r="Z45" i="12"/>
  <c r="AA45" i="12" s="1"/>
  <c r="Y45" i="12"/>
  <c r="X45" i="12"/>
  <c r="W45" i="12"/>
  <c r="R45" i="12"/>
  <c r="S45" i="12" s="1"/>
  <c r="Q45" i="12"/>
  <c r="M45" i="12"/>
  <c r="L45" i="12"/>
  <c r="K45" i="12"/>
  <c r="C45" i="12"/>
  <c r="AB44" i="12"/>
  <c r="AC44" i="12" s="1"/>
  <c r="AD44" i="12" s="1"/>
  <c r="Z44" i="12"/>
  <c r="AA44" i="12" s="1"/>
  <c r="Y44" i="12"/>
  <c r="X44" i="12"/>
  <c r="W44" i="12"/>
  <c r="S44" i="12"/>
  <c r="R44" i="12"/>
  <c r="Q44" i="12"/>
  <c r="L44" i="12"/>
  <c r="M44" i="12" s="1"/>
  <c r="K44" i="12"/>
  <c r="C44" i="12"/>
  <c r="AB43" i="12"/>
  <c r="AC43" i="12" s="1"/>
  <c r="AD43" i="12" s="1"/>
  <c r="Z43" i="12"/>
  <c r="AA43" i="12" s="1"/>
  <c r="Y43" i="12"/>
  <c r="X43" i="12"/>
  <c r="W43" i="12"/>
  <c r="S43" i="12"/>
  <c r="R43" i="12"/>
  <c r="Q43" i="12"/>
  <c r="L43" i="12"/>
  <c r="M43" i="12" s="1"/>
  <c r="K43" i="12"/>
  <c r="C43" i="12"/>
  <c r="AB42" i="12"/>
  <c r="AC42" i="12" s="1"/>
  <c r="AD42" i="12" s="1"/>
  <c r="Z42" i="12"/>
  <c r="AA42" i="12" s="1"/>
  <c r="Y42" i="12"/>
  <c r="X42" i="12"/>
  <c r="W42" i="12"/>
  <c r="S42" i="12"/>
  <c r="R42" i="12"/>
  <c r="Q42" i="12"/>
  <c r="L42" i="12"/>
  <c r="M42" i="12" s="1"/>
  <c r="K42" i="12"/>
  <c r="C42" i="12"/>
  <c r="AB41" i="12"/>
  <c r="AC41" i="12" s="1"/>
  <c r="AD41" i="12" s="1"/>
  <c r="Z41" i="12"/>
  <c r="AA41" i="12" s="1"/>
  <c r="Y41" i="12"/>
  <c r="X41" i="12"/>
  <c r="W41" i="12"/>
  <c r="R41" i="12"/>
  <c r="S41" i="12" s="1"/>
  <c r="Q41" i="12"/>
  <c r="L41" i="12"/>
  <c r="M41" i="12" s="1"/>
  <c r="K41" i="12"/>
  <c r="C41" i="12"/>
  <c r="AB40" i="12"/>
  <c r="AC40" i="12" s="1"/>
  <c r="AD40" i="12" s="1"/>
  <c r="Z40" i="12"/>
  <c r="AA40" i="12" s="1"/>
  <c r="Y40" i="12"/>
  <c r="X40" i="12"/>
  <c r="W40" i="12"/>
  <c r="R40" i="12"/>
  <c r="S40" i="12" s="1"/>
  <c r="Q40" i="12"/>
  <c r="M40" i="12"/>
  <c r="L40" i="12"/>
  <c r="K40" i="12"/>
  <c r="C40" i="12"/>
  <c r="AB39" i="12"/>
  <c r="AC39" i="12" s="1"/>
  <c r="AD39" i="12" s="1"/>
  <c r="Z39" i="12"/>
  <c r="AA39" i="12" s="1"/>
  <c r="Y39" i="12"/>
  <c r="X39" i="12"/>
  <c r="W39" i="12"/>
  <c r="S39" i="12"/>
  <c r="R39" i="12"/>
  <c r="Q39" i="12"/>
  <c r="L39" i="12"/>
  <c r="M39" i="12" s="1"/>
  <c r="K39" i="12"/>
  <c r="C39" i="12"/>
  <c r="AB38" i="12"/>
  <c r="AC38" i="12" s="1"/>
  <c r="AD38" i="12" s="1"/>
  <c r="Z38" i="12"/>
  <c r="AA38" i="12" s="1"/>
  <c r="Y38" i="12"/>
  <c r="X38" i="12"/>
  <c r="W38" i="12"/>
  <c r="S38" i="12"/>
  <c r="R38" i="12"/>
  <c r="Q38" i="12"/>
  <c r="L38" i="12"/>
  <c r="M38" i="12" s="1"/>
  <c r="K38" i="12"/>
  <c r="C38" i="12"/>
  <c r="AB37" i="12"/>
  <c r="AC37" i="12" s="1"/>
  <c r="AD37" i="12" s="1"/>
  <c r="Z37" i="12"/>
  <c r="AA37" i="12" s="1"/>
  <c r="Y37" i="12"/>
  <c r="X37" i="12"/>
  <c r="W37" i="12"/>
  <c r="R37" i="12"/>
  <c r="S37" i="12" s="1"/>
  <c r="Q37" i="12"/>
  <c r="M37" i="12"/>
  <c r="L37" i="12"/>
  <c r="K37" i="12"/>
  <c r="C37" i="12"/>
  <c r="AB36" i="12"/>
  <c r="AC36" i="12" s="1"/>
  <c r="AD36" i="12" s="1"/>
  <c r="Z36" i="12"/>
  <c r="AA36" i="12" s="1"/>
  <c r="Y36" i="12"/>
  <c r="X36" i="12"/>
  <c r="W36" i="12"/>
  <c r="S36" i="12"/>
  <c r="R36" i="12"/>
  <c r="Q36" i="12"/>
  <c r="M36" i="12"/>
  <c r="L36" i="12"/>
  <c r="K36" i="12"/>
  <c r="C36" i="12"/>
  <c r="AB35" i="12"/>
  <c r="AC35" i="12" s="1"/>
  <c r="AD35" i="12" s="1"/>
  <c r="Z35" i="12"/>
  <c r="AA35" i="12" s="1"/>
  <c r="Y35" i="12"/>
  <c r="X35" i="12"/>
  <c r="W35" i="12"/>
  <c r="R35" i="12"/>
  <c r="S35" i="12" s="1"/>
  <c r="Q35" i="12"/>
  <c r="L35" i="12"/>
  <c r="M35" i="12" s="1"/>
  <c r="K35" i="12"/>
  <c r="C35" i="12"/>
  <c r="AB34" i="12"/>
  <c r="AC34" i="12" s="1"/>
  <c r="AD34" i="12" s="1"/>
  <c r="Z34" i="12"/>
  <c r="AA34" i="12" s="1"/>
  <c r="Y34" i="12"/>
  <c r="X34" i="12"/>
  <c r="W34" i="12"/>
  <c r="R34" i="12"/>
  <c r="S34" i="12" s="1"/>
  <c r="Q34" i="12"/>
  <c r="L34" i="12"/>
  <c r="M34" i="12" s="1"/>
  <c r="K34" i="12"/>
  <c r="C34" i="12"/>
  <c r="AB33" i="12"/>
  <c r="AC33" i="12" s="1"/>
  <c r="AD33" i="12" s="1"/>
  <c r="Z33" i="12"/>
  <c r="AA33" i="12" s="1"/>
  <c r="Y33" i="12"/>
  <c r="X33" i="12"/>
  <c r="W33" i="12"/>
  <c r="R33" i="12"/>
  <c r="S33" i="12" s="1"/>
  <c r="Q33" i="12"/>
  <c r="M33" i="12"/>
  <c r="L33" i="12"/>
  <c r="K33" i="12"/>
  <c r="C33" i="12"/>
  <c r="AB32" i="12"/>
  <c r="AC32" i="12" s="1"/>
  <c r="Z32" i="12"/>
  <c r="AA32" i="12" s="1"/>
  <c r="Y32" i="12"/>
  <c r="X32" i="12"/>
  <c r="W32" i="12"/>
  <c r="S32" i="12"/>
  <c r="R32" i="12"/>
  <c r="Q32" i="12"/>
  <c r="M32" i="12"/>
  <c r="L32" i="12"/>
  <c r="K32" i="12"/>
  <c r="C32" i="12"/>
  <c r="AB31" i="12"/>
  <c r="AC31" i="12" s="1"/>
  <c r="AD31" i="12" s="1"/>
  <c r="Z31" i="12"/>
  <c r="AA31" i="12" s="1"/>
  <c r="Y31" i="12"/>
  <c r="X31" i="12"/>
  <c r="W31" i="12"/>
  <c r="R31" i="12"/>
  <c r="S31" i="12" s="1"/>
  <c r="Q31" i="12"/>
  <c r="M31" i="12"/>
  <c r="L31" i="12"/>
  <c r="K31" i="12"/>
  <c r="C31" i="12"/>
  <c r="AB30" i="12"/>
  <c r="AC30" i="12" s="1"/>
  <c r="AD30" i="12" s="1"/>
  <c r="Z30" i="12"/>
  <c r="AA30" i="12" s="1"/>
  <c r="Y30" i="12"/>
  <c r="X30" i="12"/>
  <c r="W30" i="12"/>
  <c r="S30" i="12"/>
  <c r="R30" i="12"/>
  <c r="Q30" i="12"/>
  <c r="L30" i="12"/>
  <c r="M30" i="12" s="1"/>
  <c r="K30" i="12"/>
  <c r="C30" i="12"/>
  <c r="AB29" i="12"/>
  <c r="AC29" i="12" s="1"/>
  <c r="AD29" i="12" s="1"/>
  <c r="Z29" i="12"/>
  <c r="AA29" i="12" s="1"/>
  <c r="Y29" i="12"/>
  <c r="X29" i="12"/>
  <c r="W29" i="12"/>
  <c r="R29" i="12"/>
  <c r="S29" i="12" s="1"/>
  <c r="Q29" i="12"/>
  <c r="M29" i="12"/>
  <c r="L29" i="12"/>
  <c r="K29" i="12"/>
  <c r="C29" i="12"/>
  <c r="AB28" i="12"/>
  <c r="AC28" i="12" s="1"/>
  <c r="AD28" i="12" s="1"/>
  <c r="Z28" i="12"/>
  <c r="AA28" i="12" s="1"/>
  <c r="Y28" i="12"/>
  <c r="X28" i="12"/>
  <c r="W28" i="12"/>
  <c r="S28" i="12"/>
  <c r="R28" i="12"/>
  <c r="Q28" i="12"/>
  <c r="L28" i="12"/>
  <c r="M28" i="12" s="1"/>
  <c r="K28" i="12"/>
  <c r="C28" i="12"/>
  <c r="AB27" i="12"/>
  <c r="AC27" i="12" s="1"/>
  <c r="AD27" i="12" s="1"/>
  <c r="Z27" i="12"/>
  <c r="AA27" i="12" s="1"/>
  <c r="Y27" i="12"/>
  <c r="X27" i="12"/>
  <c r="W27" i="12"/>
  <c r="S27" i="12"/>
  <c r="R27" i="12"/>
  <c r="Q27" i="12"/>
  <c r="L27" i="12"/>
  <c r="M27" i="12" s="1"/>
  <c r="K27" i="12"/>
  <c r="C27" i="12"/>
  <c r="AB26" i="12"/>
  <c r="AC26" i="12" s="1"/>
  <c r="AD26" i="12" s="1"/>
  <c r="Z26" i="12"/>
  <c r="AA26" i="12" s="1"/>
  <c r="Y26" i="12"/>
  <c r="X26" i="12"/>
  <c r="W26" i="12"/>
  <c r="S26" i="12"/>
  <c r="R26" i="12"/>
  <c r="Q26" i="12"/>
  <c r="L26" i="12"/>
  <c r="M26" i="12" s="1"/>
  <c r="K26" i="12"/>
  <c r="C26" i="12"/>
  <c r="AB25" i="12"/>
  <c r="AC25" i="12" s="1"/>
  <c r="AD25" i="12" s="1"/>
  <c r="Z25" i="12"/>
  <c r="AA25" i="12" s="1"/>
  <c r="Y25" i="12"/>
  <c r="X25" i="12"/>
  <c r="W25" i="12"/>
  <c r="R25" i="12"/>
  <c r="S25" i="12" s="1"/>
  <c r="Q25" i="12"/>
  <c r="L25" i="12"/>
  <c r="M25" i="12" s="1"/>
  <c r="K25" i="12"/>
  <c r="C25" i="12"/>
  <c r="AB24" i="12"/>
  <c r="AC24" i="12" s="1"/>
  <c r="Z24" i="12"/>
  <c r="AA24" i="12" s="1"/>
  <c r="Y24" i="12"/>
  <c r="X24" i="12"/>
  <c r="W24" i="12"/>
  <c r="S24" i="12"/>
  <c r="R24" i="12"/>
  <c r="Q24" i="12"/>
  <c r="M24" i="12"/>
  <c r="L24" i="12"/>
  <c r="K24" i="12"/>
  <c r="C24" i="12"/>
  <c r="AB23" i="12"/>
  <c r="AC23" i="12" s="1"/>
  <c r="AD23" i="12" s="1"/>
  <c r="AA23" i="12"/>
  <c r="Z23" i="12"/>
  <c r="Y23" i="12"/>
  <c r="X23" i="12"/>
  <c r="W23" i="12"/>
  <c r="R23" i="12"/>
  <c r="S23" i="12" s="1"/>
  <c r="Q23" i="12"/>
  <c r="M23" i="12"/>
  <c r="L23" i="12"/>
  <c r="K23" i="12"/>
  <c r="C23" i="12"/>
  <c r="AB22" i="12"/>
  <c r="AC22" i="12" s="1"/>
  <c r="AD22" i="12" s="1"/>
  <c r="AA22" i="12"/>
  <c r="Z22" i="12"/>
  <c r="Y22" i="12"/>
  <c r="X22" i="12"/>
  <c r="W22" i="12"/>
  <c r="S22" i="12"/>
  <c r="R22" i="12"/>
  <c r="Q22" i="12"/>
  <c r="L22" i="12"/>
  <c r="M22" i="12" s="1"/>
  <c r="K22" i="12"/>
  <c r="C22" i="12"/>
  <c r="AB21" i="12"/>
  <c r="AC21" i="12" s="1"/>
  <c r="AD21" i="12" s="1"/>
  <c r="Z21" i="12"/>
  <c r="AA21" i="12" s="1"/>
  <c r="Y21" i="12"/>
  <c r="X21" i="12"/>
  <c r="W21" i="12"/>
  <c r="R21" i="12"/>
  <c r="S21" i="12" s="1"/>
  <c r="Q21" i="12"/>
  <c r="M21" i="12"/>
  <c r="L21" i="12"/>
  <c r="K21" i="12"/>
  <c r="C21" i="12"/>
  <c r="AB20" i="12"/>
  <c r="AC20" i="12" s="1"/>
  <c r="AD20" i="12" s="1"/>
  <c r="Z20" i="12"/>
  <c r="AA20" i="12" s="1"/>
  <c r="Y20" i="12"/>
  <c r="X20" i="12"/>
  <c r="W20" i="12"/>
  <c r="S20" i="12"/>
  <c r="R20" i="12"/>
  <c r="Q20" i="12"/>
  <c r="L20" i="12"/>
  <c r="M20" i="12" s="1"/>
  <c r="K20" i="12"/>
  <c r="C20" i="12"/>
  <c r="AB19" i="12"/>
  <c r="AC19" i="12" s="1"/>
  <c r="AD19" i="12" s="1"/>
  <c r="Z19" i="12"/>
  <c r="AA19" i="12" s="1"/>
  <c r="Y19" i="12"/>
  <c r="X19" i="12"/>
  <c r="W19" i="12"/>
  <c r="S19" i="12"/>
  <c r="R19" i="12"/>
  <c r="Q19" i="12"/>
  <c r="M19" i="12"/>
  <c r="L19" i="12"/>
  <c r="K19" i="12"/>
  <c r="C19" i="12"/>
  <c r="AB18" i="12"/>
  <c r="AC18" i="12" s="1"/>
  <c r="AD18" i="12" s="1"/>
  <c r="AA18" i="12"/>
  <c r="Z18" i="12"/>
  <c r="Y18" i="12"/>
  <c r="X18" i="12"/>
  <c r="W18" i="12"/>
  <c r="S18" i="12"/>
  <c r="R18" i="12"/>
  <c r="Q18" i="12"/>
  <c r="L18" i="12"/>
  <c r="M18" i="12" s="1"/>
  <c r="K18" i="12"/>
  <c r="C18" i="12"/>
  <c r="Q15" i="12"/>
  <c r="K15" i="12"/>
  <c r="J11" i="12"/>
  <c r="Q10" i="12"/>
  <c r="J10" i="12"/>
  <c r="Z7" i="12"/>
  <c r="F7" i="12"/>
  <c r="Z5" i="12"/>
  <c r="R5" i="12"/>
  <c r="F5" i="12"/>
  <c r="AB118" i="11"/>
  <c r="AC118" i="11" s="1"/>
  <c r="AD118" i="11" s="1"/>
  <c r="Z118" i="11"/>
  <c r="AA118" i="11" s="1"/>
  <c r="Y118" i="11"/>
  <c r="X118" i="11"/>
  <c r="W118" i="11"/>
  <c r="R118" i="11"/>
  <c r="S118" i="11" s="1"/>
  <c r="Q118" i="11"/>
  <c r="L118" i="11"/>
  <c r="M118" i="11" s="1"/>
  <c r="K118" i="11"/>
  <c r="C118" i="11"/>
  <c r="AB117" i="11"/>
  <c r="AC117" i="11" s="1"/>
  <c r="AD117" i="11" s="1"/>
  <c r="AA117" i="11"/>
  <c r="Z117" i="11"/>
  <c r="Y117" i="11"/>
  <c r="X117" i="11"/>
  <c r="W117" i="11"/>
  <c r="R117" i="11"/>
  <c r="S117" i="11" s="1"/>
  <c r="Q117" i="11"/>
  <c r="L117" i="11"/>
  <c r="M117" i="11" s="1"/>
  <c r="K117" i="11"/>
  <c r="C117" i="11"/>
  <c r="AB116" i="11"/>
  <c r="AC116" i="11" s="1"/>
  <c r="AD116" i="11" s="1"/>
  <c r="Z116" i="11"/>
  <c r="AA116" i="11" s="1"/>
  <c r="Y116" i="11"/>
  <c r="X116" i="11"/>
  <c r="W116" i="11"/>
  <c r="R116" i="11"/>
  <c r="S116" i="11" s="1"/>
  <c r="Q116" i="11"/>
  <c r="L116" i="11"/>
  <c r="M116" i="11" s="1"/>
  <c r="K116" i="11"/>
  <c r="C116" i="11"/>
  <c r="AB115" i="11"/>
  <c r="AC115" i="11" s="1"/>
  <c r="AD115" i="11" s="1"/>
  <c r="Z115" i="11"/>
  <c r="AA115" i="11" s="1"/>
  <c r="Y115" i="11"/>
  <c r="X115" i="11"/>
  <c r="W115" i="11"/>
  <c r="R115" i="11"/>
  <c r="S115" i="11" s="1"/>
  <c r="Q115" i="11"/>
  <c r="L115" i="11"/>
  <c r="M115" i="11" s="1"/>
  <c r="K115" i="11"/>
  <c r="C115" i="11"/>
  <c r="AB114" i="11"/>
  <c r="AC114" i="11" s="1"/>
  <c r="AD114" i="11" s="1"/>
  <c r="Z114" i="11"/>
  <c r="AA114" i="11" s="1"/>
  <c r="Y114" i="11"/>
  <c r="X114" i="11"/>
  <c r="W114" i="11"/>
  <c r="R114" i="11"/>
  <c r="S114" i="11" s="1"/>
  <c r="Q114" i="11"/>
  <c r="L114" i="11"/>
  <c r="M114" i="11" s="1"/>
  <c r="K114" i="11"/>
  <c r="C114" i="11"/>
  <c r="AB113" i="11"/>
  <c r="AC113" i="11" s="1"/>
  <c r="AD113" i="11" s="1"/>
  <c r="AA113" i="11"/>
  <c r="Z113" i="11"/>
  <c r="Y113" i="11"/>
  <c r="X113" i="11"/>
  <c r="W113" i="11"/>
  <c r="R113" i="11"/>
  <c r="S113" i="11" s="1"/>
  <c r="Q113" i="11"/>
  <c r="L113" i="11"/>
  <c r="M113" i="11" s="1"/>
  <c r="K113" i="11"/>
  <c r="C113" i="11"/>
  <c r="AB112" i="11"/>
  <c r="AC112" i="11" s="1"/>
  <c r="AD112" i="11" s="1"/>
  <c r="Z112" i="11"/>
  <c r="AA112" i="11" s="1"/>
  <c r="Y112" i="11"/>
  <c r="X112" i="11"/>
  <c r="W112" i="11"/>
  <c r="R112" i="11"/>
  <c r="S112" i="11" s="1"/>
  <c r="Q112" i="11"/>
  <c r="L112" i="11"/>
  <c r="M112" i="11" s="1"/>
  <c r="K112" i="11"/>
  <c r="C112" i="11"/>
  <c r="AB111" i="11"/>
  <c r="AC111" i="11" s="1"/>
  <c r="AD111" i="11" s="1"/>
  <c r="Z111" i="11"/>
  <c r="AA111" i="11" s="1"/>
  <c r="Y111" i="11"/>
  <c r="X111" i="11"/>
  <c r="W111" i="11"/>
  <c r="R111" i="11"/>
  <c r="S111" i="11" s="1"/>
  <c r="Q111" i="11"/>
  <c r="L111" i="11"/>
  <c r="M111" i="11" s="1"/>
  <c r="K111" i="11"/>
  <c r="C111" i="11"/>
  <c r="AB110" i="11"/>
  <c r="AC110" i="11" s="1"/>
  <c r="AD110" i="11" s="1"/>
  <c r="Z110" i="11"/>
  <c r="AA110" i="11" s="1"/>
  <c r="Y110" i="11"/>
  <c r="X110" i="11"/>
  <c r="W110" i="11"/>
  <c r="R110" i="11"/>
  <c r="S110" i="11" s="1"/>
  <c r="Q110" i="11"/>
  <c r="M110" i="11"/>
  <c r="L110" i="11"/>
  <c r="K110" i="11"/>
  <c r="C110" i="11"/>
  <c r="AB109" i="11"/>
  <c r="AC109" i="11" s="1"/>
  <c r="AD109" i="11" s="1"/>
  <c r="Z109" i="11"/>
  <c r="AA109" i="11" s="1"/>
  <c r="Y109" i="11"/>
  <c r="X109" i="11"/>
  <c r="W109" i="11"/>
  <c r="R109" i="11"/>
  <c r="S109" i="11" s="1"/>
  <c r="Q109" i="11"/>
  <c r="L109" i="11"/>
  <c r="M109" i="11" s="1"/>
  <c r="K109" i="11"/>
  <c r="C109" i="11"/>
  <c r="AB108" i="11"/>
  <c r="AC108" i="11" s="1"/>
  <c r="AD108" i="11" s="1"/>
  <c r="Z108" i="11"/>
  <c r="AA108" i="11" s="1"/>
  <c r="Y108" i="11"/>
  <c r="X108" i="11"/>
  <c r="W108" i="11"/>
  <c r="R108" i="11"/>
  <c r="S108" i="11" s="1"/>
  <c r="Q108" i="11"/>
  <c r="L108" i="11"/>
  <c r="M108" i="11" s="1"/>
  <c r="K108" i="11"/>
  <c r="C108" i="11"/>
  <c r="AB107" i="11"/>
  <c r="AC107" i="11" s="1"/>
  <c r="AD107" i="11" s="1"/>
  <c r="Z107" i="11"/>
  <c r="AA107" i="11" s="1"/>
  <c r="Y107" i="11"/>
  <c r="X107" i="11"/>
  <c r="W107" i="11"/>
  <c r="R107" i="11"/>
  <c r="S107" i="11" s="1"/>
  <c r="Q107" i="11"/>
  <c r="L107" i="11"/>
  <c r="M107" i="11" s="1"/>
  <c r="K107" i="11"/>
  <c r="C107" i="11"/>
  <c r="AB106" i="11"/>
  <c r="AC106" i="11" s="1"/>
  <c r="AD106" i="11" s="1"/>
  <c r="Z106" i="11"/>
  <c r="AA106" i="11" s="1"/>
  <c r="Y106" i="11"/>
  <c r="X106" i="11"/>
  <c r="W106" i="11"/>
  <c r="R106" i="11"/>
  <c r="S106" i="11" s="1"/>
  <c r="Q106" i="11"/>
  <c r="L106" i="11"/>
  <c r="M106" i="11" s="1"/>
  <c r="K106" i="11"/>
  <c r="C106" i="11"/>
  <c r="AB105" i="11"/>
  <c r="AC105" i="11" s="1"/>
  <c r="AD105" i="11" s="1"/>
  <c r="Z105" i="11"/>
  <c r="AA105" i="11" s="1"/>
  <c r="Y105" i="11"/>
  <c r="X105" i="11"/>
  <c r="W105" i="11"/>
  <c r="R105" i="11"/>
  <c r="S105" i="11" s="1"/>
  <c r="Q105" i="11"/>
  <c r="L105" i="11"/>
  <c r="M105" i="11" s="1"/>
  <c r="K105" i="11"/>
  <c r="C105" i="11"/>
  <c r="AC104" i="11"/>
  <c r="AD104" i="11" s="1"/>
  <c r="AB104" i="11"/>
  <c r="Z104" i="11"/>
  <c r="AA104" i="11" s="1"/>
  <c r="Y104" i="11"/>
  <c r="X104" i="11"/>
  <c r="W104" i="11"/>
  <c r="R104" i="11"/>
  <c r="S104" i="11" s="1"/>
  <c r="Q104" i="11"/>
  <c r="L104" i="11"/>
  <c r="M104" i="11" s="1"/>
  <c r="K104" i="11"/>
  <c r="C104" i="11"/>
  <c r="AB103" i="11"/>
  <c r="AC103" i="11" s="1"/>
  <c r="AD103" i="11" s="1"/>
  <c r="Z103" i="11"/>
  <c r="AA103" i="11" s="1"/>
  <c r="Y103" i="11"/>
  <c r="X103" i="11"/>
  <c r="W103" i="11"/>
  <c r="R103" i="11"/>
  <c r="S103" i="11" s="1"/>
  <c r="Q103" i="11"/>
  <c r="L103" i="11"/>
  <c r="M103" i="11" s="1"/>
  <c r="K103" i="11"/>
  <c r="C103" i="11"/>
  <c r="AB102" i="11"/>
  <c r="AC102" i="11" s="1"/>
  <c r="AD102" i="11" s="1"/>
  <c r="Z102" i="11"/>
  <c r="AA102" i="11" s="1"/>
  <c r="Y102" i="11"/>
  <c r="X102" i="11"/>
  <c r="W102" i="11"/>
  <c r="R102" i="11"/>
  <c r="S102" i="11" s="1"/>
  <c r="Q102" i="11"/>
  <c r="L102" i="11"/>
  <c r="M102" i="11" s="1"/>
  <c r="K102" i="11"/>
  <c r="C102" i="11"/>
  <c r="AB101" i="11"/>
  <c r="AC101" i="11" s="1"/>
  <c r="AD101" i="11" s="1"/>
  <c r="Z101" i="11"/>
  <c r="AA101" i="11" s="1"/>
  <c r="Y101" i="11"/>
  <c r="X101" i="11"/>
  <c r="W101" i="11"/>
  <c r="S101" i="11"/>
  <c r="R101" i="11"/>
  <c r="Q101" i="11"/>
  <c r="L101" i="11"/>
  <c r="M101" i="11" s="1"/>
  <c r="K101" i="11"/>
  <c r="C101" i="11"/>
  <c r="AB100" i="11"/>
  <c r="AC100" i="11" s="1"/>
  <c r="AA100" i="11"/>
  <c r="Z100" i="11"/>
  <c r="Y100" i="11"/>
  <c r="X100" i="11"/>
  <c r="W100" i="11"/>
  <c r="R100" i="11"/>
  <c r="S100" i="11" s="1"/>
  <c r="Q100" i="11"/>
  <c r="L100" i="11"/>
  <c r="M100" i="11" s="1"/>
  <c r="K100" i="11"/>
  <c r="C100" i="11"/>
  <c r="AB99" i="11"/>
  <c r="AC99" i="11" s="1"/>
  <c r="AD99" i="11" s="1"/>
  <c r="Z99" i="11"/>
  <c r="AA99" i="11" s="1"/>
  <c r="Y99" i="11"/>
  <c r="X99" i="11"/>
  <c r="W99" i="11"/>
  <c r="R99" i="11"/>
  <c r="S99" i="11" s="1"/>
  <c r="Q99" i="11"/>
  <c r="L99" i="11"/>
  <c r="M99" i="11" s="1"/>
  <c r="K99" i="11"/>
  <c r="C99" i="11"/>
  <c r="AB98" i="11"/>
  <c r="AC98" i="11" s="1"/>
  <c r="AD98" i="11" s="1"/>
  <c r="Z98" i="11"/>
  <c r="AA98" i="11" s="1"/>
  <c r="Y98" i="11"/>
  <c r="X98" i="11"/>
  <c r="W98" i="11"/>
  <c r="R98" i="11"/>
  <c r="S98" i="11" s="1"/>
  <c r="Q98" i="11"/>
  <c r="L98" i="11"/>
  <c r="M98" i="11" s="1"/>
  <c r="K98" i="11"/>
  <c r="C98" i="11"/>
  <c r="AB97" i="11"/>
  <c r="AC97" i="11" s="1"/>
  <c r="AD97" i="11" s="1"/>
  <c r="Z97" i="11"/>
  <c r="AA97" i="11" s="1"/>
  <c r="Y97" i="11"/>
  <c r="X97" i="11"/>
  <c r="W97" i="11"/>
  <c r="S97" i="11"/>
  <c r="R97" i="11"/>
  <c r="Q97" i="11"/>
  <c r="L97" i="11"/>
  <c r="M97" i="11" s="1"/>
  <c r="K97" i="11"/>
  <c r="C97" i="11"/>
  <c r="AB96" i="11"/>
  <c r="AC96" i="11" s="1"/>
  <c r="Z96" i="11"/>
  <c r="AA96" i="11" s="1"/>
  <c r="Y96" i="11"/>
  <c r="X96" i="11"/>
  <c r="W96" i="11"/>
  <c r="R96" i="11"/>
  <c r="S96" i="11" s="1"/>
  <c r="Q96" i="11"/>
  <c r="L96" i="11"/>
  <c r="M96" i="11" s="1"/>
  <c r="K96" i="11"/>
  <c r="C96" i="11"/>
  <c r="AB95" i="11"/>
  <c r="AC95" i="11" s="1"/>
  <c r="AD95" i="11" s="1"/>
  <c r="Z95" i="11"/>
  <c r="AA95" i="11" s="1"/>
  <c r="Y95" i="11"/>
  <c r="X95" i="11"/>
  <c r="W95" i="11"/>
  <c r="R95" i="11"/>
  <c r="S95" i="11" s="1"/>
  <c r="Q95" i="11"/>
  <c r="L95" i="11"/>
  <c r="M95" i="11" s="1"/>
  <c r="K95" i="11"/>
  <c r="C95" i="11"/>
  <c r="AB94" i="11"/>
  <c r="AC94" i="11" s="1"/>
  <c r="AD94" i="11" s="1"/>
  <c r="Z94" i="11"/>
  <c r="AA94" i="11" s="1"/>
  <c r="Y94" i="11"/>
  <c r="X94" i="11"/>
  <c r="W94" i="11"/>
  <c r="R94" i="11"/>
  <c r="S94" i="11" s="1"/>
  <c r="Q94" i="11"/>
  <c r="M94" i="11"/>
  <c r="L94" i="11"/>
  <c r="K94" i="11"/>
  <c r="C94" i="11"/>
  <c r="AB93" i="11"/>
  <c r="AC93" i="11" s="1"/>
  <c r="AD93" i="11" s="1"/>
  <c r="Z93" i="11"/>
  <c r="AA93" i="11" s="1"/>
  <c r="Y93" i="11"/>
  <c r="X93" i="11"/>
  <c r="W93" i="11"/>
  <c r="S93" i="11"/>
  <c r="R93" i="11"/>
  <c r="Q93" i="11"/>
  <c r="L93" i="11"/>
  <c r="M93" i="11" s="1"/>
  <c r="K93" i="11"/>
  <c r="C93" i="11"/>
  <c r="AB92" i="11"/>
  <c r="AC92" i="11" s="1"/>
  <c r="AA92" i="11"/>
  <c r="Z92" i="11"/>
  <c r="Y92" i="11"/>
  <c r="X92" i="11"/>
  <c r="W92" i="11"/>
  <c r="R92" i="11"/>
  <c r="S92" i="11" s="1"/>
  <c r="Q92" i="11"/>
  <c r="L92" i="11"/>
  <c r="M92" i="11" s="1"/>
  <c r="K92" i="11"/>
  <c r="C92" i="11"/>
  <c r="AB91" i="11"/>
  <c r="AC91" i="11" s="1"/>
  <c r="AD91" i="11" s="1"/>
  <c r="Z91" i="11"/>
  <c r="AA91" i="11" s="1"/>
  <c r="Y91" i="11"/>
  <c r="X91" i="11"/>
  <c r="W91" i="11"/>
  <c r="R91" i="11"/>
  <c r="S91" i="11" s="1"/>
  <c r="Q91" i="11"/>
  <c r="L91" i="11"/>
  <c r="M91" i="11" s="1"/>
  <c r="K91" i="11"/>
  <c r="C91" i="11"/>
  <c r="AB90" i="11"/>
  <c r="AC90" i="11" s="1"/>
  <c r="AD90" i="11" s="1"/>
  <c r="AA90" i="11"/>
  <c r="Z90" i="11"/>
  <c r="Y90" i="11"/>
  <c r="X90" i="11"/>
  <c r="W90" i="11"/>
  <c r="R90" i="11"/>
  <c r="S90" i="11" s="1"/>
  <c r="Q90" i="11"/>
  <c r="L90" i="11"/>
  <c r="M90" i="11" s="1"/>
  <c r="K90" i="11"/>
  <c r="C90" i="11"/>
  <c r="AB89" i="11"/>
  <c r="AC89" i="11" s="1"/>
  <c r="AD89" i="11" s="1"/>
  <c r="Z89" i="11"/>
  <c r="AA89" i="11" s="1"/>
  <c r="Y89" i="11"/>
  <c r="X89" i="11"/>
  <c r="W89" i="11"/>
  <c r="S89" i="11"/>
  <c r="R89" i="11"/>
  <c r="Q89" i="11"/>
  <c r="L89" i="11"/>
  <c r="M89" i="11" s="1"/>
  <c r="K89" i="11"/>
  <c r="C89" i="11"/>
  <c r="AB88" i="11"/>
  <c r="AC88" i="11" s="1"/>
  <c r="AD88" i="11" s="1"/>
  <c r="Z88" i="11"/>
  <c r="AA88" i="11" s="1"/>
  <c r="Y88" i="11"/>
  <c r="X88" i="11"/>
  <c r="W88" i="11"/>
  <c r="R88" i="11"/>
  <c r="S88" i="11" s="1"/>
  <c r="Q88" i="11"/>
  <c r="L88" i="11"/>
  <c r="M88" i="11" s="1"/>
  <c r="K88" i="11"/>
  <c r="C88" i="11"/>
  <c r="AB87" i="11"/>
  <c r="AC87" i="11" s="1"/>
  <c r="AD87" i="11" s="1"/>
  <c r="Z87" i="11"/>
  <c r="AA87" i="11" s="1"/>
  <c r="Y87" i="11"/>
  <c r="X87" i="11"/>
  <c r="W87" i="11"/>
  <c r="R87" i="11"/>
  <c r="S87" i="11" s="1"/>
  <c r="Q87" i="11"/>
  <c r="L87" i="11"/>
  <c r="M87" i="11" s="1"/>
  <c r="K87" i="11"/>
  <c r="C87" i="11"/>
  <c r="AB86" i="11"/>
  <c r="AC86" i="11" s="1"/>
  <c r="AD86" i="11" s="1"/>
  <c r="Z86" i="11"/>
  <c r="AA86" i="11" s="1"/>
  <c r="Y86" i="11"/>
  <c r="X86" i="11"/>
  <c r="W86" i="11"/>
  <c r="R86" i="11"/>
  <c r="S86" i="11" s="1"/>
  <c r="Q86" i="11"/>
  <c r="M86" i="11"/>
  <c r="L86" i="11"/>
  <c r="K86" i="11"/>
  <c r="C86" i="11"/>
  <c r="AB85" i="11"/>
  <c r="AC85" i="11" s="1"/>
  <c r="AD85" i="11" s="1"/>
  <c r="Z85" i="11"/>
  <c r="AA85" i="11" s="1"/>
  <c r="Y85" i="11"/>
  <c r="X85" i="11"/>
  <c r="W85" i="11"/>
  <c r="S85" i="11"/>
  <c r="R85" i="11"/>
  <c r="Q85" i="11"/>
  <c r="L85" i="11"/>
  <c r="M85" i="11" s="1"/>
  <c r="K85" i="11"/>
  <c r="C85" i="11"/>
  <c r="AB84" i="11"/>
  <c r="AC84" i="11" s="1"/>
  <c r="AA84" i="11"/>
  <c r="Z84" i="11"/>
  <c r="Y84" i="11"/>
  <c r="X84" i="11"/>
  <c r="W84" i="11"/>
  <c r="R84" i="11"/>
  <c r="S84" i="11" s="1"/>
  <c r="Q84" i="11"/>
  <c r="L84" i="11"/>
  <c r="M84" i="11" s="1"/>
  <c r="K84" i="11"/>
  <c r="C84" i="11"/>
  <c r="AB83" i="11"/>
  <c r="AC83" i="11" s="1"/>
  <c r="AD83" i="11" s="1"/>
  <c r="Z83" i="11"/>
  <c r="AA83" i="11" s="1"/>
  <c r="Y83" i="11"/>
  <c r="X83" i="11"/>
  <c r="W83" i="11"/>
  <c r="R83" i="11"/>
  <c r="S83" i="11" s="1"/>
  <c r="Q83" i="11"/>
  <c r="L83" i="11"/>
  <c r="M83" i="11" s="1"/>
  <c r="K83" i="11"/>
  <c r="C83" i="11"/>
  <c r="AB82" i="11"/>
  <c r="AC82" i="11" s="1"/>
  <c r="AD82" i="11" s="1"/>
  <c r="AA82" i="11"/>
  <c r="Z82" i="11"/>
  <c r="Y82" i="11"/>
  <c r="X82" i="11"/>
  <c r="W82" i="11"/>
  <c r="R82" i="11"/>
  <c r="S82" i="11" s="1"/>
  <c r="Q82" i="11"/>
  <c r="L82" i="11"/>
  <c r="M82" i="11" s="1"/>
  <c r="K82" i="11"/>
  <c r="C82" i="11"/>
  <c r="AB81" i="11"/>
  <c r="AC81" i="11" s="1"/>
  <c r="AD81" i="11" s="1"/>
  <c r="Z81" i="11"/>
  <c r="AA81" i="11" s="1"/>
  <c r="Y81" i="11"/>
  <c r="X81" i="11"/>
  <c r="W81" i="11"/>
  <c r="S81" i="11"/>
  <c r="R81" i="11"/>
  <c r="Q81" i="11"/>
  <c r="L81" i="11"/>
  <c r="M81" i="11" s="1"/>
  <c r="K81" i="11"/>
  <c r="C81" i="11"/>
  <c r="AB80" i="11"/>
  <c r="AC80" i="11" s="1"/>
  <c r="AD80" i="11" s="1"/>
  <c r="Z80" i="11"/>
  <c r="AA80" i="11" s="1"/>
  <c r="Y80" i="11"/>
  <c r="X80" i="11"/>
  <c r="W80" i="11"/>
  <c r="R80" i="11"/>
  <c r="S80" i="11" s="1"/>
  <c r="Q80" i="11"/>
  <c r="L80" i="11"/>
  <c r="M80" i="11" s="1"/>
  <c r="K80" i="11"/>
  <c r="C80" i="11"/>
  <c r="AB79" i="11"/>
  <c r="AC79" i="11" s="1"/>
  <c r="AD79" i="11" s="1"/>
  <c r="Z79" i="11"/>
  <c r="AA79" i="11" s="1"/>
  <c r="Y79" i="11"/>
  <c r="X79" i="11"/>
  <c r="W79" i="11"/>
  <c r="R79" i="11"/>
  <c r="S79" i="11" s="1"/>
  <c r="Q79" i="11"/>
  <c r="L79" i="11"/>
  <c r="M79" i="11" s="1"/>
  <c r="K79" i="11"/>
  <c r="C79" i="11"/>
  <c r="AB78" i="11"/>
  <c r="AC78" i="11" s="1"/>
  <c r="AD78" i="11" s="1"/>
  <c r="Z78" i="11"/>
  <c r="AA78" i="11" s="1"/>
  <c r="Y78" i="11"/>
  <c r="X78" i="11"/>
  <c r="W78" i="11"/>
  <c r="R78" i="11"/>
  <c r="S78" i="11" s="1"/>
  <c r="Q78" i="11"/>
  <c r="M78" i="11"/>
  <c r="L78" i="11"/>
  <c r="K78" i="11"/>
  <c r="C78" i="11"/>
  <c r="AB77" i="11"/>
  <c r="AC77" i="11" s="1"/>
  <c r="AD77" i="11" s="1"/>
  <c r="Z77" i="11"/>
  <c r="AA77" i="11" s="1"/>
  <c r="Y77" i="11"/>
  <c r="X77" i="11"/>
  <c r="W77" i="11"/>
  <c r="R77" i="11"/>
  <c r="S77" i="11" s="1"/>
  <c r="Q77" i="11"/>
  <c r="L77" i="11"/>
  <c r="M77" i="11" s="1"/>
  <c r="K77" i="11"/>
  <c r="C77" i="11"/>
  <c r="AB76" i="11"/>
  <c r="AC76" i="11" s="1"/>
  <c r="AA76" i="11"/>
  <c r="Z76" i="11"/>
  <c r="Y76" i="11"/>
  <c r="X76" i="11"/>
  <c r="W76" i="11"/>
  <c r="R76" i="11"/>
  <c r="S76" i="11" s="1"/>
  <c r="Q76" i="11"/>
  <c r="L76" i="11"/>
  <c r="M76" i="11" s="1"/>
  <c r="K76" i="11"/>
  <c r="C76" i="11"/>
  <c r="AB75" i="11"/>
  <c r="AC75" i="11" s="1"/>
  <c r="AD75" i="11" s="1"/>
  <c r="Z75" i="11"/>
  <c r="AA75" i="11" s="1"/>
  <c r="Y75" i="11"/>
  <c r="X75" i="11"/>
  <c r="W75" i="11"/>
  <c r="R75" i="11"/>
  <c r="S75" i="11" s="1"/>
  <c r="Q75" i="11"/>
  <c r="L75" i="11"/>
  <c r="M75" i="11" s="1"/>
  <c r="K75" i="11"/>
  <c r="C75" i="11"/>
  <c r="AB74" i="11"/>
  <c r="AC74" i="11" s="1"/>
  <c r="AD74" i="11" s="1"/>
  <c r="Z74" i="11"/>
  <c r="AA74" i="11" s="1"/>
  <c r="Y74" i="11"/>
  <c r="X74" i="11"/>
  <c r="W74" i="11"/>
  <c r="R74" i="11"/>
  <c r="S74" i="11" s="1"/>
  <c r="Q74" i="11"/>
  <c r="L74" i="11"/>
  <c r="M74" i="11" s="1"/>
  <c r="K74" i="11"/>
  <c r="C74" i="11"/>
  <c r="AB73" i="11"/>
  <c r="AC73" i="11" s="1"/>
  <c r="AD73" i="11" s="1"/>
  <c r="Z73" i="11"/>
  <c r="AA73" i="11" s="1"/>
  <c r="Y73" i="11"/>
  <c r="X73" i="11"/>
  <c r="W73" i="11"/>
  <c r="S73" i="11"/>
  <c r="R73" i="11"/>
  <c r="Q73" i="11"/>
  <c r="L73" i="11"/>
  <c r="M73" i="11" s="1"/>
  <c r="K73" i="11"/>
  <c r="C73" i="11"/>
  <c r="AB72" i="11"/>
  <c r="AC72" i="11" s="1"/>
  <c r="AD72" i="11" s="1"/>
  <c r="AA72" i="11"/>
  <c r="Z72" i="11"/>
  <c r="Y72" i="11"/>
  <c r="X72" i="11"/>
  <c r="W72" i="11"/>
  <c r="R72" i="11"/>
  <c r="S72" i="11" s="1"/>
  <c r="Q72" i="11"/>
  <c r="L72" i="11"/>
  <c r="M72" i="11" s="1"/>
  <c r="K72" i="11"/>
  <c r="C72" i="11"/>
  <c r="AB71" i="11"/>
  <c r="AC71" i="11" s="1"/>
  <c r="AD71" i="11" s="1"/>
  <c r="Z71" i="11"/>
  <c r="AA71" i="11" s="1"/>
  <c r="Y71" i="11"/>
  <c r="X71" i="11"/>
  <c r="W71" i="11"/>
  <c r="R71" i="11"/>
  <c r="S71" i="11" s="1"/>
  <c r="Q71" i="11"/>
  <c r="L71" i="11"/>
  <c r="M71" i="11" s="1"/>
  <c r="K71" i="11"/>
  <c r="C71" i="11"/>
  <c r="AB70" i="11"/>
  <c r="AC70" i="11" s="1"/>
  <c r="AD70" i="11" s="1"/>
  <c r="Z70" i="11"/>
  <c r="AA70" i="11" s="1"/>
  <c r="Y70" i="11"/>
  <c r="X70" i="11"/>
  <c r="W70" i="11"/>
  <c r="R70" i="11"/>
  <c r="S70" i="11" s="1"/>
  <c r="Q70" i="11"/>
  <c r="M70" i="11"/>
  <c r="L70" i="11"/>
  <c r="K70" i="11"/>
  <c r="C70" i="11"/>
  <c r="AB69" i="11"/>
  <c r="AC69" i="11" s="1"/>
  <c r="AD69" i="11" s="1"/>
  <c r="Z69" i="11"/>
  <c r="AA69" i="11" s="1"/>
  <c r="Y69" i="11"/>
  <c r="X69" i="11"/>
  <c r="W69" i="11"/>
  <c r="S69" i="11"/>
  <c r="R69" i="11"/>
  <c r="Q69" i="11"/>
  <c r="L69" i="11"/>
  <c r="M69" i="11" s="1"/>
  <c r="K69" i="11"/>
  <c r="C69" i="11"/>
  <c r="AB67" i="11"/>
  <c r="AC67" i="11" s="1"/>
  <c r="AA67" i="11"/>
  <c r="Z67" i="11"/>
  <c r="Y67" i="11"/>
  <c r="X67" i="11"/>
  <c r="W67" i="11"/>
  <c r="R67" i="11"/>
  <c r="S67" i="11" s="1"/>
  <c r="Q67" i="11"/>
  <c r="L67" i="11"/>
  <c r="M67" i="11" s="1"/>
  <c r="K67" i="11"/>
  <c r="C67" i="11"/>
  <c r="AB66" i="11"/>
  <c r="AC66" i="11" s="1"/>
  <c r="AD66" i="11" s="1"/>
  <c r="Z66" i="11"/>
  <c r="AA66" i="11" s="1"/>
  <c r="Y66" i="11"/>
  <c r="X66" i="11"/>
  <c r="W66" i="11"/>
  <c r="R66" i="11"/>
  <c r="S66" i="11" s="1"/>
  <c r="Q66" i="11"/>
  <c r="L66" i="11"/>
  <c r="M66" i="11" s="1"/>
  <c r="K66" i="11"/>
  <c r="C66" i="11"/>
  <c r="AB65" i="11"/>
  <c r="AC65" i="11" s="1"/>
  <c r="AD65" i="11" s="1"/>
  <c r="Z65" i="11"/>
  <c r="AA65" i="11" s="1"/>
  <c r="Y65" i="11"/>
  <c r="X65" i="11"/>
  <c r="W65" i="11"/>
  <c r="R65" i="11"/>
  <c r="S65" i="11" s="1"/>
  <c r="Q65" i="11"/>
  <c r="L65" i="11"/>
  <c r="M65" i="11" s="1"/>
  <c r="K65" i="11"/>
  <c r="C65" i="11"/>
  <c r="AB64" i="11"/>
  <c r="AC64" i="11" s="1"/>
  <c r="AD64" i="11" s="1"/>
  <c r="Z64" i="11"/>
  <c r="AA64" i="11" s="1"/>
  <c r="Y64" i="11"/>
  <c r="X64" i="11"/>
  <c r="W64" i="11"/>
  <c r="S64" i="11"/>
  <c r="R64" i="11"/>
  <c r="Q64" i="11"/>
  <c r="L64" i="11"/>
  <c r="M64" i="11" s="1"/>
  <c r="K64" i="11"/>
  <c r="C64" i="11"/>
  <c r="AB63" i="11"/>
  <c r="AC63" i="11" s="1"/>
  <c r="AD63" i="11" s="1"/>
  <c r="Z63" i="11"/>
  <c r="AA63" i="11" s="1"/>
  <c r="Y63" i="11"/>
  <c r="X63" i="11"/>
  <c r="W63" i="11"/>
  <c r="R63" i="11"/>
  <c r="S63" i="11" s="1"/>
  <c r="Q63" i="11"/>
  <c r="L63" i="11"/>
  <c r="M63" i="11" s="1"/>
  <c r="K63" i="11"/>
  <c r="C63" i="11"/>
  <c r="AB62" i="11"/>
  <c r="AC62" i="11" s="1"/>
  <c r="AD62" i="11" s="1"/>
  <c r="Z62" i="11"/>
  <c r="AA62" i="11" s="1"/>
  <c r="Y62" i="11"/>
  <c r="X62" i="11"/>
  <c r="W62" i="11"/>
  <c r="R62" i="11"/>
  <c r="S62" i="11" s="1"/>
  <c r="Q62" i="11"/>
  <c r="L62" i="11"/>
  <c r="M62" i="11" s="1"/>
  <c r="K62" i="11"/>
  <c r="C62" i="11"/>
  <c r="AB61" i="11"/>
  <c r="AC61" i="11" s="1"/>
  <c r="AD61" i="11" s="1"/>
  <c r="Z61" i="11"/>
  <c r="AA61" i="11" s="1"/>
  <c r="Y61" i="11"/>
  <c r="X61" i="11"/>
  <c r="W61" i="11"/>
  <c r="R61" i="11"/>
  <c r="S61" i="11" s="1"/>
  <c r="Q61" i="11"/>
  <c r="M61" i="11"/>
  <c r="L61" i="11"/>
  <c r="K61" i="11"/>
  <c r="C61" i="11"/>
  <c r="AB60" i="11"/>
  <c r="AC60" i="11" s="1"/>
  <c r="AD60" i="11" s="1"/>
  <c r="Z60" i="11"/>
  <c r="AA60" i="11" s="1"/>
  <c r="Y60" i="11"/>
  <c r="X60" i="11"/>
  <c r="W60" i="11"/>
  <c r="R60" i="11"/>
  <c r="S60" i="11" s="1"/>
  <c r="Q60" i="11"/>
  <c r="L60" i="11"/>
  <c r="M60" i="11" s="1"/>
  <c r="K60" i="11"/>
  <c r="C60" i="11"/>
  <c r="AB59" i="11"/>
  <c r="AC59" i="11" s="1"/>
  <c r="Z59" i="11"/>
  <c r="AA59" i="11" s="1"/>
  <c r="Y59" i="11"/>
  <c r="X59" i="11"/>
  <c r="W59" i="11"/>
  <c r="R59" i="11"/>
  <c r="S59" i="11" s="1"/>
  <c r="Q59" i="11"/>
  <c r="L59" i="11"/>
  <c r="M59" i="11" s="1"/>
  <c r="K59" i="11"/>
  <c r="C59" i="11"/>
  <c r="AB58" i="11"/>
  <c r="AC58" i="11" s="1"/>
  <c r="AD58" i="11" s="1"/>
  <c r="Z58" i="11"/>
  <c r="AA58" i="11" s="1"/>
  <c r="Y58" i="11"/>
  <c r="X58" i="11"/>
  <c r="W58" i="11"/>
  <c r="R58" i="11"/>
  <c r="S58" i="11" s="1"/>
  <c r="Q58" i="11"/>
  <c r="L58" i="11"/>
  <c r="M58" i="11" s="1"/>
  <c r="K58" i="11"/>
  <c r="C58" i="11"/>
  <c r="AB57" i="11"/>
  <c r="AC57" i="11" s="1"/>
  <c r="AD57" i="11" s="1"/>
  <c r="Z57" i="11"/>
  <c r="AA57" i="11" s="1"/>
  <c r="Y57" i="11"/>
  <c r="X57" i="11"/>
  <c r="W57" i="11"/>
  <c r="R57" i="11"/>
  <c r="S57" i="11" s="1"/>
  <c r="Q57" i="11"/>
  <c r="L57" i="11"/>
  <c r="M57" i="11" s="1"/>
  <c r="K57" i="11"/>
  <c r="C57" i="11"/>
  <c r="AB56" i="11"/>
  <c r="AC56" i="11" s="1"/>
  <c r="AD56" i="11" s="1"/>
  <c r="Z56" i="11"/>
  <c r="AA56" i="11" s="1"/>
  <c r="Y56" i="11"/>
  <c r="X56" i="11"/>
  <c r="W56" i="11"/>
  <c r="S56" i="11"/>
  <c r="R56" i="11"/>
  <c r="Q56" i="11"/>
  <c r="L56" i="11"/>
  <c r="M56" i="11" s="1"/>
  <c r="K56" i="11"/>
  <c r="C56" i="11"/>
  <c r="AB55" i="11"/>
  <c r="AC55" i="11" s="1"/>
  <c r="AD55" i="11" s="1"/>
  <c r="Z55" i="11"/>
  <c r="AA55" i="11" s="1"/>
  <c r="Y55" i="11"/>
  <c r="X55" i="11"/>
  <c r="W55" i="11"/>
  <c r="R55" i="11"/>
  <c r="S55" i="11" s="1"/>
  <c r="Q55" i="11"/>
  <c r="L55" i="11"/>
  <c r="M55" i="11" s="1"/>
  <c r="K55" i="11"/>
  <c r="C55" i="11"/>
  <c r="AB54" i="11"/>
  <c r="AC54" i="11" s="1"/>
  <c r="AD54" i="11" s="1"/>
  <c r="Z54" i="11"/>
  <c r="AA54" i="11" s="1"/>
  <c r="Y54" i="11"/>
  <c r="X54" i="11"/>
  <c r="W54" i="11"/>
  <c r="R54" i="11"/>
  <c r="S54" i="11" s="1"/>
  <c r="Q54" i="11"/>
  <c r="L54" i="11"/>
  <c r="M54" i="11" s="1"/>
  <c r="K54" i="11"/>
  <c r="C54" i="11"/>
  <c r="AB53" i="11"/>
  <c r="AC53" i="11" s="1"/>
  <c r="AD53" i="11" s="1"/>
  <c r="AA53" i="11"/>
  <c r="Z53" i="11"/>
  <c r="Y53" i="11"/>
  <c r="X53" i="11"/>
  <c r="W53" i="11"/>
  <c r="R53" i="11"/>
  <c r="S53" i="11" s="1"/>
  <c r="Q53" i="11"/>
  <c r="M53" i="11"/>
  <c r="L53" i="11"/>
  <c r="K53" i="11"/>
  <c r="C53" i="11"/>
  <c r="AB52" i="11"/>
  <c r="AC52" i="11" s="1"/>
  <c r="AD52" i="11" s="1"/>
  <c r="Z52" i="11"/>
  <c r="AA52" i="11" s="1"/>
  <c r="Y52" i="11"/>
  <c r="X52" i="11"/>
  <c r="W52" i="11"/>
  <c r="R52" i="11"/>
  <c r="S52" i="11" s="1"/>
  <c r="Q52" i="11"/>
  <c r="L52" i="11"/>
  <c r="M52" i="11" s="1"/>
  <c r="K52" i="11"/>
  <c r="C52" i="11"/>
  <c r="AB51" i="11"/>
  <c r="AC51" i="11" s="1"/>
  <c r="Z51" i="11"/>
  <c r="AA51" i="11" s="1"/>
  <c r="Y51" i="11"/>
  <c r="X51" i="11"/>
  <c r="W51" i="11"/>
  <c r="R51" i="11"/>
  <c r="S51" i="11" s="1"/>
  <c r="Q51" i="11"/>
  <c r="L51" i="11"/>
  <c r="M51" i="11" s="1"/>
  <c r="K51" i="11"/>
  <c r="C51" i="11"/>
  <c r="AB50" i="11"/>
  <c r="AC50" i="11" s="1"/>
  <c r="AD50" i="11" s="1"/>
  <c r="Z50" i="11"/>
  <c r="AA50" i="11" s="1"/>
  <c r="Y50" i="11"/>
  <c r="X50" i="11"/>
  <c r="W50" i="11"/>
  <c r="R50" i="11"/>
  <c r="S50" i="11" s="1"/>
  <c r="Q50" i="11"/>
  <c r="L50" i="11"/>
  <c r="M50" i="11" s="1"/>
  <c r="K50" i="11"/>
  <c r="C50" i="11"/>
  <c r="AB49" i="11"/>
  <c r="AC49" i="11" s="1"/>
  <c r="AD49" i="11" s="1"/>
  <c r="Z49" i="11"/>
  <c r="AA49" i="11" s="1"/>
  <c r="Y49" i="11"/>
  <c r="X49" i="11"/>
  <c r="W49" i="11"/>
  <c r="R49" i="11"/>
  <c r="S49" i="11" s="1"/>
  <c r="Q49" i="11"/>
  <c r="L49" i="11"/>
  <c r="M49" i="11" s="1"/>
  <c r="K49" i="11"/>
  <c r="C49" i="11"/>
  <c r="AB48" i="11"/>
  <c r="AC48" i="11" s="1"/>
  <c r="AD48" i="11" s="1"/>
  <c r="Z48" i="11"/>
  <c r="AA48" i="11" s="1"/>
  <c r="Y48" i="11"/>
  <c r="X48" i="11"/>
  <c r="W48" i="11"/>
  <c r="S48" i="11"/>
  <c r="R48" i="11"/>
  <c r="Q48" i="11"/>
  <c r="L48" i="11"/>
  <c r="M48" i="11" s="1"/>
  <c r="K48" i="11"/>
  <c r="C48" i="11"/>
  <c r="AB47" i="11"/>
  <c r="AC47" i="11" s="1"/>
  <c r="AD47" i="11" s="1"/>
  <c r="AA47" i="11"/>
  <c r="Z47" i="11"/>
  <c r="Y47" i="11"/>
  <c r="X47" i="11"/>
  <c r="W47" i="11"/>
  <c r="R47" i="11"/>
  <c r="S47" i="11" s="1"/>
  <c r="Q47" i="11"/>
  <c r="L47" i="11"/>
  <c r="M47" i="11" s="1"/>
  <c r="K47" i="11"/>
  <c r="C47" i="11"/>
  <c r="AB46" i="11"/>
  <c r="AC46" i="11" s="1"/>
  <c r="AD46" i="11" s="1"/>
  <c r="Z46" i="11"/>
  <c r="AA46" i="11" s="1"/>
  <c r="Y46" i="11"/>
  <c r="X46" i="11"/>
  <c r="W46" i="11"/>
  <c r="R46" i="11"/>
  <c r="S46" i="11" s="1"/>
  <c r="Q46" i="11"/>
  <c r="L46" i="11"/>
  <c r="M46" i="11" s="1"/>
  <c r="K46" i="11"/>
  <c r="C46" i="11"/>
  <c r="AB45" i="11"/>
  <c r="AC45" i="11" s="1"/>
  <c r="AD45" i="11" s="1"/>
  <c r="Z45" i="11"/>
  <c r="AA45" i="11" s="1"/>
  <c r="Y45" i="11"/>
  <c r="X45" i="11"/>
  <c r="W45" i="11"/>
  <c r="R45" i="11"/>
  <c r="S45" i="11" s="1"/>
  <c r="Q45" i="11"/>
  <c r="M45" i="11"/>
  <c r="L45" i="11"/>
  <c r="K45" i="11"/>
  <c r="C45" i="11"/>
  <c r="AB44" i="11"/>
  <c r="AC44" i="11" s="1"/>
  <c r="AD44" i="11" s="1"/>
  <c r="Z44" i="11"/>
  <c r="AA44" i="11" s="1"/>
  <c r="Y44" i="11"/>
  <c r="X44" i="11"/>
  <c r="W44" i="11"/>
  <c r="R44" i="11"/>
  <c r="S44" i="11" s="1"/>
  <c r="Q44" i="11"/>
  <c r="L44" i="11"/>
  <c r="M44" i="11" s="1"/>
  <c r="K44" i="11"/>
  <c r="C44" i="11"/>
  <c r="AB43" i="11"/>
  <c r="AC43" i="11" s="1"/>
  <c r="Z43" i="11"/>
  <c r="AA43" i="11" s="1"/>
  <c r="Y43" i="11"/>
  <c r="X43" i="11"/>
  <c r="W43" i="11"/>
  <c r="R43" i="11"/>
  <c r="S43" i="11" s="1"/>
  <c r="Q43" i="11"/>
  <c r="L43" i="11"/>
  <c r="M43" i="11" s="1"/>
  <c r="K43" i="11"/>
  <c r="C43" i="11"/>
  <c r="AB42" i="11"/>
  <c r="AC42" i="11" s="1"/>
  <c r="AD42" i="11" s="1"/>
  <c r="Z42" i="11"/>
  <c r="AA42" i="11" s="1"/>
  <c r="Y42" i="11"/>
  <c r="X42" i="11"/>
  <c r="W42" i="11"/>
  <c r="R42" i="11"/>
  <c r="S42" i="11" s="1"/>
  <c r="Q42" i="11"/>
  <c r="L42" i="11"/>
  <c r="M42" i="11" s="1"/>
  <c r="K42" i="11"/>
  <c r="C42" i="11"/>
  <c r="AB41" i="11"/>
  <c r="AC41" i="11" s="1"/>
  <c r="AD41" i="11" s="1"/>
  <c r="Z41" i="11"/>
  <c r="AA41" i="11" s="1"/>
  <c r="Y41" i="11"/>
  <c r="X41" i="11"/>
  <c r="W41" i="11"/>
  <c r="R41" i="11"/>
  <c r="S41" i="11" s="1"/>
  <c r="Q41" i="11"/>
  <c r="L41" i="11"/>
  <c r="M41" i="11" s="1"/>
  <c r="K41" i="11"/>
  <c r="C41" i="11"/>
  <c r="AB40" i="11"/>
  <c r="AC40" i="11" s="1"/>
  <c r="AD40" i="11" s="1"/>
  <c r="Z40" i="11"/>
  <c r="AA40" i="11" s="1"/>
  <c r="Y40" i="11"/>
  <c r="X40" i="11"/>
  <c r="W40" i="11"/>
  <c r="S40" i="11"/>
  <c r="R40" i="11"/>
  <c r="Q40" i="11"/>
  <c r="L40" i="11"/>
  <c r="M40" i="11" s="1"/>
  <c r="K40" i="11"/>
  <c r="C40" i="11"/>
  <c r="AB39" i="11"/>
  <c r="AC39" i="11" s="1"/>
  <c r="AD39" i="11" s="1"/>
  <c r="Z39" i="11"/>
  <c r="AA39" i="11" s="1"/>
  <c r="Y39" i="11"/>
  <c r="X39" i="11"/>
  <c r="W39" i="11"/>
  <c r="R39" i="11"/>
  <c r="S39" i="11" s="1"/>
  <c r="Q39" i="11"/>
  <c r="L39" i="11"/>
  <c r="M39" i="11" s="1"/>
  <c r="K39" i="11"/>
  <c r="C39" i="11"/>
  <c r="AB38" i="11"/>
  <c r="AC38" i="11" s="1"/>
  <c r="AD38" i="11" s="1"/>
  <c r="Z38" i="11"/>
  <c r="AA38" i="11" s="1"/>
  <c r="Y38" i="11"/>
  <c r="X38" i="11"/>
  <c r="W38" i="11"/>
  <c r="R38" i="11"/>
  <c r="S38" i="11" s="1"/>
  <c r="Q38" i="11"/>
  <c r="L38" i="11"/>
  <c r="M38" i="11" s="1"/>
  <c r="K38" i="11"/>
  <c r="C38" i="11"/>
  <c r="AB37" i="11"/>
  <c r="AC37" i="11" s="1"/>
  <c r="AD37" i="11" s="1"/>
  <c r="Z37" i="11"/>
  <c r="AA37" i="11" s="1"/>
  <c r="Y37" i="11"/>
  <c r="X37" i="11"/>
  <c r="W37" i="11"/>
  <c r="R37" i="11"/>
  <c r="S37" i="11" s="1"/>
  <c r="Q37" i="11"/>
  <c r="M37" i="11"/>
  <c r="L37" i="11"/>
  <c r="K37" i="11"/>
  <c r="C37" i="11"/>
  <c r="AB36" i="11"/>
  <c r="AC36" i="11" s="1"/>
  <c r="AD36" i="11" s="1"/>
  <c r="Z36" i="11"/>
  <c r="AA36" i="11" s="1"/>
  <c r="Y36" i="11"/>
  <c r="X36" i="11"/>
  <c r="W36" i="11"/>
  <c r="R36" i="11"/>
  <c r="S36" i="11" s="1"/>
  <c r="Q36" i="11"/>
  <c r="L36" i="11"/>
  <c r="M36" i="11" s="1"/>
  <c r="K36" i="11"/>
  <c r="C36" i="11"/>
  <c r="AB35" i="11"/>
  <c r="AC35" i="11" s="1"/>
  <c r="Z35" i="11"/>
  <c r="AA35" i="11" s="1"/>
  <c r="Y35" i="11"/>
  <c r="X35" i="11"/>
  <c r="W35" i="11"/>
  <c r="R35" i="11"/>
  <c r="S35" i="11" s="1"/>
  <c r="Q35" i="11"/>
  <c r="L35" i="11"/>
  <c r="M35" i="11" s="1"/>
  <c r="K35" i="11"/>
  <c r="C35" i="11"/>
  <c r="AB34" i="11"/>
  <c r="AC34" i="11" s="1"/>
  <c r="AD34" i="11" s="1"/>
  <c r="Z34" i="11"/>
  <c r="AA34" i="11" s="1"/>
  <c r="Y34" i="11"/>
  <c r="X34" i="11"/>
  <c r="W34" i="11"/>
  <c r="R34" i="11"/>
  <c r="S34" i="11" s="1"/>
  <c r="Q34" i="11"/>
  <c r="L34" i="11"/>
  <c r="M34" i="11" s="1"/>
  <c r="K34" i="11"/>
  <c r="C34" i="11"/>
  <c r="AB33" i="11"/>
  <c r="AC33" i="11" s="1"/>
  <c r="AD33" i="11" s="1"/>
  <c r="AA33" i="11"/>
  <c r="Z33" i="11"/>
  <c r="Y33" i="11"/>
  <c r="X33" i="11"/>
  <c r="W33" i="11"/>
  <c r="R33" i="11"/>
  <c r="S33" i="11" s="1"/>
  <c r="Q33" i="11"/>
  <c r="L33" i="11"/>
  <c r="M33" i="11" s="1"/>
  <c r="K33" i="11"/>
  <c r="C33" i="11"/>
  <c r="AB32" i="11"/>
  <c r="AC32" i="11" s="1"/>
  <c r="AD32" i="11" s="1"/>
  <c r="Z32" i="11"/>
  <c r="AA32" i="11" s="1"/>
  <c r="Y32" i="11"/>
  <c r="X32" i="11"/>
  <c r="W32" i="11"/>
  <c r="S32" i="11"/>
  <c r="R32" i="11"/>
  <c r="Q32" i="11"/>
  <c r="L32" i="11"/>
  <c r="M32" i="11" s="1"/>
  <c r="K32" i="11"/>
  <c r="C32" i="11"/>
  <c r="AB31" i="11"/>
  <c r="AC31" i="11" s="1"/>
  <c r="Z31" i="11"/>
  <c r="AA31" i="11" s="1"/>
  <c r="Y31" i="11"/>
  <c r="X31" i="11"/>
  <c r="W31" i="11"/>
  <c r="R31" i="11"/>
  <c r="S31" i="11" s="1"/>
  <c r="Q31" i="11"/>
  <c r="L31" i="11"/>
  <c r="M31" i="11" s="1"/>
  <c r="K31" i="11"/>
  <c r="C31" i="11"/>
  <c r="AB30" i="11"/>
  <c r="AC30" i="11" s="1"/>
  <c r="AD30" i="11" s="1"/>
  <c r="Z30" i="11"/>
  <c r="AA30" i="11" s="1"/>
  <c r="Y30" i="11"/>
  <c r="X30" i="11"/>
  <c r="W30" i="11"/>
  <c r="R30" i="11"/>
  <c r="S30" i="11" s="1"/>
  <c r="Q30" i="11"/>
  <c r="L30" i="11"/>
  <c r="M30" i="11" s="1"/>
  <c r="K30" i="11"/>
  <c r="C30" i="11"/>
  <c r="AB29" i="11"/>
  <c r="AC29" i="11" s="1"/>
  <c r="AD29" i="11" s="1"/>
  <c r="Z29" i="11"/>
  <c r="AA29" i="11" s="1"/>
  <c r="Y29" i="11"/>
  <c r="X29" i="11"/>
  <c r="W29" i="11"/>
  <c r="R29" i="11"/>
  <c r="S29" i="11" s="1"/>
  <c r="Q29" i="11"/>
  <c r="M29" i="11"/>
  <c r="L29" i="11"/>
  <c r="K29" i="11"/>
  <c r="C29" i="11"/>
  <c r="AB28" i="11"/>
  <c r="AC28" i="11" s="1"/>
  <c r="AD28" i="11" s="1"/>
  <c r="Z28" i="11"/>
  <c r="AA28" i="11" s="1"/>
  <c r="Y28" i="11"/>
  <c r="X28" i="11"/>
  <c r="W28" i="11"/>
  <c r="R28" i="11"/>
  <c r="S28" i="11" s="1"/>
  <c r="Q28" i="11"/>
  <c r="L28" i="11"/>
  <c r="M28" i="11" s="1"/>
  <c r="K28" i="11"/>
  <c r="C28" i="11"/>
  <c r="AB27" i="11"/>
  <c r="AC27" i="11" s="1"/>
  <c r="Z27" i="11"/>
  <c r="AA27" i="11" s="1"/>
  <c r="Y27" i="11"/>
  <c r="X27" i="11"/>
  <c r="W27" i="11"/>
  <c r="R27" i="11"/>
  <c r="S27" i="11" s="1"/>
  <c r="Q27" i="11"/>
  <c r="L27" i="11"/>
  <c r="M27" i="11" s="1"/>
  <c r="K27" i="11"/>
  <c r="C27" i="11"/>
  <c r="AB26" i="11"/>
  <c r="AC26" i="11" s="1"/>
  <c r="AD26" i="11" s="1"/>
  <c r="Z26" i="11"/>
  <c r="AA26" i="11" s="1"/>
  <c r="Y26" i="11"/>
  <c r="X26" i="11"/>
  <c r="W26" i="11"/>
  <c r="R26" i="11"/>
  <c r="S26" i="11" s="1"/>
  <c r="Q26" i="11"/>
  <c r="L26" i="11"/>
  <c r="M26" i="11" s="1"/>
  <c r="K26" i="11"/>
  <c r="C26" i="11"/>
  <c r="AB25" i="11"/>
  <c r="AC25" i="11" s="1"/>
  <c r="AD25" i="11" s="1"/>
  <c r="AA25" i="11"/>
  <c r="Z25" i="11"/>
  <c r="Y25" i="11"/>
  <c r="X25" i="11"/>
  <c r="W25" i="11"/>
  <c r="R25" i="11"/>
  <c r="S25" i="11" s="1"/>
  <c r="Q25" i="11"/>
  <c r="L25" i="11"/>
  <c r="M25" i="11" s="1"/>
  <c r="K25" i="11"/>
  <c r="C25" i="11"/>
  <c r="AB24" i="11"/>
  <c r="AC24" i="11" s="1"/>
  <c r="AD24" i="11" s="1"/>
  <c r="Z24" i="11"/>
  <c r="AA24" i="11" s="1"/>
  <c r="Y24" i="11"/>
  <c r="X24" i="11"/>
  <c r="W24" i="11"/>
  <c r="S24" i="11"/>
  <c r="R24" i="11"/>
  <c r="Q24" i="11"/>
  <c r="L24" i="11"/>
  <c r="M24" i="11" s="1"/>
  <c r="K24" i="11"/>
  <c r="C24" i="11"/>
  <c r="AB23" i="11"/>
  <c r="AC23" i="11" s="1"/>
  <c r="AD23" i="11" s="1"/>
  <c r="Z23" i="11"/>
  <c r="AA23" i="11" s="1"/>
  <c r="Y23" i="11"/>
  <c r="X23" i="11"/>
  <c r="W23" i="11"/>
  <c r="R23" i="11"/>
  <c r="S23" i="11" s="1"/>
  <c r="Q23" i="11"/>
  <c r="L23" i="11"/>
  <c r="M23" i="11" s="1"/>
  <c r="K23" i="11"/>
  <c r="C23" i="11"/>
  <c r="AB22" i="11"/>
  <c r="AC22" i="11" s="1"/>
  <c r="AD22" i="11" s="1"/>
  <c r="Z22" i="11"/>
  <c r="AA22" i="11" s="1"/>
  <c r="Y22" i="11"/>
  <c r="X22" i="11"/>
  <c r="W22" i="11"/>
  <c r="R22" i="11"/>
  <c r="S22" i="11" s="1"/>
  <c r="Q22" i="11"/>
  <c r="L22" i="11"/>
  <c r="M22" i="11" s="1"/>
  <c r="K22" i="11"/>
  <c r="C22" i="11"/>
  <c r="AB21" i="11"/>
  <c r="AC21" i="11" s="1"/>
  <c r="AD21" i="11" s="1"/>
  <c r="Z21" i="11"/>
  <c r="AA21" i="11" s="1"/>
  <c r="Y21" i="11"/>
  <c r="X21" i="11"/>
  <c r="W21" i="11"/>
  <c r="R21" i="11"/>
  <c r="S21" i="11" s="1"/>
  <c r="Q21" i="11"/>
  <c r="M21" i="11"/>
  <c r="L21" i="11"/>
  <c r="K21" i="11"/>
  <c r="C21" i="11"/>
  <c r="AB20" i="11"/>
  <c r="AC20" i="11" s="1"/>
  <c r="AD20" i="11" s="1"/>
  <c r="Z20" i="11"/>
  <c r="AA20" i="11" s="1"/>
  <c r="Y20" i="11"/>
  <c r="X20" i="11"/>
  <c r="W20" i="11"/>
  <c r="R20" i="11"/>
  <c r="S20" i="11" s="1"/>
  <c r="Q20" i="11"/>
  <c r="L20" i="11"/>
  <c r="M20" i="11" s="1"/>
  <c r="K20" i="11"/>
  <c r="C20" i="11"/>
  <c r="AB19" i="11"/>
  <c r="AC19" i="11" s="1"/>
  <c r="Z19" i="11"/>
  <c r="AA19" i="11" s="1"/>
  <c r="Y19" i="11"/>
  <c r="X19" i="11"/>
  <c r="W19" i="11"/>
  <c r="R19" i="11"/>
  <c r="S19" i="11" s="1"/>
  <c r="Q19" i="11"/>
  <c r="L19" i="11"/>
  <c r="M19" i="11" s="1"/>
  <c r="K19" i="11"/>
  <c r="C19" i="11"/>
  <c r="AB18" i="11"/>
  <c r="AC18" i="11" s="1"/>
  <c r="AD18" i="11" s="1"/>
  <c r="Z18" i="11"/>
  <c r="AA18" i="11" s="1"/>
  <c r="Y18" i="11"/>
  <c r="X18" i="11"/>
  <c r="W18" i="11"/>
  <c r="R18" i="11"/>
  <c r="S18" i="11" s="1"/>
  <c r="Q18" i="11"/>
  <c r="L18" i="11"/>
  <c r="M18" i="11" s="1"/>
  <c r="K18" i="11"/>
  <c r="C18" i="11"/>
  <c r="Q15" i="11"/>
  <c r="K15" i="11"/>
  <c r="J11" i="11"/>
  <c r="Q10" i="11"/>
  <c r="J10" i="11"/>
  <c r="Z7" i="11"/>
  <c r="F7" i="11"/>
  <c r="Z5" i="11"/>
  <c r="R5" i="11"/>
  <c r="F5" i="11"/>
  <c r="AB118" i="10"/>
  <c r="AC118" i="10" s="1"/>
  <c r="AD118" i="10" s="1"/>
  <c r="Z118" i="10"/>
  <c r="AA118" i="10" s="1"/>
  <c r="Y118" i="10"/>
  <c r="X118" i="10"/>
  <c r="W118" i="10"/>
  <c r="R118" i="10"/>
  <c r="S118" i="10" s="1"/>
  <c r="Q118" i="10"/>
  <c r="M118" i="10"/>
  <c r="L118" i="10"/>
  <c r="K118" i="10"/>
  <c r="C118" i="10"/>
  <c r="AB117" i="10"/>
  <c r="AC117" i="10" s="1"/>
  <c r="AD117" i="10" s="1"/>
  <c r="Z117" i="10"/>
  <c r="AA117" i="10" s="1"/>
  <c r="Y117" i="10"/>
  <c r="X117" i="10"/>
  <c r="W117" i="10"/>
  <c r="R117" i="10"/>
  <c r="S117" i="10" s="1"/>
  <c r="Q117" i="10"/>
  <c r="L117" i="10"/>
  <c r="M117" i="10" s="1"/>
  <c r="K117" i="10"/>
  <c r="C117" i="10"/>
  <c r="AB116" i="10"/>
  <c r="AC116" i="10" s="1"/>
  <c r="AD116" i="10" s="1"/>
  <c r="Z116" i="10"/>
  <c r="AA116" i="10" s="1"/>
  <c r="Y116" i="10"/>
  <c r="X116" i="10"/>
  <c r="W116" i="10"/>
  <c r="R116" i="10"/>
  <c r="S116" i="10" s="1"/>
  <c r="Q116" i="10"/>
  <c r="L116" i="10"/>
  <c r="M116" i="10" s="1"/>
  <c r="K116" i="10"/>
  <c r="C116" i="10"/>
  <c r="AB115" i="10"/>
  <c r="AC115" i="10" s="1"/>
  <c r="AD115" i="10" s="1"/>
  <c r="Z115" i="10"/>
  <c r="AA115" i="10" s="1"/>
  <c r="Y115" i="10"/>
  <c r="X115" i="10"/>
  <c r="W115" i="10"/>
  <c r="R115" i="10"/>
  <c r="S115" i="10" s="1"/>
  <c r="Q115" i="10"/>
  <c r="L115" i="10"/>
  <c r="M115" i="10" s="1"/>
  <c r="K115" i="10"/>
  <c r="C115" i="10"/>
  <c r="AB114" i="10"/>
  <c r="AC114" i="10" s="1"/>
  <c r="AD114" i="10" s="1"/>
  <c r="Z114" i="10"/>
  <c r="AA114" i="10" s="1"/>
  <c r="Y114" i="10"/>
  <c r="X114" i="10"/>
  <c r="W114" i="10"/>
  <c r="R114" i="10"/>
  <c r="S114" i="10" s="1"/>
  <c r="Q114" i="10"/>
  <c r="L114" i="10"/>
  <c r="M114" i="10" s="1"/>
  <c r="K114" i="10"/>
  <c r="C114" i="10"/>
  <c r="AB113" i="10"/>
  <c r="AC113" i="10" s="1"/>
  <c r="AD113" i="10" s="1"/>
  <c r="Z113" i="10"/>
  <c r="AA113" i="10" s="1"/>
  <c r="Y113" i="10"/>
  <c r="X113" i="10"/>
  <c r="W113" i="10"/>
  <c r="R113" i="10"/>
  <c r="S113" i="10" s="1"/>
  <c r="Q113" i="10"/>
  <c r="L113" i="10"/>
  <c r="M113" i="10" s="1"/>
  <c r="K113" i="10"/>
  <c r="C113" i="10"/>
  <c r="AB112" i="10"/>
  <c r="AC112" i="10" s="1"/>
  <c r="AD112" i="10" s="1"/>
  <c r="AA112" i="10"/>
  <c r="Z112" i="10"/>
  <c r="Y112" i="10"/>
  <c r="X112" i="10"/>
  <c r="W112" i="10"/>
  <c r="R112" i="10"/>
  <c r="S112" i="10" s="1"/>
  <c r="Q112" i="10"/>
  <c r="L112" i="10"/>
  <c r="M112" i="10" s="1"/>
  <c r="K112" i="10"/>
  <c r="C112" i="10"/>
  <c r="AB111" i="10"/>
  <c r="AC111" i="10" s="1"/>
  <c r="AD111" i="10" s="1"/>
  <c r="Z111" i="10"/>
  <c r="AA111" i="10" s="1"/>
  <c r="Y111" i="10"/>
  <c r="X111" i="10"/>
  <c r="W111" i="10"/>
  <c r="R111" i="10"/>
  <c r="S111" i="10" s="1"/>
  <c r="Q111" i="10"/>
  <c r="L111" i="10"/>
  <c r="M111" i="10" s="1"/>
  <c r="K111" i="10"/>
  <c r="C111" i="10"/>
  <c r="AB110" i="10"/>
  <c r="AC110" i="10" s="1"/>
  <c r="AD110" i="10" s="1"/>
  <c r="Z110" i="10"/>
  <c r="AA110" i="10" s="1"/>
  <c r="Y110" i="10"/>
  <c r="X110" i="10"/>
  <c r="W110" i="10"/>
  <c r="R110" i="10"/>
  <c r="S110" i="10" s="1"/>
  <c r="Q110" i="10"/>
  <c r="L110" i="10"/>
  <c r="M110" i="10" s="1"/>
  <c r="K110" i="10"/>
  <c r="C110" i="10"/>
  <c r="AB109" i="10"/>
  <c r="AC109" i="10" s="1"/>
  <c r="AD109" i="10" s="1"/>
  <c r="Z109" i="10"/>
  <c r="AA109" i="10" s="1"/>
  <c r="Y109" i="10"/>
  <c r="X109" i="10"/>
  <c r="W109" i="10"/>
  <c r="R109" i="10"/>
  <c r="S109" i="10" s="1"/>
  <c r="Q109" i="10"/>
  <c r="L109" i="10"/>
  <c r="M109" i="10" s="1"/>
  <c r="K109" i="10"/>
  <c r="C109" i="10"/>
  <c r="AB108" i="10"/>
  <c r="AC108" i="10" s="1"/>
  <c r="AD108" i="10" s="1"/>
  <c r="Z108" i="10"/>
  <c r="AA108" i="10" s="1"/>
  <c r="Y108" i="10"/>
  <c r="X108" i="10"/>
  <c r="W108" i="10"/>
  <c r="R108" i="10"/>
  <c r="S108" i="10" s="1"/>
  <c r="Q108" i="10"/>
  <c r="L108" i="10"/>
  <c r="M108" i="10" s="1"/>
  <c r="K108" i="10"/>
  <c r="C108" i="10"/>
  <c r="AB107" i="10"/>
  <c r="AC107" i="10" s="1"/>
  <c r="AD107" i="10" s="1"/>
  <c r="AA107" i="10"/>
  <c r="Z107" i="10"/>
  <c r="Y107" i="10"/>
  <c r="X107" i="10"/>
  <c r="W107" i="10"/>
  <c r="S107" i="10"/>
  <c r="R107" i="10"/>
  <c r="Q107" i="10"/>
  <c r="L107" i="10"/>
  <c r="M107" i="10" s="1"/>
  <c r="K107" i="10"/>
  <c r="C107" i="10"/>
  <c r="AB106" i="10"/>
  <c r="AC106" i="10" s="1"/>
  <c r="AD106" i="10" s="1"/>
  <c r="Z106" i="10"/>
  <c r="AA106" i="10" s="1"/>
  <c r="Y106" i="10"/>
  <c r="X106" i="10"/>
  <c r="W106" i="10"/>
  <c r="R106" i="10"/>
  <c r="S106" i="10" s="1"/>
  <c r="Q106" i="10"/>
  <c r="L106" i="10"/>
  <c r="M106" i="10" s="1"/>
  <c r="K106" i="10"/>
  <c r="C106" i="10"/>
  <c r="AB105" i="10"/>
  <c r="AC105" i="10" s="1"/>
  <c r="AD105" i="10" s="1"/>
  <c r="Z105" i="10"/>
  <c r="AA105" i="10" s="1"/>
  <c r="Y105" i="10"/>
  <c r="X105" i="10"/>
  <c r="W105" i="10"/>
  <c r="R105" i="10"/>
  <c r="S105" i="10" s="1"/>
  <c r="Q105" i="10"/>
  <c r="L105" i="10"/>
  <c r="M105" i="10" s="1"/>
  <c r="K105" i="10"/>
  <c r="C105" i="10"/>
  <c r="AB104" i="10"/>
  <c r="AC104" i="10" s="1"/>
  <c r="AD104" i="10" s="1"/>
  <c r="Z104" i="10"/>
  <c r="AA104" i="10" s="1"/>
  <c r="Y104" i="10"/>
  <c r="X104" i="10"/>
  <c r="W104" i="10"/>
  <c r="R104" i="10"/>
  <c r="S104" i="10" s="1"/>
  <c r="Q104" i="10"/>
  <c r="L104" i="10"/>
  <c r="M104" i="10" s="1"/>
  <c r="K104" i="10"/>
  <c r="C104" i="10"/>
  <c r="AB103" i="10"/>
  <c r="AC103" i="10" s="1"/>
  <c r="AD103" i="10" s="1"/>
  <c r="AA103" i="10"/>
  <c r="Z103" i="10"/>
  <c r="Y103" i="10"/>
  <c r="X103" i="10"/>
  <c r="W103" i="10"/>
  <c r="R103" i="10"/>
  <c r="S103" i="10" s="1"/>
  <c r="Q103" i="10"/>
  <c r="L103" i="10"/>
  <c r="M103" i="10" s="1"/>
  <c r="K103" i="10"/>
  <c r="C103" i="10"/>
  <c r="AB102" i="10"/>
  <c r="AC102" i="10" s="1"/>
  <c r="AD102" i="10" s="1"/>
  <c r="Z102" i="10"/>
  <c r="AA102" i="10" s="1"/>
  <c r="Y102" i="10"/>
  <c r="X102" i="10"/>
  <c r="W102" i="10"/>
  <c r="R102" i="10"/>
  <c r="S102" i="10" s="1"/>
  <c r="Q102" i="10"/>
  <c r="L102" i="10"/>
  <c r="M102" i="10" s="1"/>
  <c r="K102" i="10"/>
  <c r="C102" i="10"/>
  <c r="AB101" i="10"/>
  <c r="AC101" i="10" s="1"/>
  <c r="AD101" i="10" s="1"/>
  <c r="Z101" i="10"/>
  <c r="AA101" i="10" s="1"/>
  <c r="Y101" i="10"/>
  <c r="X101" i="10"/>
  <c r="W101" i="10"/>
  <c r="R101" i="10"/>
  <c r="S101" i="10" s="1"/>
  <c r="Q101" i="10"/>
  <c r="L101" i="10"/>
  <c r="M101" i="10" s="1"/>
  <c r="K101" i="10"/>
  <c r="C101" i="10"/>
  <c r="AB100" i="10"/>
  <c r="AC100" i="10" s="1"/>
  <c r="AD100" i="10" s="1"/>
  <c r="Z100" i="10"/>
  <c r="AA100" i="10" s="1"/>
  <c r="Y100" i="10"/>
  <c r="X100" i="10"/>
  <c r="W100" i="10"/>
  <c r="R100" i="10"/>
  <c r="S100" i="10" s="1"/>
  <c r="Q100" i="10"/>
  <c r="M100" i="10"/>
  <c r="L100" i="10"/>
  <c r="K100" i="10"/>
  <c r="C100" i="10"/>
  <c r="AB99" i="10"/>
  <c r="AC99" i="10" s="1"/>
  <c r="AD99" i="10" s="1"/>
  <c r="Z99" i="10"/>
  <c r="AA99" i="10" s="1"/>
  <c r="Y99" i="10"/>
  <c r="X99" i="10"/>
  <c r="W99" i="10"/>
  <c r="R99" i="10"/>
  <c r="S99" i="10" s="1"/>
  <c r="Q99" i="10"/>
  <c r="L99" i="10"/>
  <c r="M99" i="10" s="1"/>
  <c r="K99" i="10"/>
  <c r="C99" i="10"/>
  <c r="AB98" i="10"/>
  <c r="AC98" i="10" s="1"/>
  <c r="AD98" i="10" s="1"/>
  <c r="Z98" i="10"/>
  <c r="AA98" i="10" s="1"/>
  <c r="Y98" i="10"/>
  <c r="X98" i="10"/>
  <c r="W98" i="10"/>
  <c r="R98" i="10"/>
  <c r="S98" i="10" s="1"/>
  <c r="Q98" i="10"/>
  <c r="L98" i="10"/>
  <c r="M98" i="10" s="1"/>
  <c r="K98" i="10"/>
  <c r="C98" i="10"/>
  <c r="AB97" i="10"/>
  <c r="AC97" i="10" s="1"/>
  <c r="AD97" i="10" s="1"/>
  <c r="Z97" i="10"/>
  <c r="AA97" i="10" s="1"/>
  <c r="Y97" i="10"/>
  <c r="X97" i="10"/>
  <c r="W97" i="10"/>
  <c r="R97" i="10"/>
  <c r="S97" i="10" s="1"/>
  <c r="Q97" i="10"/>
  <c r="L97" i="10"/>
  <c r="M97" i="10" s="1"/>
  <c r="K97" i="10"/>
  <c r="C97" i="10"/>
  <c r="AB96" i="10"/>
  <c r="AC96" i="10" s="1"/>
  <c r="AD96" i="10" s="1"/>
  <c r="Z96" i="10"/>
  <c r="AA96" i="10" s="1"/>
  <c r="Y96" i="10"/>
  <c r="X96" i="10"/>
  <c r="W96" i="10"/>
  <c r="R96" i="10"/>
  <c r="S96" i="10" s="1"/>
  <c r="Q96" i="10"/>
  <c r="L96" i="10"/>
  <c r="M96" i="10" s="1"/>
  <c r="K96" i="10"/>
  <c r="C96" i="10"/>
  <c r="AB95" i="10"/>
  <c r="AC95" i="10" s="1"/>
  <c r="AD95" i="10" s="1"/>
  <c r="Z95" i="10"/>
  <c r="AA95" i="10" s="1"/>
  <c r="Y95" i="10"/>
  <c r="X95" i="10"/>
  <c r="W95" i="10"/>
  <c r="R95" i="10"/>
  <c r="S95" i="10" s="1"/>
  <c r="Q95" i="10"/>
  <c r="L95" i="10"/>
  <c r="M95" i="10" s="1"/>
  <c r="K95" i="10"/>
  <c r="C95" i="10"/>
  <c r="AB94" i="10"/>
  <c r="AC94" i="10" s="1"/>
  <c r="AD94" i="10" s="1"/>
  <c r="AA94" i="10"/>
  <c r="Z94" i="10"/>
  <c r="Y94" i="10"/>
  <c r="X94" i="10"/>
  <c r="W94" i="10"/>
  <c r="R94" i="10"/>
  <c r="S94" i="10" s="1"/>
  <c r="Q94" i="10"/>
  <c r="L94" i="10"/>
  <c r="M94" i="10" s="1"/>
  <c r="K94" i="10"/>
  <c r="C94" i="10"/>
  <c r="AB93" i="10"/>
  <c r="AC93" i="10" s="1"/>
  <c r="AD93" i="10" s="1"/>
  <c r="Z93" i="10"/>
  <c r="AA93" i="10" s="1"/>
  <c r="Y93" i="10"/>
  <c r="X93" i="10"/>
  <c r="W93" i="10"/>
  <c r="R93" i="10"/>
  <c r="S93" i="10" s="1"/>
  <c r="Q93" i="10"/>
  <c r="L93" i="10"/>
  <c r="M93" i="10" s="1"/>
  <c r="K93" i="10"/>
  <c r="C93" i="10"/>
  <c r="AB92" i="10"/>
  <c r="AC92" i="10" s="1"/>
  <c r="AD92" i="10" s="1"/>
  <c r="Z92" i="10"/>
  <c r="AA92" i="10" s="1"/>
  <c r="Y92" i="10"/>
  <c r="X92" i="10"/>
  <c r="W92" i="10"/>
  <c r="R92" i="10"/>
  <c r="S92" i="10" s="1"/>
  <c r="Q92" i="10"/>
  <c r="L92" i="10"/>
  <c r="M92" i="10" s="1"/>
  <c r="K92" i="10"/>
  <c r="C92" i="10"/>
  <c r="AB91" i="10"/>
  <c r="AC91" i="10" s="1"/>
  <c r="AD91" i="10" s="1"/>
  <c r="Z91" i="10"/>
  <c r="AA91" i="10" s="1"/>
  <c r="Y91" i="10"/>
  <c r="X91" i="10"/>
  <c r="W91" i="10"/>
  <c r="R91" i="10"/>
  <c r="S91" i="10" s="1"/>
  <c r="Q91" i="10"/>
  <c r="L91" i="10"/>
  <c r="M91" i="10" s="1"/>
  <c r="K91" i="10"/>
  <c r="C91" i="10"/>
  <c r="AB90" i="10"/>
  <c r="AC90" i="10" s="1"/>
  <c r="AD90" i="10" s="1"/>
  <c r="Z90" i="10"/>
  <c r="AA90" i="10" s="1"/>
  <c r="Y90" i="10"/>
  <c r="X90" i="10"/>
  <c r="W90" i="10"/>
  <c r="R90" i="10"/>
  <c r="S90" i="10" s="1"/>
  <c r="Q90" i="10"/>
  <c r="M90" i="10"/>
  <c r="L90" i="10"/>
  <c r="K90" i="10"/>
  <c r="C90" i="10"/>
  <c r="AB89" i="10"/>
  <c r="AC89" i="10" s="1"/>
  <c r="AD89" i="10" s="1"/>
  <c r="Z89" i="10"/>
  <c r="AA89" i="10" s="1"/>
  <c r="Y89" i="10"/>
  <c r="X89" i="10"/>
  <c r="W89" i="10"/>
  <c r="R89" i="10"/>
  <c r="S89" i="10" s="1"/>
  <c r="Q89" i="10"/>
  <c r="L89" i="10"/>
  <c r="M89" i="10" s="1"/>
  <c r="K89" i="10"/>
  <c r="C89" i="10"/>
  <c r="AB88" i="10"/>
  <c r="AC88" i="10" s="1"/>
  <c r="AD88" i="10" s="1"/>
  <c r="Z88" i="10"/>
  <c r="AA88" i="10" s="1"/>
  <c r="Y88" i="10"/>
  <c r="X88" i="10"/>
  <c r="W88" i="10"/>
  <c r="R88" i="10"/>
  <c r="S88" i="10" s="1"/>
  <c r="Q88" i="10"/>
  <c r="L88" i="10"/>
  <c r="M88" i="10" s="1"/>
  <c r="K88" i="10"/>
  <c r="C88" i="10"/>
  <c r="AB87" i="10"/>
  <c r="AC87" i="10" s="1"/>
  <c r="AD87" i="10" s="1"/>
  <c r="Z87" i="10"/>
  <c r="AA87" i="10" s="1"/>
  <c r="Y87" i="10"/>
  <c r="X87" i="10"/>
  <c r="W87" i="10"/>
  <c r="R87" i="10"/>
  <c r="S87" i="10" s="1"/>
  <c r="Q87" i="10"/>
  <c r="L87" i="10"/>
  <c r="M87" i="10" s="1"/>
  <c r="K87" i="10"/>
  <c r="C87" i="10"/>
  <c r="AB86" i="10"/>
  <c r="AC86" i="10" s="1"/>
  <c r="AD86" i="10" s="1"/>
  <c r="Z86" i="10"/>
  <c r="AA86" i="10" s="1"/>
  <c r="Y86" i="10"/>
  <c r="X86" i="10"/>
  <c r="W86" i="10"/>
  <c r="R86" i="10"/>
  <c r="S86" i="10" s="1"/>
  <c r="Q86" i="10"/>
  <c r="M86" i="10"/>
  <c r="L86" i="10"/>
  <c r="K86" i="10"/>
  <c r="C86" i="10"/>
  <c r="AB85" i="10"/>
  <c r="AC85" i="10" s="1"/>
  <c r="AD85" i="10" s="1"/>
  <c r="Z85" i="10"/>
  <c r="AA85" i="10" s="1"/>
  <c r="Y85" i="10"/>
  <c r="X85" i="10"/>
  <c r="W85" i="10"/>
  <c r="R85" i="10"/>
  <c r="S85" i="10" s="1"/>
  <c r="Q85" i="10"/>
  <c r="L85" i="10"/>
  <c r="M85" i="10" s="1"/>
  <c r="K85" i="10"/>
  <c r="C85" i="10"/>
  <c r="AB84" i="10"/>
  <c r="AC84" i="10" s="1"/>
  <c r="AD84" i="10" s="1"/>
  <c r="Z84" i="10"/>
  <c r="AA84" i="10" s="1"/>
  <c r="Y84" i="10"/>
  <c r="X84" i="10"/>
  <c r="W84" i="10"/>
  <c r="R84" i="10"/>
  <c r="S84" i="10" s="1"/>
  <c r="Q84" i="10"/>
  <c r="L84" i="10"/>
  <c r="M84" i="10" s="1"/>
  <c r="K84" i="10"/>
  <c r="C84" i="10"/>
  <c r="AB83" i="10"/>
  <c r="AC83" i="10" s="1"/>
  <c r="AD83" i="10" s="1"/>
  <c r="Z83" i="10"/>
  <c r="AA83" i="10" s="1"/>
  <c r="Y83" i="10"/>
  <c r="X83" i="10"/>
  <c r="W83" i="10"/>
  <c r="S83" i="10"/>
  <c r="R83" i="10"/>
  <c r="Q83" i="10"/>
  <c r="L83" i="10"/>
  <c r="M83" i="10" s="1"/>
  <c r="K83" i="10"/>
  <c r="C83" i="10"/>
  <c r="AB82" i="10"/>
  <c r="AC82" i="10" s="1"/>
  <c r="AD82" i="10" s="1"/>
  <c r="Z82" i="10"/>
  <c r="AA82" i="10" s="1"/>
  <c r="Y82" i="10"/>
  <c r="X82" i="10"/>
  <c r="W82" i="10"/>
  <c r="R82" i="10"/>
  <c r="S82" i="10" s="1"/>
  <c r="Q82" i="10"/>
  <c r="L82" i="10"/>
  <c r="M82" i="10" s="1"/>
  <c r="K82" i="10"/>
  <c r="C82" i="10"/>
  <c r="AB81" i="10"/>
  <c r="AC81" i="10" s="1"/>
  <c r="AD81" i="10" s="1"/>
  <c r="Z81" i="10"/>
  <c r="AA81" i="10" s="1"/>
  <c r="Y81" i="10"/>
  <c r="X81" i="10"/>
  <c r="W81" i="10"/>
  <c r="R81" i="10"/>
  <c r="S81" i="10" s="1"/>
  <c r="Q81" i="10"/>
  <c r="L81" i="10"/>
  <c r="M81" i="10" s="1"/>
  <c r="K81" i="10"/>
  <c r="C81" i="10"/>
  <c r="AB80" i="10"/>
  <c r="AC80" i="10" s="1"/>
  <c r="AD80" i="10" s="1"/>
  <c r="Z80" i="10"/>
  <c r="AA80" i="10" s="1"/>
  <c r="Y80" i="10"/>
  <c r="X80" i="10"/>
  <c r="W80" i="10"/>
  <c r="R80" i="10"/>
  <c r="S80" i="10" s="1"/>
  <c r="Q80" i="10"/>
  <c r="M80" i="10"/>
  <c r="L80" i="10"/>
  <c r="K80" i="10"/>
  <c r="C80" i="10"/>
  <c r="AB79" i="10"/>
  <c r="AC79" i="10" s="1"/>
  <c r="AD79" i="10" s="1"/>
  <c r="Z79" i="10"/>
  <c r="AA79" i="10" s="1"/>
  <c r="Y79" i="10"/>
  <c r="X79" i="10"/>
  <c r="W79" i="10"/>
  <c r="S79" i="10"/>
  <c r="R79" i="10"/>
  <c r="Q79" i="10"/>
  <c r="L79" i="10"/>
  <c r="M79" i="10" s="1"/>
  <c r="K79" i="10"/>
  <c r="C79" i="10"/>
  <c r="AB78" i="10"/>
  <c r="AC78" i="10" s="1"/>
  <c r="AD78" i="10" s="1"/>
  <c r="AA78" i="10"/>
  <c r="Z78" i="10"/>
  <c r="Y78" i="10"/>
  <c r="X78" i="10"/>
  <c r="W78" i="10"/>
  <c r="R78" i="10"/>
  <c r="S78" i="10" s="1"/>
  <c r="Q78" i="10"/>
  <c r="L78" i="10"/>
  <c r="M78" i="10" s="1"/>
  <c r="K78" i="10"/>
  <c r="C78" i="10"/>
  <c r="AB77" i="10"/>
  <c r="AC77" i="10" s="1"/>
  <c r="AD77" i="10" s="1"/>
  <c r="Z77" i="10"/>
  <c r="AA77" i="10" s="1"/>
  <c r="Y77" i="10"/>
  <c r="X77" i="10"/>
  <c r="W77" i="10"/>
  <c r="R77" i="10"/>
  <c r="S77" i="10" s="1"/>
  <c r="Q77" i="10"/>
  <c r="L77" i="10"/>
  <c r="M77" i="10" s="1"/>
  <c r="K77" i="10"/>
  <c r="C77" i="10"/>
  <c r="AB76" i="10"/>
  <c r="AC76" i="10" s="1"/>
  <c r="AD76" i="10" s="1"/>
  <c r="Z76" i="10"/>
  <c r="AA76" i="10" s="1"/>
  <c r="Y76" i="10"/>
  <c r="X76" i="10"/>
  <c r="W76" i="10"/>
  <c r="R76" i="10"/>
  <c r="S76" i="10" s="1"/>
  <c r="Q76" i="10"/>
  <c r="M76" i="10"/>
  <c r="L76" i="10"/>
  <c r="K76" i="10"/>
  <c r="C76" i="10"/>
  <c r="AB75" i="10"/>
  <c r="AC75" i="10" s="1"/>
  <c r="AD75" i="10" s="1"/>
  <c r="Z75" i="10"/>
  <c r="AA75" i="10" s="1"/>
  <c r="Y75" i="10"/>
  <c r="X75" i="10"/>
  <c r="W75" i="10"/>
  <c r="R75" i="10"/>
  <c r="S75" i="10" s="1"/>
  <c r="Q75" i="10"/>
  <c r="L75" i="10"/>
  <c r="M75" i="10" s="1"/>
  <c r="K75" i="10"/>
  <c r="C75" i="10"/>
  <c r="AB74" i="10"/>
  <c r="AC74" i="10" s="1"/>
  <c r="AD74" i="10" s="1"/>
  <c r="AA74" i="10"/>
  <c r="Z74" i="10"/>
  <c r="Y74" i="10"/>
  <c r="X74" i="10"/>
  <c r="W74" i="10"/>
  <c r="R74" i="10"/>
  <c r="S74" i="10" s="1"/>
  <c r="Q74" i="10"/>
  <c r="L74" i="10"/>
  <c r="M74" i="10" s="1"/>
  <c r="K74" i="10"/>
  <c r="C74" i="10"/>
  <c r="AB73" i="10"/>
  <c r="AC73" i="10" s="1"/>
  <c r="AD73" i="10" s="1"/>
  <c r="Z73" i="10"/>
  <c r="AA73" i="10" s="1"/>
  <c r="Y73" i="10"/>
  <c r="X73" i="10"/>
  <c r="W73" i="10"/>
  <c r="S73" i="10"/>
  <c r="R73" i="10"/>
  <c r="Q73" i="10"/>
  <c r="L73" i="10"/>
  <c r="M73" i="10" s="1"/>
  <c r="K73" i="10"/>
  <c r="C73" i="10"/>
  <c r="AB72" i="10"/>
  <c r="AC72" i="10" s="1"/>
  <c r="AD72" i="10" s="1"/>
  <c r="AA72" i="10"/>
  <c r="Z72" i="10"/>
  <c r="Y72" i="10"/>
  <c r="X72" i="10"/>
  <c r="W72" i="10"/>
  <c r="R72" i="10"/>
  <c r="S72" i="10" s="1"/>
  <c r="Q72" i="10"/>
  <c r="L72" i="10"/>
  <c r="M72" i="10" s="1"/>
  <c r="K72" i="10"/>
  <c r="C72" i="10"/>
  <c r="AB71" i="10"/>
  <c r="AC71" i="10" s="1"/>
  <c r="AD71" i="10" s="1"/>
  <c r="Z71" i="10"/>
  <c r="AA71" i="10" s="1"/>
  <c r="Y71" i="10"/>
  <c r="X71" i="10"/>
  <c r="W71" i="10"/>
  <c r="R71" i="10"/>
  <c r="S71" i="10" s="1"/>
  <c r="Q71" i="10"/>
  <c r="L71" i="10"/>
  <c r="M71" i="10" s="1"/>
  <c r="K71" i="10"/>
  <c r="C71" i="10"/>
  <c r="AB70" i="10"/>
  <c r="AC70" i="10" s="1"/>
  <c r="AD70" i="10" s="1"/>
  <c r="Z70" i="10"/>
  <c r="AA70" i="10" s="1"/>
  <c r="Y70" i="10"/>
  <c r="X70" i="10"/>
  <c r="W70" i="10"/>
  <c r="R70" i="10"/>
  <c r="S70" i="10" s="1"/>
  <c r="Q70" i="10"/>
  <c r="L70" i="10"/>
  <c r="M70" i="10" s="1"/>
  <c r="K70" i="10"/>
  <c r="C70" i="10"/>
  <c r="AB69" i="10"/>
  <c r="AC69" i="10" s="1"/>
  <c r="AD69" i="10" s="1"/>
  <c r="Z69" i="10"/>
  <c r="AA69" i="10" s="1"/>
  <c r="Y69" i="10"/>
  <c r="X69" i="10"/>
  <c r="W69" i="10"/>
  <c r="R69" i="10"/>
  <c r="S69" i="10" s="1"/>
  <c r="Q69" i="10"/>
  <c r="L69" i="10"/>
  <c r="M69" i="10" s="1"/>
  <c r="K69" i="10"/>
  <c r="C69" i="10"/>
  <c r="AB67" i="10"/>
  <c r="AC67" i="10" s="1"/>
  <c r="AD67" i="10" s="1"/>
  <c r="Z67" i="10"/>
  <c r="AA67" i="10" s="1"/>
  <c r="Y67" i="10"/>
  <c r="X67" i="10"/>
  <c r="W67" i="10"/>
  <c r="R67" i="10"/>
  <c r="S67" i="10" s="1"/>
  <c r="Q67" i="10"/>
  <c r="L67" i="10"/>
  <c r="M67" i="10" s="1"/>
  <c r="K67" i="10"/>
  <c r="C67" i="10"/>
  <c r="AB66" i="10"/>
  <c r="AC66" i="10" s="1"/>
  <c r="AD66" i="10" s="1"/>
  <c r="Z66" i="10"/>
  <c r="AA66" i="10" s="1"/>
  <c r="Y66" i="10"/>
  <c r="X66" i="10"/>
  <c r="W66" i="10"/>
  <c r="S66" i="10"/>
  <c r="R66" i="10"/>
  <c r="Q66" i="10"/>
  <c r="L66" i="10"/>
  <c r="M66" i="10" s="1"/>
  <c r="K66" i="10"/>
  <c r="C66" i="10"/>
  <c r="AB65" i="10"/>
  <c r="AC65" i="10" s="1"/>
  <c r="AD65" i="10" s="1"/>
  <c r="Z65" i="10"/>
  <c r="AA65" i="10" s="1"/>
  <c r="Y65" i="10"/>
  <c r="X65" i="10"/>
  <c r="W65" i="10"/>
  <c r="R65" i="10"/>
  <c r="S65" i="10" s="1"/>
  <c r="Q65" i="10"/>
  <c r="L65" i="10"/>
  <c r="M65" i="10" s="1"/>
  <c r="K65" i="10"/>
  <c r="C65" i="10"/>
  <c r="AB64" i="10"/>
  <c r="AC64" i="10" s="1"/>
  <c r="AD64" i="10" s="1"/>
  <c r="Z64" i="10"/>
  <c r="AA64" i="10" s="1"/>
  <c r="Y64" i="10"/>
  <c r="X64" i="10"/>
  <c r="W64" i="10"/>
  <c r="R64" i="10"/>
  <c r="S64" i="10" s="1"/>
  <c r="Q64" i="10"/>
  <c r="L64" i="10"/>
  <c r="M64" i="10" s="1"/>
  <c r="K64" i="10"/>
  <c r="C64" i="10"/>
  <c r="AB63" i="10"/>
  <c r="AC63" i="10" s="1"/>
  <c r="AD63" i="10" s="1"/>
  <c r="Z63" i="10"/>
  <c r="AA63" i="10" s="1"/>
  <c r="Y63" i="10"/>
  <c r="X63" i="10"/>
  <c r="W63" i="10"/>
  <c r="R63" i="10"/>
  <c r="S63" i="10" s="1"/>
  <c r="Q63" i="10"/>
  <c r="L63" i="10"/>
  <c r="M63" i="10" s="1"/>
  <c r="K63" i="10"/>
  <c r="C63" i="10"/>
  <c r="AB62" i="10"/>
  <c r="AC62" i="10" s="1"/>
  <c r="AD62" i="10" s="1"/>
  <c r="Z62" i="10"/>
  <c r="AA62" i="10" s="1"/>
  <c r="Y62" i="10"/>
  <c r="X62" i="10"/>
  <c r="W62" i="10"/>
  <c r="R62" i="10"/>
  <c r="S62" i="10" s="1"/>
  <c r="Q62" i="10"/>
  <c r="L62" i="10"/>
  <c r="M62" i="10" s="1"/>
  <c r="K62" i="10"/>
  <c r="C62" i="10"/>
  <c r="AB61" i="10"/>
  <c r="AC61" i="10" s="1"/>
  <c r="AD61" i="10" s="1"/>
  <c r="AA61" i="10"/>
  <c r="Z61" i="10"/>
  <c r="Y61" i="10"/>
  <c r="X61" i="10"/>
  <c r="W61" i="10"/>
  <c r="R61" i="10"/>
  <c r="S61" i="10" s="1"/>
  <c r="Q61" i="10"/>
  <c r="M61" i="10"/>
  <c r="L61" i="10"/>
  <c r="K61" i="10"/>
  <c r="C61" i="10"/>
  <c r="AB60" i="10"/>
  <c r="AC60" i="10" s="1"/>
  <c r="AD60" i="10" s="1"/>
  <c r="Z60" i="10"/>
  <c r="AA60" i="10" s="1"/>
  <c r="Y60" i="10"/>
  <c r="X60" i="10"/>
  <c r="W60" i="10"/>
  <c r="R60" i="10"/>
  <c r="S60" i="10" s="1"/>
  <c r="Q60" i="10"/>
  <c r="L60" i="10"/>
  <c r="M60" i="10" s="1"/>
  <c r="K60" i="10"/>
  <c r="C60" i="10"/>
  <c r="AB59" i="10"/>
  <c r="AC59" i="10" s="1"/>
  <c r="AD59" i="10" s="1"/>
  <c r="Z59" i="10"/>
  <c r="AA59" i="10" s="1"/>
  <c r="Y59" i="10"/>
  <c r="X59" i="10"/>
  <c r="W59" i="10"/>
  <c r="R59" i="10"/>
  <c r="S59" i="10" s="1"/>
  <c r="Q59" i="10"/>
  <c r="L59" i="10"/>
  <c r="M59" i="10" s="1"/>
  <c r="K59" i="10"/>
  <c r="C59" i="10"/>
  <c r="AB58" i="10"/>
  <c r="AC58" i="10" s="1"/>
  <c r="AD58" i="10" s="1"/>
  <c r="Z58" i="10"/>
  <c r="AA58" i="10" s="1"/>
  <c r="Y58" i="10"/>
  <c r="X58" i="10"/>
  <c r="W58" i="10"/>
  <c r="R58" i="10"/>
  <c r="S58" i="10" s="1"/>
  <c r="Q58" i="10"/>
  <c r="L58" i="10"/>
  <c r="M58" i="10" s="1"/>
  <c r="K58" i="10"/>
  <c r="C58" i="10"/>
  <c r="AB57" i="10"/>
  <c r="AC57" i="10" s="1"/>
  <c r="AD57" i="10" s="1"/>
  <c r="Z57" i="10"/>
  <c r="AA57" i="10" s="1"/>
  <c r="Y57" i="10"/>
  <c r="X57" i="10"/>
  <c r="W57" i="10"/>
  <c r="R57" i="10"/>
  <c r="S57" i="10" s="1"/>
  <c r="Q57" i="10"/>
  <c r="L57" i="10"/>
  <c r="M57" i="10" s="1"/>
  <c r="K57" i="10"/>
  <c r="C57" i="10"/>
  <c r="AB56" i="10"/>
  <c r="AC56" i="10" s="1"/>
  <c r="AD56" i="10" s="1"/>
  <c r="Z56" i="10"/>
  <c r="AA56" i="10" s="1"/>
  <c r="Y56" i="10"/>
  <c r="X56" i="10"/>
  <c r="W56" i="10"/>
  <c r="R56" i="10"/>
  <c r="S56" i="10" s="1"/>
  <c r="Q56" i="10"/>
  <c r="L56" i="10"/>
  <c r="M56" i="10" s="1"/>
  <c r="K56" i="10"/>
  <c r="C56" i="10"/>
  <c r="AB55" i="10"/>
  <c r="AC55" i="10" s="1"/>
  <c r="AD55" i="10" s="1"/>
  <c r="AA55" i="10"/>
  <c r="Z55" i="10"/>
  <c r="Y55" i="10"/>
  <c r="X55" i="10"/>
  <c r="W55" i="10"/>
  <c r="R55" i="10"/>
  <c r="S55" i="10" s="1"/>
  <c r="Q55" i="10"/>
  <c r="M55" i="10"/>
  <c r="L55" i="10"/>
  <c r="K55" i="10"/>
  <c r="C55" i="10"/>
  <c r="AB54" i="10"/>
  <c r="AC54" i="10" s="1"/>
  <c r="AD54" i="10" s="1"/>
  <c r="Z54" i="10"/>
  <c r="AA54" i="10" s="1"/>
  <c r="Y54" i="10"/>
  <c r="X54" i="10"/>
  <c r="W54" i="10"/>
  <c r="R54" i="10"/>
  <c r="S54" i="10" s="1"/>
  <c r="Q54" i="10"/>
  <c r="L54" i="10"/>
  <c r="M54" i="10" s="1"/>
  <c r="K54" i="10"/>
  <c r="C54" i="10"/>
  <c r="AB53" i="10"/>
  <c r="AC53" i="10" s="1"/>
  <c r="AD53" i="10" s="1"/>
  <c r="AA53" i="10"/>
  <c r="Z53" i="10"/>
  <c r="Y53" i="10"/>
  <c r="X53" i="10"/>
  <c r="W53" i="10"/>
  <c r="R53" i="10"/>
  <c r="S53" i="10" s="1"/>
  <c r="Q53" i="10"/>
  <c r="L53" i="10"/>
  <c r="M53" i="10" s="1"/>
  <c r="K53" i="10"/>
  <c r="C53" i="10"/>
  <c r="AB52" i="10"/>
  <c r="AC52" i="10" s="1"/>
  <c r="AD52" i="10" s="1"/>
  <c r="Z52" i="10"/>
  <c r="AA52" i="10" s="1"/>
  <c r="Y52" i="10"/>
  <c r="X52" i="10"/>
  <c r="W52" i="10"/>
  <c r="S52" i="10"/>
  <c r="R52" i="10"/>
  <c r="Q52" i="10"/>
  <c r="L52" i="10"/>
  <c r="M52" i="10" s="1"/>
  <c r="K52" i="10"/>
  <c r="C52" i="10"/>
  <c r="AB51" i="10"/>
  <c r="AC51" i="10" s="1"/>
  <c r="AD51" i="10" s="1"/>
  <c r="AA51" i="10"/>
  <c r="Z51" i="10"/>
  <c r="Y51" i="10"/>
  <c r="X51" i="10"/>
  <c r="W51" i="10"/>
  <c r="R51" i="10"/>
  <c r="S51" i="10" s="1"/>
  <c r="Q51" i="10"/>
  <c r="M51" i="10"/>
  <c r="L51" i="10"/>
  <c r="K51" i="10"/>
  <c r="C51" i="10"/>
  <c r="AB50" i="10"/>
  <c r="AC50" i="10" s="1"/>
  <c r="AD50" i="10" s="1"/>
  <c r="Z50" i="10"/>
  <c r="AA50" i="10" s="1"/>
  <c r="Y50" i="10"/>
  <c r="X50" i="10"/>
  <c r="W50" i="10"/>
  <c r="R50" i="10"/>
  <c r="S50" i="10" s="1"/>
  <c r="Q50" i="10"/>
  <c r="L50" i="10"/>
  <c r="M50" i="10" s="1"/>
  <c r="K50" i="10"/>
  <c r="C50" i="10"/>
  <c r="AB49" i="10"/>
  <c r="AC49" i="10" s="1"/>
  <c r="AD49" i="10" s="1"/>
  <c r="Z49" i="10"/>
  <c r="AA49" i="10" s="1"/>
  <c r="Y49" i="10"/>
  <c r="X49" i="10"/>
  <c r="W49" i="10"/>
  <c r="R49" i="10"/>
  <c r="S49" i="10" s="1"/>
  <c r="Q49" i="10"/>
  <c r="L49" i="10"/>
  <c r="M49" i="10" s="1"/>
  <c r="K49" i="10"/>
  <c r="C49" i="10"/>
  <c r="AB48" i="10"/>
  <c r="AC48" i="10" s="1"/>
  <c r="AD48" i="10" s="1"/>
  <c r="Z48" i="10"/>
  <c r="AA48" i="10" s="1"/>
  <c r="Y48" i="10"/>
  <c r="X48" i="10"/>
  <c r="W48" i="10"/>
  <c r="S48" i="10"/>
  <c r="R48" i="10"/>
  <c r="Q48" i="10"/>
  <c r="L48" i="10"/>
  <c r="M48" i="10" s="1"/>
  <c r="K48" i="10"/>
  <c r="C48" i="10"/>
  <c r="AB47" i="10"/>
  <c r="AC47" i="10" s="1"/>
  <c r="AD47" i="10" s="1"/>
  <c r="Z47" i="10"/>
  <c r="AA47" i="10" s="1"/>
  <c r="Y47" i="10"/>
  <c r="X47" i="10"/>
  <c r="W47" i="10"/>
  <c r="R47" i="10"/>
  <c r="S47" i="10" s="1"/>
  <c r="Q47" i="10"/>
  <c r="L47" i="10"/>
  <c r="M47" i="10" s="1"/>
  <c r="K47" i="10"/>
  <c r="C47" i="10"/>
  <c r="AB46" i="10"/>
  <c r="AC46" i="10" s="1"/>
  <c r="AD46" i="10" s="1"/>
  <c r="Z46" i="10"/>
  <c r="AA46" i="10" s="1"/>
  <c r="Y46" i="10"/>
  <c r="X46" i="10"/>
  <c r="W46" i="10"/>
  <c r="R46" i="10"/>
  <c r="S46" i="10" s="1"/>
  <c r="Q46" i="10"/>
  <c r="L46" i="10"/>
  <c r="M46" i="10" s="1"/>
  <c r="K46" i="10"/>
  <c r="C46" i="10"/>
  <c r="AB45" i="10"/>
  <c r="AC45" i="10" s="1"/>
  <c r="AD45" i="10" s="1"/>
  <c r="Z45" i="10"/>
  <c r="AA45" i="10" s="1"/>
  <c r="Y45" i="10"/>
  <c r="X45" i="10"/>
  <c r="W45" i="10"/>
  <c r="R45" i="10"/>
  <c r="S45" i="10" s="1"/>
  <c r="Q45" i="10"/>
  <c r="L45" i="10"/>
  <c r="M45" i="10" s="1"/>
  <c r="K45" i="10"/>
  <c r="C45" i="10"/>
  <c r="AB44" i="10"/>
  <c r="AC44" i="10" s="1"/>
  <c r="AD44" i="10" s="1"/>
  <c r="Z44" i="10"/>
  <c r="AA44" i="10" s="1"/>
  <c r="Y44" i="10"/>
  <c r="X44" i="10"/>
  <c r="W44" i="10"/>
  <c r="R44" i="10"/>
  <c r="S44" i="10" s="1"/>
  <c r="Q44" i="10"/>
  <c r="L44" i="10"/>
  <c r="M44" i="10" s="1"/>
  <c r="K44" i="10"/>
  <c r="C44" i="10"/>
  <c r="AB43" i="10"/>
  <c r="AC43" i="10" s="1"/>
  <c r="AD43" i="10" s="1"/>
  <c r="AA43" i="10"/>
  <c r="Z43" i="10"/>
  <c r="Y43" i="10"/>
  <c r="X43" i="10"/>
  <c r="W43" i="10"/>
  <c r="R43" i="10"/>
  <c r="S43" i="10" s="1"/>
  <c r="Q43" i="10"/>
  <c r="L43" i="10"/>
  <c r="M43" i="10" s="1"/>
  <c r="K43" i="10"/>
  <c r="C43" i="10"/>
  <c r="AB42" i="10"/>
  <c r="AC42" i="10" s="1"/>
  <c r="AD42" i="10" s="1"/>
  <c r="Z42" i="10"/>
  <c r="AA42" i="10" s="1"/>
  <c r="Y42" i="10"/>
  <c r="X42" i="10"/>
  <c r="W42" i="10"/>
  <c r="R42" i="10"/>
  <c r="S42" i="10" s="1"/>
  <c r="Q42" i="10"/>
  <c r="L42" i="10"/>
  <c r="M42" i="10" s="1"/>
  <c r="K42" i="10"/>
  <c r="C42" i="10"/>
  <c r="AB41" i="10"/>
  <c r="AC41" i="10" s="1"/>
  <c r="AD41" i="10" s="1"/>
  <c r="Z41" i="10"/>
  <c r="AA41" i="10" s="1"/>
  <c r="Y41" i="10"/>
  <c r="X41" i="10"/>
  <c r="W41" i="10"/>
  <c r="R41" i="10"/>
  <c r="S41" i="10" s="1"/>
  <c r="Q41" i="10"/>
  <c r="L41" i="10"/>
  <c r="M41" i="10" s="1"/>
  <c r="K41" i="10"/>
  <c r="C41" i="10"/>
  <c r="AB40" i="10"/>
  <c r="AC40" i="10" s="1"/>
  <c r="AD40" i="10" s="1"/>
  <c r="Z40" i="10"/>
  <c r="AA40" i="10" s="1"/>
  <c r="Y40" i="10"/>
  <c r="X40" i="10"/>
  <c r="W40" i="10"/>
  <c r="R40" i="10"/>
  <c r="S40" i="10" s="1"/>
  <c r="Q40" i="10"/>
  <c r="L40" i="10"/>
  <c r="M40" i="10" s="1"/>
  <c r="K40" i="10"/>
  <c r="C40" i="10"/>
  <c r="AB39" i="10"/>
  <c r="AC39" i="10" s="1"/>
  <c r="AD39" i="10" s="1"/>
  <c r="Z39" i="10"/>
  <c r="AA39" i="10" s="1"/>
  <c r="Y39" i="10"/>
  <c r="X39" i="10"/>
  <c r="W39" i="10"/>
  <c r="R39" i="10"/>
  <c r="S39" i="10" s="1"/>
  <c r="Q39" i="10"/>
  <c r="L39" i="10"/>
  <c r="M39" i="10" s="1"/>
  <c r="K39" i="10"/>
  <c r="C39" i="10"/>
  <c r="AB38" i="10"/>
  <c r="AC38" i="10" s="1"/>
  <c r="AD38" i="10" s="1"/>
  <c r="Z38" i="10"/>
  <c r="AA38" i="10" s="1"/>
  <c r="Y38" i="10"/>
  <c r="X38" i="10"/>
  <c r="W38" i="10"/>
  <c r="S38" i="10"/>
  <c r="R38" i="10"/>
  <c r="Q38" i="10"/>
  <c r="L38" i="10"/>
  <c r="M38" i="10" s="1"/>
  <c r="K38" i="10"/>
  <c r="C38" i="10"/>
  <c r="AB37" i="10"/>
  <c r="AC37" i="10" s="1"/>
  <c r="AD37" i="10" s="1"/>
  <c r="Z37" i="10"/>
  <c r="AA37" i="10" s="1"/>
  <c r="Y37" i="10"/>
  <c r="X37" i="10"/>
  <c r="W37" i="10"/>
  <c r="R37" i="10"/>
  <c r="S37" i="10" s="1"/>
  <c r="Q37" i="10"/>
  <c r="M37" i="10"/>
  <c r="L37" i="10"/>
  <c r="K37" i="10"/>
  <c r="C37" i="10"/>
  <c r="AB36" i="10"/>
  <c r="AC36" i="10" s="1"/>
  <c r="AD36" i="10" s="1"/>
  <c r="Z36" i="10"/>
  <c r="AA36" i="10" s="1"/>
  <c r="Y36" i="10"/>
  <c r="X36" i="10"/>
  <c r="W36" i="10"/>
  <c r="R36" i="10"/>
  <c r="S36" i="10" s="1"/>
  <c r="Q36" i="10"/>
  <c r="L36" i="10"/>
  <c r="M36" i="10" s="1"/>
  <c r="K36" i="10"/>
  <c r="C36" i="10"/>
  <c r="AB35" i="10"/>
  <c r="AC35" i="10" s="1"/>
  <c r="AD35" i="10" s="1"/>
  <c r="AA35" i="10"/>
  <c r="Z35" i="10"/>
  <c r="Y35" i="10"/>
  <c r="X35" i="10"/>
  <c r="W35" i="10"/>
  <c r="R35" i="10"/>
  <c r="S35" i="10" s="1"/>
  <c r="Q35" i="10"/>
  <c r="L35" i="10"/>
  <c r="M35" i="10" s="1"/>
  <c r="K35" i="10"/>
  <c r="C35" i="10"/>
  <c r="AB34" i="10"/>
  <c r="AC34" i="10" s="1"/>
  <c r="AD34" i="10" s="1"/>
  <c r="Z34" i="10"/>
  <c r="AA34" i="10" s="1"/>
  <c r="Y34" i="10"/>
  <c r="X34" i="10"/>
  <c r="W34" i="10"/>
  <c r="R34" i="10"/>
  <c r="S34" i="10" s="1"/>
  <c r="Q34" i="10"/>
  <c r="L34" i="10"/>
  <c r="M34" i="10" s="1"/>
  <c r="K34" i="10"/>
  <c r="C34" i="10"/>
  <c r="AB33" i="10"/>
  <c r="AC33" i="10" s="1"/>
  <c r="AD33" i="10" s="1"/>
  <c r="Z33" i="10"/>
  <c r="AA33" i="10" s="1"/>
  <c r="Y33" i="10"/>
  <c r="X33" i="10"/>
  <c r="W33" i="10"/>
  <c r="R33" i="10"/>
  <c r="S33" i="10" s="1"/>
  <c r="Q33" i="10"/>
  <c r="L33" i="10"/>
  <c r="M33" i="10" s="1"/>
  <c r="K33" i="10"/>
  <c r="C33" i="10"/>
  <c r="AB32" i="10"/>
  <c r="AC32" i="10" s="1"/>
  <c r="AD32" i="10" s="1"/>
  <c r="Z32" i="10"/>
  <c r="AA32" i="10" s="1"/>
  <c r="Y32" i="10"/>
  <c r="X32" i="10"/>
  <c r="W32" i="10"/>
  <c r="S32" i="10"/>
  <c r="R32" i="10"/>
  <c r="Q32" i="10"/>
  <c r="L32" i="10"/>
  <c r="M32" i="10" s="1"/>
  <c r="K32" i="10"/>
  <c r="C32" i="10"/>
  <c r="AB31" i="10"/>
  <c r="AC31" i="10" s="1"/>
  <c r="AD31" i="10" s="1"/>
  <c r="Z31" i="10"/>
  <c r="AA31" i="10" s="1"/>
  <c r="Y31" i="10"/>
  <c r="X31" i="10"/>
  <c r="W31" i="10"/>
  <c r="R31" i="10"/>
  <c r="S31" i="10" s="1"/>
  <c r="Q31" i="10"/>
  <c r="M31" i="10"/>
  <c r="L31" i="10"/>
  <c r="K31" i="10"/>
  <c r="C31" i="10"/>
  <c r="AB30" i="10"/>
  <c r="AC30" i="10" s="1"/>
  <c r="AD30" i="10" s="1"/>
  <c r="Z30" i="10"/>
  <c r="AA30" i="10" s="1"/>
  <c r="Y30" i="10"/>
  <c r="X30" i="10"/>
  <c r="W30" i="10"/>
  <c r="R30" i="10"/>
  <c r="S30" i="10" s="1"/>
  <c r="Q30" i="10"/>
  <c r="L30" i="10"/>
  <c r="M30" i="10" s="1"/>
  <c r="K30" i="10"/>
  <c r="C30" i="10"/>
  <c r="AB29" i="10"/>
  <c r="AC29" i="10" s="1"/>
  <c r="AD29" i="10" s="1"/>
  <c r="AA29" i="10"/>
  <c r="Z29" i="10"/>
  <c r="Y29" i="10"/>
  <c r="X29" i="10"/>
  <c r="W29" i="10"/>
  <c r="R29" i="10"/>
  <c r="S29" i="10" s="1"/>
  <c r="Q29" i="10"/>
  <c r="L29" i="10"/>
  <c r="M29" i="10" s="1"/>
  <c r="K29" i="10"/>
  <c r="C29" i="10"/>
  <c r="AB28" i="10"/>
  <c r="AC28" i="10" s="1"/>
  <c r="AD28" i="10" s="1"/>
  <c r="Z28" i="10"/>
  <c r="AA28" i="10" s="1"/>
  <c r="Y28" i="10"/>
  <c r="X28" i="10"/>
  <c r="W28" i="10"/>
  <c r="S28" i="10"/>
  <c r="R28" i="10"/>
  <c r="Q28" i="10"/>
  <c r="L28" i="10"/>
  <c r="M28" i="10" s="1"/>
  <c r="K28" i="10"/>
  <c r="C28" i="10"/>
  <c r="AB27" i="10"/>
  <c r="AC27" i="10" s="1"/>
  <c r="AD27" i="10" s="1"/>
  <c r="AA27" i="10"/>
  <c r="Z27" i="10"/>
  <c r="Y27" i="10"/>
  <c r="X27" i="10"/>
  <c r="W27" i="10"/>
  <c r="R27" i="10"/>
  <c r="S27" i="10" s="1"/>
  <c r="Q27" i="10"/>
  <c r="M27" i="10"/>
  <c r="L27" i="10"/>
  <c r="K27" i="10"/>
  <c r="C27" i="10"/>
  <c r="AB26" i="10"/>
  <c r="AC26" i="10" s="1"/>
  <c r="AD26" i="10" s="1"/>
  <c r="Z26" i="10"/>
  <c r="AA26" i="10" s="1"/>
  <c r="Y26" i="10"/>
  <c r="X26" i="10"/>
  <c r="W26" i="10"/>
  <c r="R26" i="10"/>
  <c r="S26" i="10" s="1"/>
  <c r="Q26" i="10"/>
  <c r="L26" i="10"/>
  <c r="M26" i="10" s="1"/>
  <c r="K26" i="10"/>
  <c r="C26" i="10"/>
  <c r="AB25" i="10"/>
  <c r="AC25" i="10" s="1"/>
  <c r="AD25" i="10" s="1"/>
  <c r="Z25" i="10"/>
  <c r="AA25" i="10" s="1"/>
  <c r="Y25" i="10"/>
  <c r="X25" i="10"/>
  <c r="W25" i="10"/>
  <c r="R25" i="10"/>
  <c r="S25" i="10" s="1"/>
  <c r="Q25" i="10"/>
  <c r="L25" i="10"/>
  <c r="M25" i="10" s="1"/>
  <c r="K25" i="10"/>
  <c r="C25" i="10"/>
  <c r="AB24" i="10"/>
  <c r="AC24" i="10" s="1"/>
  <c r="AD24" i="10" s="1"/>
  <c r="Z24" i="10"/>
  <c r="AA24" i="10" s="1"/>
  <c r="Y24" i="10"/>
  <c r="X24" i="10"/>
  <c r="W24" i="10"/>
  <c r="S24" i="10"/>
  <c r="R24" i="10"/>
  <c r="Q24" i="10"/>
  <c r="L24" i="10"/>
  <c r="M24" i="10" s="1"/>
  <c r="K24" i="10"/>
  <c r="C24" i="10"/>
  <c r="AB23" i="10"/>
  <c r="AC23" i="10" s="1"/>
  <c r="AD23" i="10" s="1"/>
  <c r="Z23" i="10"/>
  <c r="AA23" i="10" s="1"/>
  <c r="Y23" i="10"/>
  <c r="X23" i="10"/>
  <c r="W23" i="10"/>
  <c r="R23" i="10"/>
  <c r="S23" i="10" s="1"/>
  <c r="Q23" i="10"/>
  <c r="L23" i="10"/>
  <c r="M23" i="10" s="1"/>
  <c r="K23" i="10"/>
  <c r="C23" i="10"/>
  <c r="AB22" i="10"/>
  <c r="AC22" i="10" s="1"/>
  <c r="AD22" i="10" s="1"/>
  <c r="Z22" i="10"/>
  <c r="AA22" i="10" s="1"/>
  <c r="Y22" i="10"/>
  <c r="X22" i="10"/>
  <c r="W22" i="10"/>
  <c r="R22" i="10"/>
  <c r="S22" i="10" s="1"/>
  <c r="Q22" i="10"/>
  <c r="L22" i="10"/>
  <c r="M22" i="10" s="1"/>
  <c r="K22" i="10"/>
  <c r="C22" i="10"/>
  <c r="AB21" i="10"/>
  <c r="AC21" i="10" s="1"/>
  <c r="AD21" i="10" s="1"/>
  <c r="AA21" i="10"/>
  <c r="Z21" i="10"/>
  <c r="Y21" i="10"/>
  <c r="X21" i="10"/>
  <c r="W21" i="10"/>
  <c r="R21" i="10"/>
  <c r="S21" i="10" s="1"/>
  <c r="Q21" i="10"/>
  <c r="L21" i="10"/>
  <c r="M21" i="10" s="1"/>
  <c r="K21" i="10"/>
  <c r="C21" i="10"/>
  <c r="AB20" i="10"/>
  <c r="AC20" i="10" s="1"/>
  <c r="AD20" i="10" s="1"/>
  <c r="Z20" i="10"/>
  <c r="AA20" i="10" s="1"/>
  <c r="Y20" i="10"/>
  <c r="X20" i="10"/>
  <c r="W20" i="10"/>
  <c r="R20" i="10"/>
  <c r="S20" i="10" s="1"/>
  <c r="Q20" i="10"/>
  <c r="L20" i="10"/>
  <c r="M20" i="10" s="1"/>
  <c r="K20" i="10"/>
  <c r="C20" i="10"/>
  <c r="AB19" i="10"/>
  <c r="AC19" i="10" s="1"/>
  <c r="AD19" i="10" s="1"/>
  <c r="Z19" i="10"/>
  <c r="AA19" i="10" s="1"/>
  <c r="Y19" i="10"/>
  <c r="X19" i="10"/>
  <c r="W19" i="10"/>
  <c r="R19" i="10"/>
  <c r="S19" i="10" s="1"/>
  <c r="Q19" i="10"/>
  <c r="L19" i="10"/>
  <c r="M19" i="10" s="1"/>
  <c r="K19" i="10"/>
  <c r="C19" i="10"/>
  <c r="AB18" i="10"/>
  <c r="AC18" i="10" s="1"/>
  <c r="AD18" i="10" s="1"/>
  <c r="Z18" i="10"/>
  <c r="AA18" i="10" s="1"/>
  <c r="Y18" i="10"/>
  <c r="X18" i="10"/>
  <c r="W18" i="10"/>
  <c r="S18" i="10"/>
  <c r="R18" i="10"/>
  <c r="Q18" i="10"/>
  <c r="L18" i="10"/>
  <c r="M18" i="10" s="1"/>
  <c r="K18" i="10"/>
  <c r="C18" i="10"/>
  <c r="Q15" i="10"/>
  <c r="K15" i="10"/>
  <c r="J11" i="10"/>
  <c r="Q10" i="10"/>
  <c r="J10" i="10"/>
  <c r="Z7" i="10"/>
  <c r="F7" i="10"/>
  <c r="Z5" i="10"/>
  <c r="R5" i="10"/>
  <c r="F5" i="10"/>
  <c r="Q10" i="2"/>
  <c r="J11" i="2"/>
  <c r="J10" i="2"/>
  <c r="Z7" i="2"/>
  <c r="Z5" i="2"/>
  <c r="R5" i="2"/>
  <c r="F7" i="2"/>
  <c r="F5" i="2"/>
  <c r="AB118" i="2"/>
  <c r="AC118" i="2" s="1"/>
  <c r="AD118" i="2" s="1"/>
  <c r="Z118" i="2"/>
  <c r="AA118" i="2" s="1"/>
  <c r="Y118" i="2"/>
  <c r="X118" i="2"/>
  <c r="W118" i="2"/>
  <c r="R118" i="2"/>
  <c r="S118" i="2" s="1"/>
  <c r="Q118" i="2"/>
  <c r="L118" i="2"/>
  <c r="M118" i="2" s="1"/>
  <c r="K118" i="2"/>
  <c r="AB117" i="2"/>
  <c r="AC117" i="2" s="1"/>
  <c r="AD117" i="2" s="1"/>
  <c r="Z117" i="2"/>
  <c r="AA117" i="2" s="1"/>
  <c r="Y117" i="2"/>
  <c r="X117" i="2"/>
  <c r="W117" i="2"/>
  <c r="R117" i="2"/>
  <c r="S117" i="2" s="1"/>
  <c r="Q117" i="2"/>
  <c r="L117" i="2"/>
  <c r="M117" i="2" s="1"/>
  <c r="K117" i="2"/>
  <c r="AB116" i="2"/>
  <c r="AC116" i="2" s="1"/>
  <c r="AD116" i="2" s="1"/>
  <c r="Z116" i="2"/>
  <c r="AA116" i="2" s="1"/>
  <c r="Y116" i="2"/>
  <c r="X116" i="2"/>
  <c r="W116" i="2"/>
  <c r="R116" i="2"/>
  <c r="S116" i="2" s="1"/>
  <c r="Q116" i="2"/>
  <c r="L116" i="2"/>
  <c r="M116" i="2" s="1"/>
  <c r="K116" i="2"/>
  <c r="AB115" i="2"/>
  <c r="AC115" i="2" s="1"/>
  <c r="AD115" i="2" s="1"/>
  <c r="Z115" i="2"/>
  <c r="AA115" i="2" s="1"/>
  <c r="Y115" i="2"/>
  <c r="X115" i="2"/>
  <c r="W115" i="2"/>
  <c r="R115" i="2"/>
  <c r="S115" i="2" s="1"/>
  <c r="Q115" i="2"/>
  <c r="L115" i="2"/>
  <c r="M115" i="2" s="1"/>
  <c r="K115" i="2"/>
  <c r="AB114" i="2"/>
  <c r="AC114" i="2" s="1"/>
  <c r="AD114" i="2" s="1"/>
  <c r="AA114" i="2"/>
  <c r="Z114" i="2"/>
  <c r="Y114" i="2"/>
  <c r="X114" i="2"/>
  <c r="W114" i="2"/>
  <c r="R114" i="2"/>
  <c r="S114" i="2" s="1"/>
  <c r="Q114" i="2"/>
  <c r="L114" i="2"/>
  <c r="M114" i="2" s="1"/>
  <c r="K114" i="2"/>
  <c r="AB113" i="2"/>
  <c r="AC113" i="2" s="1"/>
  <c r="AD113" i="2" s="1"/>
  <c r="Z113" i="2"/>
  <c r="AA113" i="2" s="1"/>
  <c r="Y113" i="2"/>
  <c r="X113" i="2"/>
  <c r="W113" i="2"/>
  <c r="R113" i="2"/>
  <c r="S113" i="2" s="1"/>
  <c r="Q113" i="2"/>
  <c r="L113" i="2"/>
  <c r="M113" i="2" s="1"/>
  <c r="K113" i="2"/>
  <c r="AB112" i="2"/>
  <c r="AC112" i="2" s="1"/>
  <c r="AD112" i="2" s="1"/>
  <c r="Z112" i="2"/>
  <c r="AA112" i="2" s="1"/>
  <c r="Y112" i="2"/>
  <c r="X112" i="2"/>
  <c r="W112" i="2"/>
  <c r="R112" i="2"/>
  <c r="S112" i="2" s="1"/>
  <c r="Q112" i="2"/>
  <c r="L112" i="2"/>
  <c r="M112" i="2" s="1"/>
  <c r="K112" i="2"/>
  <c r="AB111" i="2"/>
  <c r="AC111" i="2" s="1"/>
  <c r="F108" i="8" s="1"/>
  <c r="Z111" i="2"/>
  <c r="AA111" i="2" s="1"/>
  <c r="Y111" i="2"/>
  <c r="X111" i="2"/>
  <c r="W111" i="2"/>
  <c r="R111" i="2"/>
  <c r="S111" i="2" s="1"/>
  <c r="Q111" i="2"/>
  <c r="L111" i="2"/>
  <c r="M111" i="2" s="1"/>
  <c r="K111" i="2"/>
  <c r="AB110" i="2"/>
  <c r="AC110" i="2" s="1"/>
  <c r="AD110" i="2" s="1"/>
  <c r="Z110" i="2"/>
  <c r="AA110" i="2" s="1"/>
  <c r="Y110" i="2"/>
  <c r="X110" i="2"/>
  <c r="W110" i="2"/>
  <c r="R110" i="2"/>
  <c r="S110" i="2" s="1"/>
  <c r="Q110" i="2"/>
  <c r="L110" i="2"/>
  <c r="M110" i="2" s="1"/>
  <c r="K110" i="2"/>
  <c r="AB109" i="2"/>
  <c r="AC109" i="2" s="1"/>
  <c r="AD109" i="2" s="1"/>
  <c r="Z109" i="2"/>
  <c r="AA109" i="2" s="1"/>
  <c r="Y109" i="2"/>
  <c r="X109" i="2"/>
  <c r="W109" i="2"/>
  <c r="R109" i="2"/>
  <c r="S109" i="2" s="1"/>
  <c r="Q109" i="2"/>
  <c r="L109" i="2"/>
  <c r="M109" i="2" s="1"/>
  <c r="K109" i="2"/>
  <c r="AB108" i="2"/>
  <c r="AC108" i="2" s="1"/>
  <c r="AD108" i="2" s="1"/>
  <c r="AA108" i="2"/>
  <c r="Z108" i="2"/>
  <c r="Y108" i="2"/>
  <c r="X108" i="2"/>
  <c r="W108" i="2"/>
  <c r="R108" i="2"/>
  <c r="S108" i="2" s="1"/>
  <c r="Q108" i="2"/>
  <c r="L108" i="2"/>
  <c r="M108" i="2" s="1"/>
  <c r="K108" i="2"/>
  <c r="AB107" i="2"/>
  <c r="AC107" i="2" s="1"/>
  <c r="Z107" i="2"/>
  <c r="AA107" i="2" s="1"/>
  <c r="Y107" i="2"/>
  <c r="X107" i="2"/>
  <c r="W107" i="2"/>
  <c r="R107" i="2"/>
  <c r="S107" i="2" s="1"/>
  <c r="Q107" i="2"/>
  <c r="L107" i="2"/>
  <c r="M107" i="2" s="1"/>
  <c r="K107" i="2"/>
  <c r="AB106" i="2"/>
  <c r="AC106" i="2" s="1"/>
  <c r="AD106" i="2" s="1"/>
  <c r="Z106" i="2"/>
  <c r="AA106" i="2" s="1"/>
  <c r="Y106" i="2"/>
  <c r="X106" i="2"/>
  <c r="W106" i="2"/>
  <c r="R106" i="2"/>
  <c r="S106" i="2" s="1"/>
  <c r="Q106" i="2"/>
  <c r="M106" i="2"/>
  <c r="L106" i="2"/>
  <c r="K106" i="2"/>
  <c r="AB105" i="2"/>
  <c r="AC105" i="2" s="1"/>
  <c r="F102" i="8" s="1"/>
  <c r="Z105" i="2"/>
  <c r="AA105" i="2" s="1"/>
  <c r="Y105" i="2"/>
  <c r="X105" i="2"/>
  <c r="W105" i="2"/>
  <c r="R105" i="2"/>
  <c r="S105" i="2" s="1"/>
  <c r="Q105" i="2"/>
  <c r="L105" i="2"/>
  <c r="M105" i="2" s="1"/>
  <c r="K105" i="2"/>
  <c r="AB104" i="2"/>
  <c r="AC104" i="2" s="1"/>
  <c r="AD104" i="2" s="1"/>
  <c r="Z104" i="2"/>
  <c r="AA104" i="2" s="1"/>
  <c r="Y104" i="2"/>
  <c r="X104" i="2"/>
  <c r="W104" i="2"/>
  <c r="R104" i="2"/>
  <c r="S104" i="2" s="1"/>
  <c r="Q104" i="2"/>
  <c r="L104" i="2"/>
  <c r="M104" i="2" s="1"/>
  <c r="K104" i="2"/>
  <c r="AB103" i="2"/>
  <c r="AC103" i="2" s="1"/>
  <c r="AD103" i="2" s="1"/>
  <c r="Z103" i="2"/>
  <c r="AA103" i="2" s="1"/>
  <c r="Y103" i="2"/>
  <c r="X103" i="2"/>
  <c r="W103" i="2"/>
  <c r="S103" i="2"/>
  <c r="R103" i="2"/>
  <c r="Q103" i="2"/>
  <c r="L103" i="2"/>
  <c r="M103" i="2" s="1"/>
  <c r="K103" i="2"/>
  <c r="AB102" i="2"/>
  <c r="AC102" i="2" s="1"/>
  <c r="AD102" i="2" s="1"/>
  <c r="Z102" i="2"/>
  <c r="AA102" i="2" s="1"/>
  <c r="Y102" i="2"/>
  <c r="X102" i="2"/>
  <c r="W102" i="2"/>
  <c r="R102" i="2"/>
  <c r="S102" i="2" s="1"/>
  <c r="Q102" i="2"/>
  <c r="L102" i="2"/>
  <c r="M102" i="2" s="1"/>
  <c r="K102" i="2"/>
  <c r="AB101" i="2"/>
  <c r="AC101" i="2" s="1"/>
  <c r="Z101" i="2"/>
  <c r="AA101" i="2" s="1"/>
  <c r="Y101" i="2"/>
  <c r="X101" i="2"/>
  <c r="W101" i="2"/>
  <c r="S101" i="2"/>
  <c r="R101" i="2"/>
  <c r="Q101" i="2"/>
  <c r="L101" i="2"/>
  <c r="M101" i="2" s="1"/>
  <c r="K101" i="2"/>
  <c r="AB100" i="2"/>
  <c r="AC100" i="2" s="1"/>
  <c r="AD100" i="2" s="1"/>
  <c r="Z100" i="2"/>
  <c r="AA100" i="2" s="1"/>
  <c r="Y100" i="2"/>
  <c r="X100" i="2"/>
  <c r="W100" i="2"/>
  <c r="S100" i="2"/>
  <c r="R100" i="2"/>
  <c r="Q100" i="2"/>
  <c r="M100" i="2"/>
  <c r="L100" i="2"/>
  <c r="K100" i="2"/>
  <c r="AB99" i="2"/>
  <c r="AC99" i="2" s="1"/>
  <c r="Z99" i="2"/>
  <c r="AA99" i="2" s="1"/>
  <c r="Y99" i="2"/>
  <c r="X99" i="2"/>
  <c r="W99" i="2"/>
  <c r="R99" i="2"/>
  <c r="S99" i="2" s="1"/>
  <c r="Q99" i="2"/>
  <c r="L99" i="2"/>
  <c r="M99" i="2" s="1"/>
  <c r="K99" i="2"/>
  <c r="AB98" i="2"/>
  <c r="AC98" i="2" s="1"/>
  <c r="AD98" i="2" s="1"/>
  <c r="Z98" i="2"/>
  <c r="AA98" i="2" s="1"/>
  <c r="Y98" i="2"/>
  <c r="X98" i="2"/>
  <c r="W98" i="2"/>
  <c r="R98" i="2"/>
  <c r="S98" i="2" s="1"/>
  <c r="Q98" i="2"/>
  <c r="L98" i="2"/>
  <c r="M98" i="2" s="1"/>
  <c r="K98" i="2"/>
  <c r="AB97" i="2"/>
  <c r="AC97" i="2" s="1"/>
  <c r="AD97" i="2" s="1"/>
  <c r="Z97" i="2"/>
  <c r="AA97" i="2" s="1"/>
  <c r="Y97" i="2"/>
  <c r="X97" i="2"/>
  <c r="W97" i="2"/>
  <c r="S97" i="2"/>
  <c r="R97" i="2"/>
  <c r="Q97" i="2"/>
  <c r="L97" i="2"/>
  <c r="M97" i="2" s="1"/>
  <c r="K97" i="2"/>
  <c r="AB96" i="2"/>
  <c r="AC96" i="2" s="1"/>
  <c r="AD96" i="2" s="1"/>
  <c r="Z96" i="2"/>
  <c r="AA96" i="2" s="1"/>
  <c r="Y96" i="2"/>
  <c r="X96" i="2"/>
  <c r="W96" i="2"/>
  <c r="R96" i="2"/>
  <c r="S96" i="2" s="1"/>
  <c r="Q96" i="2"/>
  <c r="L96" i="2"/>
  <c r="M96" i="2" s="1"/>
  <c r="K96" i="2"/>
  <c r="AC95" i="2"/>
  <c r="AD95" i="2" s="1"/>
  <c r="AB95" i="2"/>
  <c r="Z95" i="2"/>
  <c r="AA95" i="2" s="1"/>
  <c r="Y95" i="2"/>
  <c r="X95" i="2"/>
  <c r="W95" i="2"/>
  <c r="R95" i="2"/>
  <c r="S95" i="2" s="1"/>
  <c r="Q95" i="2"/>
  <c r="L95" i="2"/>
  <c r="M95" i="2" s="1"/>
  <c r="K95" i="2"/>
  <c r="AB94" i="2"/>
  <c r="AC94" i="2" s="1"/>
  <c r="AD94" i="2" s="1"/>
  <c r="Z94" i="2"/>
  <c r="AA94" i="2" s="1"/>
  <c r="Y94" i="2"/>
  <c r="X94" i="2"/>
  <c r="W94" i="2"/>
  <c r="S94" i="2"/>
  <c r="R94" i="2"/>
  <c r="Q94" i="2"/>
  <c r="L94" i="2"/>
  <c r="M94" i="2" s="1"/>
  <c r="K94" i="2"/>
  <c r="AB93" i="2"/>
  <c r="AC93" i="2" s="1"/>
  <c r="F90" i="8" s="1"/>
  <c r="Z93" i="2"/>
  <c r="AA93" i="2" s="1"/>
  <c r="Y93" i="2"/>
  <c r="X93" i="2"/>
  <c r="W93" i="2"/>
  <c r="R93" i="2"/>
  <c r="S93" i="2" s="1"/>
  <c r="Q93" i="2"/>
  <c r="L93" i="2"/>
  <c r="M93" i="2" s="1"/>
  <c r="K93" i="2"/>
  <c r="AB92" i="2"/>
  <c r="AC92" i="2" s="1"/>
  <c r="AD92" i="2" s="1"/>
  <c r="Z92" i="2"/>
  <c r="AA92" i="2" s="1"/>
  <c r="Y92" i="2"/>
  <c r="X92" i="2"/>
  <c r="W92" i="2"/>
  <c r="R92" i="2"/>
  <c r="S92" i="2" s="1"/>
  <c r="Q92" i="2"/>
  <c r="L92" i="2"/>
  <c r="M92" i="2" s="1"/>
  <c r="K92" i="2"/>
  <c r="AB91" i="2"/>
  <c r="AC91" i="2" s="1"/>
  <c r="AD91" i="2" s="1"/>
  <c r="Z91" i="2"/>
  <c r="AA91" i="2" s="1"/>
  <c r="Y91" i="2"/>
  <c r="X91" i="2"/>
  <c r="W91" i="2"/>
  <c r="R91" i="2"/>
  <c r="S91" i="2" s="1"/>
  <c r="Q91" i="2"/>
  <c r="L91" i="2"/>
  <c r="M91" i="2" s="1"/>
  <c r="K91" i="2"/>
  <c r="AB90" i="2"/>
  <c r="AC90" i="2" s="1"/>
  <c r="AD90" i="2" s="1"/>
  <c r="Z90" i="2"/>
  <c r="AA90" i="2" s="1"/>
  <c r="Y90" i="2"/>
  <c r="X90" i="2"/>
  <c r="W90" i="2"/>
  <c r="R90" i="2"/>
  <c r="S90" i="2" s="1"/>
  <c r="Q90" i="2"/>
  <c r="L90" i="2"/>
  <c r="M90" i="2" s="1"/>
  <c r="K90" i="2"/>
  <c r="AB89" i="2"/>
  <c r="AC89" i="2" s="1"/>
  <c r="AD89" i="2" s="1"/>
  <c r="Z89" i="2"/>
  <c r="AA89" i="2" s="1"/>
  <c r="Y89" i="2"/>
  <c r="X89" i="2"/>
  <c r="W89" i="2"/>
  <c r="R89" i="2"/>
  <c r="S89" i="2" s="1"/>
  <c r="Q89" i="2"/>
  <c r="L89" i="2"/>
  <c r="M89" i="2" s="1"/>
  <c r="K89" i="2"/>
  <c r="AB88" i="2"/>
  <c r="AC88" i="2" s="1"/>
  <c r="AD88" i="2" s="1"/>
  <c r="Z88" i="2"/>
  <c r="AA88" i="2" s="1"/>
  <c r="Y88" i="2"/>
  <c r="X88" i="2"/>
  <c r="W88" i="2"/>
  <c r="R88" i="2"/>
  <c r="S88" i="2" s="1"/>
  <c r="Q88" i="2"/>
  <c r="M88" i="2"/>
  <c r="L88" i="2"/>
  <c r="K88" i="2"/>
  <c r="AB87" i="2"/>
  <c r="AC87" i="2" s="1"/>
  <c r="AD87" i="2" s="1"/>
  <c r="Z87" i="2"/>
  <c r="AA87" i="2" s="1"/>
  <c r="Y87" i="2"/>
  <c r="X87" i="2"/>
  <c r="W87" i="2"/>
  <c r="R87" i="2"/>
  <c r="S87" i="2" s="1"/>
  <c r="Q87" i="2"/>
  <c r="L87" i="2"/>
  <c r="M87" i="2" s="1"/>
  <c r="K87" i="2"/>
  <c r="AB86" i="2"/>
  <c r="AC86" i="2" s="1"/>
  <c r="AD86" i="2" s="1"/>
  <c r="Z86" i="2"/>
  <c r="AA86" i="2" s="1"/>
  <c r="Y86" i="2"/>
  <c r="X86" i="2"/>
  <c r="W86" i="2"/>
  <c r="R86" i="2"/>
  <c r="S86" i="2" s="1"/>
  <c r="Q86" i="2"/>
  <c r="L86" i="2"/>
  <c r="M86" i="2" s="1"/>
  <c r="K86" i="2"/>
  <c r="AB85" i="2"/>
  <c r="AC85" i="2" s="1"/>
  <c r="AD85" i="2" s="1"/>
  <c r="Z85" i="2"/>
  <c r="AA85" i="2" s="1"/>
  <c r="Y85" i="2"/>
  <c r="X85" i="2"/>
  <c r="W85" i="2"/>
  <c r="S85" i="2"/>
  <c r="R85" i="2"/>
  <c r="Q85" i="2"/>
  <c r="L85" i="2"/>
  <c r="M85" i="2" s="1"/>
  <c r="K85" i="2"/>
  <c r="AB84" i="2"/>
  <c r="AC84" i="2" s="1"/>
  <c r="AD84" i="2" s="1"/>
  <c r="AA84" i="2"/>
  <c r="Z84" i="2"/>
  <c r="Y84" i="2"/>
  <c r="X84" i="2"/>
  <c r="W84" i="2"/>
  <c r="S84" i="2"/>
  <c r="R84" i="2"/>
  <c r="Q84" i="2"/>
  <c r="L84" i="2"/>
  <c r="M84" i="2" s="1"/>
  <c r="K84" i="2"/>
  <c r="AB83" i="2"/>
  <c r="AC83" i="2" s="1"/>
  <c r="Z83" i="2"/>
  <c r="AA83" i="2" s="1"/>
  <c r="Y83" i="2"/>
  <c r="X83" i="2"/>
  <c r="W83" i="2"/>
  <c r="S83" i="2"/>
  <c r="R83" i="2"/>
  <c r="Q83" i="2"/>
  <c r="L83" i="2"/>
  <c r="M83" i="2" s="1"/>
  <c r="K83" i="2"/>
  <c r="AB82" i="2"/>
  <c r="AC82" i="2" s="1"/>
  <c r="AD82" i="2" s="1"/>
  <c r="Z82" i="2"/>
  <c r="AA82" i="2" s="1"/>
  <c r="Y82" i="2"/>
  <c r="X82" i="2"/>
  <c r="W82" i="2"/>
  <c r="R82" i="2"/>
  <c r="S82" i="2" s="1"/>
  <c r="Q82" i="2"/>
  <c r="L82" i="2"/>
  <c r="M82" i="2" s="1"/>
  <c r="K82" i="2"/>
  <c r="AB81" i="2"/>
  <c r="AC81" i="2" s="1"/>
  <c r="Z81" i="2"/>
  <c r="AA81" i="2" s="1"/>
  <c r="Y81" i="2"/>
  <c r="X81" i="2"/>
  <c r="W81" i="2"/>
  <c r="R81" i="2"/>
  <c r="S81" i="2" s="1"/>
  <c r="Q81" i="2"/>
  <c r="L81" i="2"/>
  <c r="M81" i="2" s="1"/>
  <c r="K81" i="2"/>
  <c r="AB80" i="2"/>
  <c r="AC80" i="2" s="1"/>
  <c r="AD80" i="2" s="1"/>
  <c r="Z80" i="2"/>
  <c r="AA80" i="2" s="1"/>
  <c r="Y80" i="2"/>
  <c r="X80" i="2"/>
  <c r="W80" i="2"/>
  <c r="R80" i="2"/>
  <c r="S80" i="2" s="1"/>
  <c r="Q80" i="2"/>
  <c r="M80" i="2"/>
  <c r="L80" i="2"/>
  <c r="K80" i="2"/>
  <c r="AB79" i="2"/>
  <c r="AC79" i="2" s="1"/>
  <c r="AD79" i="2" s="1"/>
  <c r="Z79" i="2"/>
  <c r="AA79" i="2" s="1"/>
  <c r="Y79" i="2"/>
  <c r="X79" i="2"/>
  <c r="W79" i="2"/>
  <c r="R79" i="2"/>
  <c r="S79" i="2" s="1"/>
  <c r="Q79" i="2"/>
  <c r="L79" i="2"/>
  <c r="M79" i="2" s="1"/>
  <c r="K79" i="2"/>
  <c r="AB78" i="2"/>
  <c r="AC78" i="2" s="1"/>
  <c r="AD78" i="2" s="1"/>
  <c r="Z78" i="2"/>
  <c r="AA78" i="2" s="1"/>
  <c r="Y78" i="2"/>
  <c r="X78" i="2"/>
  <c r="W78" i="2"/>
  <c r="S78" i="2"/>
  <c r="R78" i="2"/>
  <c r="Q78" i="2"/>
  <c r="L78" i="2"/>
  <c r="M78" i="2" s="1"/>
  <c r="K78" i="2"/>
  <c r="AB77" i="2"/>
  <c r="AC77" i="2" s="1"/>
  <c r="AD77" i="2" s="1"/>
  <c r="Z77" i="2"/>
  <c r="AA77" i="2" s="1"/>
  <c r="Y77" i="2"/>
  <c r="X77" i="2"/>
  <c r="W77" i="2"/>
  <c r="S77" i="2"/>
  <c r="R77" i="2"/>
  <c r="Q77" i="2"/>
  <c r="L77" i="2"/>
  <c r="M77" i="2" s="1"/>
  <c r="K77" i="2"/>
  <c r="AB76" i="2"/>
  <c r="AC76" i="2" s="1"/>
  <c r="AD76" i="2" s="1"/>
  <c r="Z76" i="2"/>
  <c r="AA76" i="2" s="1"/>
  <c r="Y76" i="2"/>
  <c r="X76" i="2"/>
  <c r="W76" i="2"/>
  <c r="R76" i="2"/>
  <c r="S76" i="2" s="1"/>
  <c r="Q76" i="2"/>
  <c r="M76" i="2"/>
  <c r="L76" i="2"/>
  <c r="K76" i="2"/>
  <c r="AB75" i="2"/>
  <c r="AC75" i="2" s="1"/>
  <c r="AD75" i="2" s="1"/>
  <c r="Z75" i="2"/>
  <c r="AA75" i="2" s="1"/>
  <c r="Y75" i="2"/>
  <c r="X75" i="2"/>
  <c r="W75" i="2"/>
  <c r="R75" i="2"/>
  <c r="S75" i="2" s="1"/>
  <c r="Q75" i="2"/>
  <c r="L75" i="2"/>
  <c r="M75" i="2" s="1"/>
  <c r="K75" i="2"/>
  <c r="AB74" i="2"/>
  <c r="AC74" i="2" s="1"/>
  <c r="AD74" i="2" s="1"/>
  <c r="Z74" i="2"/>
  <c r="AA74" i="2" s="1"/>
  <c r="Y74" i="2"/>
  <c r="X74" i="2"/>
  <c r="W74" i="2"/>
  <c r="R74" i="2"/>
  <c r="S74" i="2" s="1"/>
  <c r="Q74" i="2"/>
  <c r="L74" i="2"/>
  <c r="M74" i="2" s="1"/>
  <c r="K74" i="2"/>
  <c r="AB73" i="2"/>
  <c r="AC73" i="2" s="1"/>
  <c r="AD73" i="2" s="1"/>
  <c r="Z73" i="2"/>
  <c r="AA73" i="2" s="1"/>
  <c r="Y73" i="2"/>
  <c r="X73" i="2"/>
  <c r="W73" i="2"/>
  <c r="S73" i="2"/>
  <c r="R73" i="2"/>
  <c r="Q73" i="2"/>
  <c r="L73" i="2"/>
  <c r="M73" i="2" s="1"/>
  <c r="K73" i="2"/>
  <c r="AB72" i="2"/>
  <c r="AC72" i="2" s="1"/>
  <c r="AD72" i="2" s="1"/>
  <c r="Z72" i="2"/>
  <c r="AA72" i="2" s="1"/>
  <c r="Y72" i="2"/>
  <c r="X72" i="2"/>
  <c r="W72" i="2"/>
  <c r="R72" i="2"/>
  <c r="S72" i="2" s="1"/>
  <c r="Q72" i="2"/>
  <c r="L72" i="2"/>
  <c r="M72" i="2" s="1"/>
  <c r="K72" i="2"/>
  <c r="AB71" i="2"/>
  <c r="AC71" i="2" s="1"/>
  <c r="Z71" i="2"/>
  <c r="AA71" i="2" s="1"/>
  <c r="Y71" i="2"/>
  <c r="X71" i="2"/>
  <c r="W71" i="2"/>
  <c r="R71" i="2"/>
  <c r="S71" i="2" s="1"/>
  <c r="Q71" i="2"/>
  <c r="L71" i="2"/>
  <c r="M71" i="2" s="1"/>
  <c r="K71" i="2"/>
  <c r="AB70" i="2"/>
  <c r="AC70" i="2" s="1"/>
  <c r="AD70" i="2" s="1"/>
  <c r="AA70" i="2"/>
  <c r="Z70" i="2"/>
  <c r="Y70" i="2"/>
  <c r="X70" i="2"/>
  <c r="W70" i="2"/>
  <c r="S70" i="2"/>
  <c r="R70" i="2"/>
  <c r="Q70" i="2"/>
  <c r="M70" i="2"/>
  <c r="L70" i="2"/>
  <c r="K70" i="2"/>
  <c r="AB69" i="2"/>
  <c r="AC69" i="2" s="1"/>
  <c r="F66" i="8" s="1"/>
  <c r="Z69" i="2"/>
  <c r="AA69" i="2" s="1"/>
  <c r="Y69" i="2"/>
  <c r="X69" i="2"/>
  <c r="W69" i="2"/>
  <c r="R69" i="2"/>
  <c r="S69" i="2" s="1"/>
  <c r="Q69" i="2"/>
  <c r="L69" i="2"/>
  <c r="M69" i="2" s="1"/>
  <c r="K69" i="2"/>
  <c r="K19" i="2"/>
  <c r="L19" i="2"/>
  <c r="M19" i="2"/>
  <c r="Q19" i="2"/>
  <c r="R19" i="2"/>
  <c r="S19" i="2" s="1"/>
  <c r="W19" i="2"/>
  <c r="X19" i="2"/>
  <c r="Y19" i="2"/>
  <c r="Z19" i="2"/>
  <c r="AA19" i="2" s="1"/>
  <c r="AB19" i="2"/>
  <c r="AC19" i="2" s="1"/>
  <c r="AD19" i="2" s="1"/>
  <c r="K20" i="2"/>
  <c r="L20" i="2"/>
  <c r="M20" i="2" s="1"/>
  <c r="Q20" i="2"/>
  <c r="R20" i="2"/>
  <c r="S20" i="2" s="1"/>
  <c r="W20" i="2"/>
  <c r="X20" i="2"/>
  <c r="Y20" i="2"/>
  <c r="Z20" i="2"/>
  <c r="AA20" i="2" s="1"/>
  <c r="AB20" i="2"/>
  <c r="AC20" i="2" s="1"/>
  <c r="AD20" i="2" s="1"/>
  <c r="K21" i="2"/>
  <c r="L21" i="2"/>
  <c r="M21" i="2"/>
  <c r="Q21" i="2"/>
  <c r="R21" i="2"/>
  <c r="S21" i="2"/>
  <c r="W21" i="2"/>
  <c r="X21" i="2"/>
  <c r="Y21" i="2"/>
  <c r="Z21" i="2"/>
  <c r="AA21" i="2"/>
  <c r="AB21" i="2"/>
  <c r="AC21" i="2" s="1"/>
  <c r="AD21" i="2" s="1"/>
  <c r="K22" i="2"/>
  <c r="L22" i="2"/>
  <c r="M22" i="2"/>
  <c r="Q22" i="2"/>
  <c r="R22" i="2"/>
  <c r="S22" i="2"/>
  <c r="W22" i="2"/>
  <c r="X22" i="2"/>
  <c r="Y22" i="2"/>
  <c r="Z22" i="2"/>
  <c r="AA22" i="2" s="1"/>
  <c r="AB22" i="2"/>
  <c r="AC22" i="2" s="1"/>
  <c r="AD22" i="2" s="1"/>
  <c r="K23" i="2"/>
  <c r="L23" i="2"/>
  <c r="M23" i="2" s="1"/>
  <c r="Q23" i="2"/>
  <c r="R23" i="2"/>
  <c r="S23" i="2" s="1"/>
  <c r="W23" i="2"/>
  <c r="X23" i="2"/>
  <c r="Y23" i="2"/>
  <c r="Z23" i="2"/>
  <c r="AA23" i="2"/>
  <c r="AB23" i="2"/>
  <c r="AC23" i="2" s="1"/>
  <c r="AD23" i="2" s="1"/>
  <c r="K24" i="2"/>
  <c r="L24" i="2"/>
  <c r="M24" i="2" s="1"/>
  <c r="Q24" i="2"/>
  <c r="R24" i="2"/>
  <c r="S24" i="2" s="1"/>
  <c r="W24" i="2"/>
  <c r="X24" i="2"/>
  <c r="Y24" i="2"/>
  <c r="Z24" i="2"/>
  <c r="AA24" i="2" s="1"/>
  <c r="AB24" i="2"/>
  <c r="AC24" i="2" s="1"/>
  <c r="AD24" i="2" s="1"/>
  <c r="K25" i="2"/>
  <c r="L25" i="2"/>
  <c r="M25" i="2"/>
  <c r="Q25" i="2"/>
  <c r="R25" i="2"/>
  <c r="S25" i="2" s="1"/>
  <c r="W25" i="2"/>
  <c r="X25" i="2"/>
  <c r="Y25" i="2"/>
  <c r="Z25" i="2"/>
  <c r="AA25" i="2" s="1"/>
  <c r="AB25" i="2"/>
  <c r="AC25" i="2" s="1"/>
  <c r="AD25" i="2" s="1"/>
  <c r="K26" i="2"/>
  <c r="L26" i="2"/>
  <c r="M26" i="2" s="1"/>
  <c r="Q26" i="2"/>
  <c r="R26" i="2"/>
  <c r="S26" i="2" s="1"/>
  <c r="W26" i="2"/>
  <c r="X26" i="2"/>
  <c r="Y26" i="2"/>
  <c r="Z26" i="2"/>
  <c r="AA26" i="2" s="1"/>
  <c r="AB26" i="2"/>
  <c r="AC26" i="2" s="1"/>
  <c r="AD26" i="2" s="1"/>
  <c r="K27" i="2"/>
  <c r="L27" i="2"/>
  <c r="M27" i="2"/>
  <c r="Q27" i="2"/>
  <c r="R27" i="2"/>
  <c r="S27" i="2" s="1"/>
  <c r="W27" i="2"/>
  <c r="X27" i="2"/>
  <c r="Y27" i="2"/>
  <c r="Z27" i="2"/>
  <c r="AA27" i="2" s="1"/>
  <c r="AB27" i="2"/>
  <c r="AC27" i="2" s="1"/>
  <c r="AD27" i="2" s="1"/>
  <c r="K28" i="2"/>
  <c r="L28" i="2"/>
  <c r="M28" i="2"/>
  <c r="Q28" i="2"/>
  <c r="R28" i="2"/>
  <c r="S28" i="2" s="1"/>
  <c r="W28" i="2"/>
  <c r="X28" i="2"/>
  <c r="Y28" i="2"/>
  <c r="Z28" i="2"/>
  <c r="AA28" i="2" s="1"/>
  <c r="AB28" i="2"/>
  <c r="AC28" i="2" s="1"/>
  <c r="AD28" i="2" s="1"/>
  <c r="K29" i="2"/>
  <c r="L29" i="2"/>
  <c r="M29" i="2" s="1"/>
  <c r="Q29" i="2"/>
  <c r="R29" i="2"/>
  <c r="S29" i="2" s="1"/>
  <c r="W29" i="2"/>
  <c r="X29" i="2"/>
  <c r="Y29" i="2"/>
  <c r="Z29" i="2"/>
  <c r="AA29" i="2" s="1"/>
  <c r="AB29" i="2"/>
  <c r="AC29" i="2" s="1"/>
  <c r="AD29" i="2" s="1"/>
  <c r="K30" i="2"/>
  <c r="L30" i="2"/>
  <c r="M30" i="2" s="1"/>
  <c r="Q30" i="2"/>
  <c r="R30" i="2"/>
  <c r="S30" i="2" s="1"/>
  <c r="W30" i="2"/>
  <c r="X30" i="2"/>
  <c r="Y30" i="2"/>
  <c r="Z30" i="2"/>
  <c r="AA30" i="2" s="1"/>
  <c r="AB30" i="2"/>
  <c r="AC30" i="2" s="1"/>
  <c r="AD30" i="2" s="1"/>
  <c r="K31" i="2"/>
  <c r="L31" i="2"/>
  <c r="M31" i="2" s="1"/>
  <c r="Q31" i="2"/>
  <c r="R31" i="2"/>
  <c r="S31" i="2" s="1"/>
  <c r="W31" i="2"/>
  <c r="X31" i="2"/>
  <c r="Y31" i="2"/>
  <c r="Z31" i="2"/>
  <c r="AA31" i="2" s="1"/>
  <c r="AB31" i="2"/>
  <c r="AC31" i="2" s="1"/>
  <c r="AD31" i="2" s="1"/>
  <c r="K32" i="2"/>
  <c r="L32" i="2"/>
  <c r="M32" i="2" s="1"/>
  <c r="Q32" i="2"/>
  <c r="R32" i="2"/>
  <c r="S32" i="2" s="1"/>
  <c r="W32" i="2"/>
  <c r="X32" i="2"/>
  <c r="Y32" i="2"/>
  <c r="Z32" i="2"/>
  <c r="AA32" i="2" s="1"/>
  <c r="AB32" i="2"/>
  <c r="AC32" i="2"/>
  <c r="AD32" i="2" s="1"/>
  <c r="K33" i="2"/>
  <c r="L33" i="2"/>
  <c r="M33" i="2" s="1"/>
  <c r="Q33" i="2"/>
  <c r="R33" i="2"/>
  <c r="S33" i="2"/>
  <c r="W33" i="2"/>
  <c r="X33" i="2"/>
  <c r="Y33" i="2"/>
  <c r="Z33" i="2"/>
  <c r="AA33" i="2" s="1"/>
  <c r="AB33" i="2"/>
  <c r="AC33" i="2" s="1"/>
  <c r="AD33" i="2" s="1"/>
  <c r="K34" i="2"/>
  <c r="L34" i="2"/>
  <c r="M34" i="2" s="1"/>
  <c r="Q34" i="2"/>
  <c r="R34" i="2"/>
  <c r="S34" i="2"/>
  <c r="W34" i="2"/>
  <c r="X34" i="2"/>
  <c r="Y34" i="2"/>
  <c r="Z34" i="2"/>
  <c r="AA34" i="2" s="1"/>
  <c r="AB34" i="2"/>
  <c r="AC34" i="2" s="1"/>
  <c r="AD34" i="2" s="1"/>
  <c r="K35" i="2"/>
  <c r="L35" i="2"/>
  <c r="M35" i="2" s="1"/>
  <c r="Q35" i="2"/>
  <c r="R35" i="2"/>
  <c r="S35" i="2" s="1"/>
  <c r="W35" i="2"/>
  <c r="X35" i="2"/>
  <c r="Y35" i="2"/>
  <c r="Z35" i="2"/>
  <c r="AA35" i="2" s="1"/>
  <c r="AB35" i="2"/>
  <c r="AC35" i="2" s="1"/>
  <c r="AD35" i="2" s="1"/>
  <c r="K36" i="2"/>
  <c r="L36" i="2"/>
  <c r="M36" i="2" s="1"/>
  <c r="Q36" i="2"/>
  <c r="R36" i="2"/>
  <c r="S36" i="2" s="1"/>
  <c r="W36" i="2"/>
  <c r="X36" i="2"/>
  <c r="Y36" i="2"/>
  <c r="Z36" i="2"/>
  <c r="AA36" i="2" s="1"/>
  <c r="AB36" i="2"/>
  <c r="AC36" i="2" s="1"/>
  <c r="AD36" i="2" s="1"/>
  <c r="K37" i="2"/>
  <c r="L37" i="2"/>
  <c r="M37" i="2"/>
  <c r="Q37" i="2"/>
  <c r="R37" i="2"/>
  <c r="S37" i="2" s="1"/>
  <c r="W37" i="2"/>
  <c r="X37" i="2"/>
  <c r="Y37" i="2"/>
  <c r="Z37" i="2"/>
  <c r="AA37" i="2" s="1"/>
  <c r="AB37" i="2"/>
  <c r="AC37" i="2" s="1"/>
  <c r="AD37" i="2" s="1"/>
  <c r="K38" i="2"/>
  <c r="L38" i="2"/>
  <c r="M38" i="2" s="1"/>
  <c r="Q38" i="2"/>
  <c r="R38" i="2"/>
  <c r="S38" i="2" s="1"/>
  <c r="W38" i="2"/>
  <c r="X38" i="2"/>
  <c r="Y38" i="2"/>
  <c r="Z38" i="2"/>
  <c r="AA38" i="2" s="1"/>
  <c r="AB38" i="2"/>
  <c r="AC38" i="2" s="1"/>
  <c r="AD38" i="2" s="1"/>
  <c r="K39" i="2"/>
  <c r="L39" i="2"/>
  <c r="M39" i="2"/>
  <c r="Q39" i="2"/>
  <c r="R39" i="2"/>
  <c r="S39" i="2" s="1"/>
  <c r="W39" i="2"/>
  <c r="X39" i="2"/>
  <c r="Y39" i="2"/>
  <c r="Z39" i="2"/>
  <c r="AA39" i="2" s="1"/>
  <c r="AB39" i="2"/>
  <c r="AC39" i="2" s="1"/>
  <c r="AD39" i="2" s="1"/>
  <c r="K40" i="2"/>
  <c r="L40" i="2"/>
  <c r="M40" i="2"/>
  <c r="Q40" i="2"/>
  <c r="R40" i="2"/>
  <c r="S40" i="2" s="1"/>
  <c r="W40" i="2"/>
  <c r="X40" i="2"/>
  <c r="Y40" i="2"/>
  <c r="Z40" i="2"/>
  <c r="AA40" i="2" s="1"/>
  <c r="AB40" i="2"/>
  <c r="AC40" i="2" s="1"/>
  <c r="AD40" i="2" s="1"/>
  <c r="K41" i="2"/>
  <c r="L41" i="2"/>
  <c r="M41" i="2" s="1"/>
  <c r="Q41" i="2"/>
  <c r="R41" i="2"/>
  <c r="S41" i="2" s="1"/>
  <c r="W41" i="2"/>
  <c r="X41" i="2"/>
  <c r="Y41" i="2"/>
  <c r="Z41" i="2"/>
  <c r="AA41" i="2" s="1"/>
  <c r="AB41" i="2"/>
  <c r="AC41" i="2" s="1"/>
  <c r="AD41" i="2" s="1"/>
  <c r="K42" i="2"/>
  <c r="L42" i="2"/>
  <c r="M42" i="2" s="1"/>
  <c r="Q42" i="2"/>
  <c r="R42" i="2"/>
  <c r="S42" i="2" s="1"/>
  <c r="W42" i="2"/>
  <c r="X42" i="2"/>
  <c r="Y42" i="2"/>
  <c r="Z42" i="2"/>
  <c r="AA42" i="2" s="1"/>
  <c r="AB42" i="2"/>
  <c r="AC42" i="2" s="1"/>
  <c r="AD42" i="2" s="1"/>
  <c r="K43" i="2"/>
  <c r="L43" i="2"/>
  <c r="M43" i="2" s="1"/>
  <c r="Q43" i="2"/>
  <c r="R43" i="2"/>
  <c r="S43" i="2" s="1"/>
  <c r="W43" i="2"/>
  <c r="X43" i="2"/>
  <c r="Y43" i="2"/>
  <c r="Z43" i="2"/>
  <c r="AA43" i="2" s="1"/>
  <c r="AB43" i="2"/>
  <c r="AC43" i="2" s="1"/>
  <c r="AD43" i="2" s="1"/>
  <c r="K44" i="2"/>
  <c r="L44" i="2"/>
  <c r="M44" i="2" s="1"/>
  <c r="Q44" i="2"/>
  <c r="R44" i="2"/>
  <c r="S44" i="2" s="1"/>
  <c r="W44" i="2"/>
  <c r="X44" i="2"/>
  <c r="Y44" i="2"/>
  <c r="Z44" i="2"/>
  <c r="AA44" i="2" s="1"/>
  <c r="AB44" i="2"/>
  <c r="AC44" i="2" s="1"/>
  <c r="AD44" i="2" s="1"/>
  <c r="K45" i="2"/>
  <c r="L45" i="2"/>
  <c r="M45" i="2" s="1"/>
  <c r="Q45" i="2"/>
  <c r="R45" i="2"/>
  <c r="S45" i="2"/>
  <c r="W45" i="2"/>
  <c r="X45" i="2"/>
  <c r="Y45" i="2"/>
  <c r="Z45" i="2"/>
  <c r="AA45" i="2"/>
  <c r="AB45" i="2"/>
  <c r="AC45" i="2" s="1"/>
  <c r="AD45" i="2" s="1"/>
  <c r="K46" i="2"/>
  <c r="L46" i="2"/>
  <c r="M46" i="2" s="1"/>
  <c r="Q46" i="2"/>
  <c r="R46" i="2"/>
  <c r="S46" i="2" s="1"/>
  <c r="W46" i="2"/>
  <c r="X46" i="2"/>
  <c r="Y46" i="2"/>
  <c r="Z46" i="2"/>
  <c r="AA46" i="2" s="1"/>
  <c r="AB46" i="2"/>
  <c r="AC46" i="2" s="1"/>
  <c r="AD46" i="2" s="1"/>
  <c r="K47" i="2"/>
  <c r="L47" i="2"/>
  <c r="M47" i="2" s="1"/>
  <c r="Q47" i="2"/>
  <c r="R47" i="2"/>
  <c r="S47" i="2" s="1"/>
  <c r="W47" i="2"/>
  <c r="X47" i="2"/>
  <c r="Y47" i="2"/>
  <c r="Z47" i="2"/>
  <c r="AA47" i="2" s="1"/>
  <c r="AB47" i="2"/>
  <c r="AC47" i="2" s="1"/>
  <c r="AD47" i="2" s="1"/>
  <c r="K48" i="2"/>
  <c r="L48" i="2"/>
  <c r="M48" i="2" s="1"/>
  <c r="Q48" i="2"/>
  <c r="R48" i="2"/>
  <c r="S48" i="2" s="1"/>
  <c r="W48" i="2"/>
  <c r="X48" i="2"/>
  <c r="Y48" i="2"/>
  <c r="Z48" i="2"/>
  <c r="AA48" i="2"/>
  <c r="AB48" i="2"/>
  <c r="AC48" i="2" s="1"/>
  <c r="AD48" i="2" s="1"/>
  <c r="K49" i="2"/>
  <c r="L49" i="2"/>
  <c r="M49" i="2"/>
  <c r="Q49" i="2"/>
  <c r="R49" i="2"/>
  <c r="S49" i="2" s="1"/>
  <c r="W49" i="2"/>
  <c r="X49" i="2"/>
  <c r="Y49" i="2"/>
  <c r="Z49" i="2"/>
  <c r="AA49" i="2" s="1"/>
  <c r="AB49" i="2"/>
  <c r="AC49" i="2" s="1"/>
  <c r="AD49" i="2" s="1"/>
  <c r="K50" i="2"/>
  <c r="L50" i="2"/>
  <c r="M50" i="2" s="1"/>
  <c r="Q50" i="2"/>
  <c r="R50" i="2"/>
  <c r="S50" i="2" s="1"/>
  <c r="W50" i="2"/>
  <c r="X50" i="2"/>
  <c r="Y50" i="2"/>
  <c r="Z50" i="2"/>
  <c r="AA50" i="2" s="1"/>
  <c r="AB50" i="2"/>
  <c r="AC50" i="2" s="1"/>
  <c r="AD50" i="2" s="1"/>
  <c r="K51" i="2"/>
  <c r="L51" i="2"/>
  <c r="M51" i="2"/>
  <c r="Q51" i="2"/>
  <c r="R51" i="2"/>
  <c r="S51" i="2"/>
  <c r="W51" i="2"/>
  <c r="X51" i="2"/>
  <c r="Y51" i="2"/>
  <c r="Z51" i="2"/>
  <c r="AA51" i="2"/>
  <c r="AB51" i="2"/>
  <c r="AC51" i="2" s="1"/>
  <c r="AD51" i="2" s="1"/>
  <c r="K52" i="2"/>
  <c r="L52" i="2"/>
  <c r="M52" i="2"/>
  <c r="Q52" i="2"/>
  <c r="R52" i="2"/>
  <c r="S52" i="2"/>
  <c r="W52" i="2"/>
  <c r="X52" i="2"/>
  <c r="Y52" i="2"/>
  <c r="Z52" i="2"/>
  <c r="AA52" i="2" s="1"/>
  <c r="AB52" i="2"/>
  <c r="AC52" i="2" s="1"/>
  <c r="AD52" i="2" s="1"/>
  <c r="K53" i="2"/>
  <c r="L53" i="2"/>
  <c r="M53" i="2" s="1"/>
  <c r="Q53" i="2"/>
  <c r="R53" i="2"/>
  <c r="S53" i="2" s="1"/>
  <c r="W53" i="2"/>
  <c r="X53" i="2"/>
  <c r="Y53" i="2"/>
  <c r="Z53" i="2"/>
  <c r="AA53" i="2" s="1"/>
  <c r="AB53" i="2"/>
  <c r="AC53" i="2" s="1"/>
  <c r="AD53" i="2" s="1"/>
  <c r="K54" i="2"/>
  <c r="L54" i="2"/>
  <c r="M54" i="2" s="1"/>
  <c r="Q54" i="2"/>
  <c r="R54" i="2"/>
  <c r="S54" i="2" s="1"/>
  <c r="W54" i="2"/>
  <c r="X54" i="2"/>
  <c r="Y54" i="2"/>
  <c r="Z54" i="2"/>
  <c r="AA54" i="2" s="1"/>
  <c r="AB54" i="2"/>
  <c r="AC54" i="2" s="1"/>
  <c r="AD54" i="2" s="1"/>
  <c r="K55" i="2"/>
  <c r="L55" i="2"/>
  <c r="M55" i="2" s="1"/>
  <c r="Q55" i="2"/>
  <c r="R55" i="2"/>
  <c r="S55" i="2" s="1"/>
  <c r="W55" i="2"/>
  <c r="X55" i="2"/>
  <c r="Y55" i="2"/>
  <c r="Z55" i="2"/>
  <c r="AA55" i="2" s="1"/>
  <c r="AB55" i="2"/>
  <c r="AC55" i="2" s="1"/>
  <c r="AD55" i="2" s="1"/>
  <c r="K56" i="2"/>
  <c r="L56" i="2"/>
  <c r="M56" i="2" s="1"/>
  <c r="Q56" i="2"/>
  <c r="R56" i="2"/>
  <c r="S56" i="2"/>
  <c r="W56" i="2"/>
  <c r="X56" i="2"/>
  <c r="Y56" i="2"/>
  <c r="Z56" i="2"/>
  <c r="AA56" i="2" s="1"/>
  <c r="AB56" i="2"/>
  <c r="AC56" i="2" s="1"/>
  <c r="AD56" i="2" s="1"/>
  <c r="K57" i="2"/>
  <c r="L57" i="2"/>
  <c r="M57" i="2"/>
  <c r="Q57" i="2"/>
  <c r="R57" i="2"/>
  <c r="S57" i="2" s="1"/>
  <c r="W57" i="2"/>
  <c r="X57" i="2"/>
  <c r="Y57" i="2"/>
  <c r="Z57" i="2"/>
  <c r="AA57" i="2" s="1"/>
  <c r="AB57" i="2"/>
  <c r="AC57" i="2" s="1"/>
  <c r="AD57" i="2" s="1"/>
  <c r="K58" i="2"/>
  <c r="L58" i="2"/>
  <c r="M58" i="2"/>
  <c r="Q58" i="2"/>
  <c r="R58" i="2"/>
  <c r="S58" i="2" s="1"/>
  <c r="W58" i="2"/>
  <c r="X58" i="2"/>
  <c r="Y58" i="2"/>
  <c r="Z58" i="2"/>
  <c r="AA58" i="2" s="1"/>
  <c r="AB58" i="2"/>
  <c r="AC58" i="2" s="1"/>
  <c r="AD58" i="2" s="1"/>
  <c r="K59" i="2"/>
  <c r="L59" i="2"/>
  <c r="M59" i="2" s="1"/>
  <c r="Q59" i="2"/>
  <c r="R59" i="2"/>
  <c r="S59" i="2" s="1"/>
  <c r="W59" i="2"/>
  <c r="X59" i="2"/>
  <c r="Y59" i="2"/>
  <c r="Z59" i="2"/>
  <c r="AA59" i="2" s="1"/>
  <c r="AB59" i="2"/>
  <c r="AC59" i="2" s="1"/>
  <c r="AD59" i="2" s="1"/>
  <c r="K60" i="2"/>
  <c r="L60" i="2"/>
  <c r="M60" i="2" s="1"/>
  <c r="Q60" i="2"/>
  <c r="R60" i="2"/>
  <c r="S60" i="2" s="1"/>
  <c r="W60" i="2"/>
  <c r="X60" i="2"/>
  <c r="Y60" i="2"/>
  <c r="Z60" i="2"/>
  <c r="AA60" i="2"/>
  <c r="AB60" i="2"/>
  <c r="AC60" i="2" s="1"/>
  <c r="AD60" i="2" s="1"/>
  <c r="K61" i="2"/>
  <c r="L61" i="2"/>
  <c r="M61" i="2"/>
  <c r="Q61" i="2"/>
  <c r="R61" i="2"/>
  <c r="S61" i="2"/>
  <c r="W61" i="2"/>
  <c r="X61" i="2"/>
  <c r="Y61" i="2"/>
  <c r="Z61" i="2"/>
  <c r="AA61" i="2" s="1"/>
  <c r="AB61" i="2"/>
  <c r="AC61" i="2" s="1"/>
  <c r="AD61" i="2" s="1"/>
  <c r="K62" i="2"/>
  <c r="L62" i="2"/>
  <c r="M62" i="2" s="1"/>
  <c r="Q62" i="2"/>
  <c r="R62" i="2"/>
  <c r="S62" i="2" s="1"/>
  <c r="W62" i="2"/>
  <c r="X62" i="2"/>
  <c r="Y62" i="2"/>
  <c r="Z62" i="2"/>
  <c r="AA62" i="2" s="1"/>
  <c r="AB62" i="2"/>
  <c r="AC62" i="2" s="1"/>
  <c r="AD62" i="2" s="1"/>
  <c r="K63" i="2"/>
  <c r="L63" i="2"/>
  <c r="M63" i="2" s="1"/>
  <c r="Q63" i="2"/>
  <c r="R63" i="2"/>
  <c r="S63" i="2"/>
  <c r="W63" i="2"/>
  <c r="X63" i="2"/>
  <c r="Y63" i="2"/>
  <c r="Z63" i="2"/>
  <c r="AA63" i="2"/>
  <c r="AB63" i="2"/>
  <c r="AC63" i="2" s="1"/>
  <c r="AD63" i="2" s="1"/>
  <c r="K64" i="2"/>
  <c r="L64" i="2"/>
  <c r="M64" i="2" s="1"/>
  <c r="Q64" i="2"/>
  <c r="R64" i="2"/>
  <c r="S64" i="2" s="1"/>
  <c r="W64" i="2"/>
  <c r="X64" i="2"/>
  <c r="Y64" i="2"/>
  <c r="Z64" i="2"/>
  <c r="AA64" i="2" s="1"/>
  <c r="AB64" i="2"/>
  <c r="AC64" i="2" s="1"/>
  <c r="AD64" i="2" s="1"/>
  <c r="K65" i="2"/>
  <c r="L65" i="2"/>
  <c r="M65" i="2" s="1"/>
  <c r="Q65" i="2"/>
  <c r="R65" i="2"/>
  <c r="S65" i="2"/>
  <c r="W65" i="2"/>
  <c r="X65" i="2"/>
  <c r="Y65" i="2"/>
  <c r="Z65" i="2"/>
  <c r="AA65" i="2" s="1"/>
  <c r="AB65" i="2"/>
  <c r="AC65" i="2" s="1"/>
  <c r="AD65" i="2" s="1"/>
  <c r="K66" i="2"/>
  <c r="L66" i="2"/>
  <c r="M66" i="2" s="1"/>
  <c r="Q66" i="2"/>
  <c r="R66" i="2"/>
  <c r="S66" i="2"/>
  <c r="W66" i="2"/>
  <c r="X66" i="2"/>
  <c r="Y66" i="2"/>
  <c r="Z66" i="2"/>
  <c r="AA66" i="2"/>
  <c r="AB66" i="2"/>
  <c r="AC66" i="2" s="1"/>
  <c r="AD66" i="2" s="1"/>
  <c r="K67" i="2"/>
  <c r="L67" i="2"/>
  <c r="M67" i="2"/>
  <c r="Q67" i="2"/>
  <c r="R67" i="2"/>
  <c r="S67" i="2"/>
  <c r="W67" i="2"/>
  <c r="X67" i="2"/>
  <c r="Y67" i="2"/>
  <c r="Z67" i="2"/>
  <c r="AA67" i="2" s="1"/>
  <c r="AB67" i="2"/>
  <c r="AC67" i="2" s="1"/>
  <c r="AD67" i="2" s="1"/>
  <c r="M50" i="8" l="1"/>
  <c r="M39" i="8"/>
  <c r="M27" i="8"/>
  <c r="AD71" i="2"/>
  <c r="F68" i="8"/>
  <c r="AD107" i="2"/>
  <c r="F104" i="8"/>
  <c r="AD99" i="2"/>
  <c r="F96" i="8"/>
  <c r="AD83" i="2"/>
  <c r="F80" i="8"/>
  <c r="F78" i="8"/>
  <c r="AD81" i="2"/>
  <c r="AD101" i="2"/>
  <c r="F98" i="8"/>
  <c r="AD93" i="2"/>
  <c r="AD111" i="2"/>
  <c r="F69" i="8"/>
  <c r="F81" i="8"/>
  <c r="F93" i="8"/>
  <c r="F105" i="8"/>
  <c r="F92" i="8"/>
  <c r="H92" i="8" s="1"/>
  <c r="F70" i="8"/>
  <c r="F82" i="8"/>
  <c r="F94" i="8"/>
  <c r="F106" i="8"/>
  <c r="F71" i="8"/>
  <c r="F83" i="8"/>
  <c r="F95" i="8"/>
  <c r="F107" i="8"/>
  <c r="F72" i="8"/>
  <c r="F84" i="8"/>
  <c r="F73" i="8"/>
  <c r="F85" i="8"/>
  <c r="F97" i="8"/>
  <c r="F109" i="8"/>
  <c r="F74" i="8"/>
  <c r="F86" i="8"/>
  <c r="F110" i="8"/>
  <c r="AD69" i="2"/>
  <c r="F75" i="8"/>
  <c r="F87" i="8"/>
  <c r="F99" i="8"/>
  <c r="F111" i="8"/>
  <c r="F76" i="8"/>
  <c r="F88" i="8"/>
  <c r="F100" i="8"/>
  <c r="F112" i="8"/>
  <c r="AD105" i="2"/>
  <c r="F77" i="8"/>
  <c r="F89" i="8"/>
  <c r="F101" i="8"/>
  <c r="F113" i="8"/>
  <c r="F114" i="8"/>
  <c r="F67" i="8"/>
  <c r="F79" i="8"/>
  <c r="F91" i="8"/>
  <c r="H91" i="8" s="1"/>
  <c r="F103" i="8"/>
  <c r="F115" i="8"/>
  <c r="G56" i="8"/>
  <c r="G44" i="8"/>
  <c r="G32" i="8"/>
  <c r="G20" i="8"/>
  <c r="G55" i="8"/>
  <c r="G43" i="8"/>
  <c r="G31" i="8"/>
  <c r="G19" i="8"/>
  <c r="G68" i="8"/>
  <c r="H68" i="8" s="1"/>
  <c r="G74" i="8"/>
  <c r="G80" i="8"/>
  <c r="H80" i="8" s="1"/>
  <c r="G86" i="8"/>
  <c r="G92" i="8"/>
  <c r="G98" i="8"/>
  <c r="G104" i="8"/>
  <c r="H104" i="8" s="1"/>
  <c r="G110" i="8"/>
  <c r="H110" i="8" s="1"/>
  <c r="G54" i="8"/>
  <c r="G42" i="8"/>
  <c r="G30" i="8"/>
  <c r="G18" i="8"/>
  <c r="H93" i="8"/>
  <c r="G15" i="8"/>
  <c r="G53" i="8"/>
  <c r="G41" i="8"/>
  <c r="G29" i="8"/>
  <c r="G17" i="8"/>
  <c r="G69" i="8"/>
  <c r="H69" i="8" s="1"/>
  <c r="G75" i="8"/>
  <c r="G81" i="8"/>
  <c r="G87" i="8"/>
  <c r="H87" i="8" s="1"/>
  <c r="G93" i="8"/>
  <c r="G99" i="8"/>
  <c r="H99" i="8" s="1"/>
  <c r="G105" i="8"/>
  <c r="G111" i="8"/>
  <c r="G64" i="8"/>
  <c r="G52" i="8"/>
  <c r="G40" i="8"/>
  <c r="G28" i="8"/>
  <c r="G16" i="8"/>
  <c r="G63" i="8"/>
  <c r="G51" i="8"/>
  <c r="G39" i="8"/>
  <c r="G27" i="8"/>
  <c r="G70" i="8"/>
  <c r="G76" i="8"/>
  <c r="G82" i="8"/>
  <c r="G88" i="8"/>
  <c r="H88" i="8" s="1"/>
  <c r="G94" i="8"/>
  <c r="G100" i="8"/>
  <c r="H100" i="8" s="1"/>
  <c r="G106" i="8"/>
  <c r="G112" i="8"/>
  <c r="G62" i="8"/>
  <c r="G50" i="8"/>
  <c r="G38" i="8"/>
  <c r="G26" i="8"/>
  <c r="G61" i="8"/>
  <c r="G49" i="8"/>
  <c r="G37" i="8"/>
  <c r="G25" i="8"/>
  <c r="G71" i="8"/>
  <c r="G77" i="8"/>
  <c r="G83" i="8"/>
  <c r="H83" i="8" s="1"/>
  <c r="G89" i="8"/>
  <c r="G95" i="8"/>
  <c r="H95" i="8" s="1"/>
  <c r="G101" i="8"/>
  <c r="H101" i="8" s="1"/>
  <c r="G107" i="8"/>
  <c r="H107" i="8" s="1"/>
  <c r="G113" i="8"/>
  <c r="H113" i="8" s="1"/>
  <c r="G60" i="8"/>
  <c r="G48" i="8"/>
  <c r="G36" i="8"/>
  <c r="G24" i="8"/>
  <c r="H102" i="8"/>
  <c r="G59" i="8"/>
  <c r="G47" i="8"/>
  <c r="G35" i="8"/>
  <c r="G23" i="8"/>
  <c r="G66" i="8"/>
  <c r="H66" i="8" s="1"/>
  <c r="G72" i="8"/>
  <c r="G78" i="8"/>
  <c r="G84" i="8"/>
  <c r="H84" i="8" s="1"/>
  <c r="G90" i="8"/>
  <c r="H90" i="8" s="1"/>
  <c r="G96" i="8"/>
  <c r="H96" i="8" s="1"/>
  <c r="G102" i="8"/>
  <c r="G108" i="8"/>
  <c r="H108" i="8" s="1"/>
  <c r="G114" i="8"/>
  <c r="G58" i="8"/>
  <c r="G46" i="8"/>
  <c r="G34" i="8"/>
  <c r="G22" i="8"/>
  <c r="G57" i="8"/>
  <c r="G45" i="8"/>
  <c r="G33" i="8"/>
  <c r="G21" i="8"/>
  <c r="G67" i="8"/>
  <c r="G73" i="8"/>
  <c r="H73" i="8" s="1"/>
  <c r="G79" i="8"/>
  <c r="H79" i="8" s="1"/>
  <c r="G85" i="8"/>
  <c r="H85" i="8" s="1"/>
  <c r="G91" i="8"/>
  <c r="G97" i="8"/>
  <c r="G103" i="8"/>
  <c r="G109" i="8"/>
  <c r="G115" i="8"/>
  <c r="I53" i="8"/>
  <c r="I88" i="8"/>
  <c r="AD31" i="11"/>
  <c r="I28" i="8"/>
  <c r="I42" i="8"/>
  <c r="I72" i="8"/>
  <c r="I41" i="8"/>
  <c r="I30" i="8"/>
  <c r="I29" i="8"/>
  <c r="I112" i="8"/>
  <c r="I18" i="8"/>
  <c r="I96" i="8"/>
  <c r="I17" i="8"/>
  <c r="I80" i="8"/>
  <c r="I108" i="8"/>
  <c r="I15" i="8"/>
  <c r="I92" i="8"/>
  <c r="I76" i="8"/>
  <c r="I54" i="8"/>
  <c r="I104" i="8"/>
  <c r="AD19" i="11"/>
  <c r="I16" i="8"/>
  <c r="AD43" i="11"/>
  <c r="I40" i="8"/>
  <c r="AD67" i="11"/>
  <c r="I64" i="8"/>
  <c r="AD92" i="11"/>
  <c r="I89" i="8"/>
  <c r="AD100" i="11"/>
  <c r="I97" i="8"/>
  <c r="AD27" i="11"/>
  <c r="I24" i="8"/>
  <c r="AD51" i="11"/>
  <c r="I48" i="8"/>
  <c r="AD76" i="11"/>
  <c r="I73" i="8"/>
  <c r="AD35" i="11"/>
  <c r="I32" i="8"/>
  <c r="AD59" i="11"/>
  <c r="I56" i="8"/>
  <c r="AD84" i="11"/>
  <c r="I81" i="8"/>
  <c r="AD96" i="11"/>
  <c r="I93" i="8"/>
  <c r="I52" i="8"/>
  <c r="I68" i="8"/>
  <c r="I84" i="8"/>
  <c r="I100" i="8"/>
  <c r="I63" i="8"/>
  <c r="I51" i="8"/>
  <c r="I39" i="8"/>
  <c r="I27" i="8"/>
  <c r="I62" i="8"/>
  <c r="I50" i="8"/>
  <c r="I38" i="8"/>
  <c r="I26" i="8"/>
  <c r="I61" i="8"/>
  <c r="I49" i="8"/>
  <c r="I37" i="8"/>
  <c r="I25" i="8"/>
  <c r="I69" i="8"/>
  <c r="I77" i="8"/>
  <c r="I85" i="8"/>
  <c r="I101" i="8"/>
  <c r="I105" i="8"/>
  <c r="I109" i="8"/>
  <c r="I113" i="8"/>
  <c r="I60" i="8"/>
  <c r="I36" i="8"/>
  <c r="I59" i="8"/>
  <c r="I47" i="8"/>
  <c r="I35" i="8"/>
  <c r="I23" i="8"/>
  <c r="I58" i="8"/>
  <c r="I46" i="8"/>
  <c r="I34" i="8"/>
  <c r="I22" i="8"/>
  <c r="I66" i="8"/>
  <c r="I70" i="8"/>
  <c r="K70" i="8" s="1"/>
  <c r="I74" i="8"/>
  <c r="I78" i="8"/>
  <c r="K78" i="8" s="1"/>
  <c r="I82" i="8"/>
  <c r="K82" i="8" s="1"/>
  <c r="I86" i="8"/>
  <c r="I90" i="8"/>
  <c r="I94" i="8"/>
  <c r="I98" i="8"/>
  <c r="I102" i="8"/>
  <c r="I106" i="8"/>
  <c r="I110" i="8"/>
  <c r="K110" i="8" s="1"/>
  <c r="I114" i="8"/>
  <c r="I57" i="8"/>
  <c r="I45" i="8"/>
  <c r="I33" i="8"/>
  <c r="I21" i="8"/>
  <c r="I44" i="8"/>
  <c r="I20" i="8"/>
  <c r="I55" i="8"/>
  <c r="I43" i="8"/>
  <c r="I31" i="8"/>
  <c r="I19" i="8"/>
  <c r="I67" i="8"/>
  <c r="I71" i="8"/>
  <c r="I75" i="8"/>
  <c r="I79" i="8"/>
  <c r="I83" i="8"/>
  <c r="I87" i="8"/>
  <c r="I91" i="8"/>
  <c r="I95" i="8"/>
  <c r="I99" i="8"/>
  <c r="I103" i="8"/>
  <c r="I107" i="8"/>
  <c r="I111" i="8"/>
  <c r="I115" i="8"/>
  <c r="AD73" i="12"/>
  <c r="J70" i="8"/>
  <c r="AD24" i="12"/>
  <c r="J21" i="8"/>
  <c r="AD32" i="12"/>
  <c r="J29" i="8"/>
  <c r="AD93" i="12"/>
  <c r="J90" i="8"/>
  <c r="AD48" i="12"/>
  <c r="J45" i="8"/>
  <c r="AD89" i="12"/>
  <c r="J86" i="8"/>
  <c r="AD85" i="12"/>
  <c r="J82" i="8"/>
  <c r="AD56" i="12"/>
  <c r="J53" i="8"/>
  <c r="AD81" i="12"/>
  <c r="J78" i="8"/>
  <c r="AD77" i="12"/>
  <c r="J74" i="8"/>
  <c r="J63" i="8"/>
  <c r="J57" i="8"/>
  <c r="J51" i="8"/>
  <c r="J39" i="8"/>
  <c r="J33" i="8"/>
  <c r="J27" i="8"/>
  <c r="J62" i="8"/>
  <c r="J56" i="8"/>
  <c r="J50" i="8"/>
  <c r="J44" i="8"/>
  <c r="J38" i="8"/>
  <c r="J32" i="8"/>
  <c r="J26" i="8"/>
  <c r="J20" i="8"/>
  <c r="J68" i="8"/>
  <c r="J71" i="8"/>
  <c r="J77" i="8"/>
  <c r="J80" i="8"/>
  <c r="J83" i="8"/>
  <c r="J89" i="8"/>
  <c r="J92" i="8"/>
  <c r="K92" i="8" s="1"/>
  <c r="J95" i="8"/>
  <c r="J98" i="8"/>
  <c r="J101" i="8"/>
  <c r="J104" i="8"/>
  <c r="J107" i="8"/>
  <c r="K107" i="8" s="1"/>
  <c r="J110" i="8"/>
  <c r="J113" i="8"/>
  <c r="J61" i="8"/>
  <c r="J55" i="8"/>
  <c r="J49" i="8"/>
  <c r="J43" i="8"/>
  <c r="J37" i="8"/>
  <c r="J31" i="8"/>
  <c r="J25" i="8"/>
  <c r="J19" i="8"/>
  <c r="J60" i="8"/>
  <c r="J54" i="8"/>
  <c r="J48" i="8"/>
  <c r="J42" i="8"/>
  <c r="J36" i="8"/>
  <c r="J30" i="8"/>
  <c r="J24" i="8"/>
  <c r="J18" i="8"/>
  <c r="J66" i="8"/>
  <c r="J69" i="8"/>
  <c r="K69" i="8" s="1"/>
  <c r="J72" i="8"/>
  <c r="J75" i="8"/>
  <c r="J81" i="8"/>
  <c r="J84" i="8"/>
  <c r="J87" i="8"/>
  <c r="J93" i="8"/>
  <c r="J96" i="8"/>
  <c r="J99" i="8"/>
  <c r="J102" i="8"/>
  <c r="J105" i="8"/>
  <c r="J108" i="8"/>
  <c r="K108" i="8" s="1"/>
  <c r="J111" i="8"/>
  <c r="K111" i="8" s="1"/>
  <c r="J114" i="8"/>
  <c r="J15" i="8"/>
  <c r="J59" i="8"/>
  <c r="J47" i="8"/>
  <c r="J41" i="8"/>
  <c r="J35" i="8"/>
  <c r="J23" i="8"/>
  <c r="J17" i="8"/>
  <c r="J64" i="8"/>
  <c r="J58" i="8"/>
  <c r="J52" i="8"/>
  <c r="J46" i="8"/>
  <c r="J40" i="8"/>
  <c r="J34" i="8"/>
  <c r="J28" i="8"/>
  <c r="J22" i="8"/>
  <c r="J16" i="8"/>
  <c r="J67" i="8"/>
  <c r="J73" i="8"/>
  <c r="J76" i="8"/>
  <c r="J79" i="8"/>
  <c r="J85" i="8"/>
  <c r="J88" i="8"/>
  <c r="K88" i="8" s="1"/>
  <c r="J91" i="8"/>
  <c r="J94" i="8"/>
  <c r="K94" i="8" s="1"/>
  <c r="J97" i="8"/>
  <c r="J100" i="8"/>
  <c r="J103" i="8"/>
  <c r="J106" i="8"/>
  <c r="K106" i="8" s="1"/>
  <c r="J109" i="8"/>
  <c r="J112" i="8"/>
  <c r="K112" i="8" s="1"/>
  <c r="J115" i="8"/>
  <c r="L72" i="8"/>
  <c r="L84" i="8"/>
  <c r="L108" i="8"/>
  <c r="L62" i="8"/>
  <c r="L28" i="8"/>
  <c r="AD48" i="13"/>
  <c r="L45" i="8"/>
  <c r="AD60" i="13"/>
  <c r="L57" i="8"/>
  <c r="AD40" i="13"/>
  <c r="L37" i="8"/>
  <c r="AD28" i="13"/>
  <c r="L25" i="8"/>
  <c r="L29" i="8"/>
  <c r="AD32" i="13"/>
  <c r="L21" i="8"/>
  <c r="AD24" i="13"/>
  <c r="AD56" i="13"/>
  <c r="L53" i="8"/>
  <c r="AD52" i="13"/>
  <c r="L49" i="8"/>
  <c r="AD64" i="13"/>
  <c r="L61" i="8"/>
  <c r="L17" i="8"/>
  <c r="AD36" i="13"/>
  <c r="L50" i="8"/>
  <c r="L39" i="8"/>
  <c r="L16" i="8"/>
  <c r="L77" i="8"/>
  <c r="L89" i="8"/>
  <c r="L101" i="8"/>
  <c r="L113" i="8"/>
  <c r="L60" i="8"/>
  <c r="L38" i="8"/>
  <c r="L27" i="8"/>
  <c r="L70" i="8"/>
  <c r="L82" i="8"/>
  <c r="L94" i="8"/>
  <c r="L106" i="8"/>
  <c r="L59" i="8"/>
  <c r="L48" i="8"/>
  <c r="L26" i="8"/>
  <c r="L75" i="8"/>
  <c r="L87" i="8"/>
  <c r="L99" i="8"/>
  <c r="L111" i="8"/>
  <c r="L58" i="8"/>
  <c r="L47" i="8"/>
  <c r="L36" i="8"/>
  <c r="L68" i="8"/>
  <c r="L80" i="8"/>
  <c r="L92" i="8"/>
  <c r="L104" i="8"/>
  <c r="L46" i="8"/>
  <c r="L35" i="8"/>
  <c r="L24" i="8"/>
  <c r="L73" i="8"/>
  <c r="L85" i="8"/>
  <c r="L97" i="8"/>
  <c r="L109" i="8"/>
  <c r="L15" i="8"/>
  <c r="L56" i="8"/>
  <c r="L34" i="8"/>
  <c r="L23" i="8"/>
  <c r="L66" i="8"/>
  <c r="L78" i="8"/>
  <c r="L90" i="8"/>
  <c r="L102" i="8"/>
  <c r="L114" i="8"/>
  <c r="L55" i="8"/>
  <c r="L44" i="8"/>
  <c r="L22" i="8"/>
  <c r="L71" i="8"/>
  <c r="L83" i="8"/>
  <c r="L95" i="8"/>
  <c r="L107" i="8"/>
  <c r="L54" i="8"/>
  <c r="L43" i="8"/>
  <c r="L32" i="8"/>
  <c r="L76" i="8"/>
  <c r="L88" i="8"/>
  <c r="L100" i="8"/>
  <c r="L112" i="8"/>
  <c r="L42" i="8"/>
  <c r="L31" i="8"/>
  <c r="L20" i="8"/>
  <c r="L69" i="8"/>
  <c r="L81" i="8"/>
  <c r="L93" i="8"/>
  <c r="L105" i="8"/>
  <c r="L64" i="8"/>
  <c r="L52" i="8"/>
  <c r="L41" i="8"/>
  <c r="L30" i="8"/>
  <c r="L19" i="8"/>
  <c r="L74" i="8"/>
  <c r="L86" i="8"/>
  <c r="L98" i="8"/>
  <c r="L110" i="8"/>
  <c r="L96" i="8"/>
  <c r="L63" i="8"/>
  <c r="L51" i="8"/>
  <c r="L40" i="8"/>
  <c r="L18" i="8"/>
  <c r="L67" i="8"/>
  <c r="L79" i="8"/>
  <c r="L91" i="8"/>
  <c r="L103" i="8"/>
  <c r="L115" i="8"/>
  <c r="M63" i="8"/>
  <c r="M51" i="8"/>
  <c r="AD60" i="14"/>
  <c r="M57" i="8"/>
  <c r="AD108" i="14"/>
  <c r="M105" i="8"/>
  <c r="AD19" i="14"/>
  <c r="M16" i="8"/>
  <c r="AD85" i="14"/>
  <c r="M82" i="8"/>
  <c r="AD43" i="14"/>
  <c r="M40" i="8"/>
  <c r="AD116" i="14"/>
  <c r="M113" i="8"/>
  <c r="AD67" i="14"/>
  <c r="M64" i="8"/>
  <c r="AD92" i="14"/>
  <c r="M89" i="8"/>
  <c r="AD104" i="14"/>
  <c r="M101" i="8"/>
  <c r="N101" i="8" s="1"/>
  <c r="AD28" i="14"/>
  <c r="M25" i="8"/>
  <c r="AD27" i="14"/>
  <c r="M24" i="8"/>
  <c r="AD40" i="14"/>
  <c r="M37" i="8"/>
  <c r="AD52" i="14"/>
  <c r="M49" i="8"/>
  <c r="AD113" i="14"/>
  <c r="M110" i="8"/>
  <c r="AD51" i="14"/>
  <c r="M48" i="8"/>
  <c r="AD64" i="14"/>
  <c r="M61" i="8"/>
  <c r="AD77" i="14"/>
  <c r="M74" i="8"/>
  <c r="AD76" i="14"/>
  <c r="M73" i="8"/>
  <c r="AD89" i="14"/>
  <c r="M86" i="8"/>
  <c r="AD101" i="14"/>
  <c r="M98" i="8"/>
  <c r="AD100" i="14"/>
  <c r="M97" i="8"/>
  <c r="AD36" i="14"/>
  <c r="M33" i="8"/>
  <c r="AD109" i="14"/>
  <c r="M106" i="8"/>
  <c r="M45" i="8"/>
  <c r="M21" i="8"/>
  <c r="M62" i="8"/>
  <c r="M56" i="8"/>
  <c r="M44" i="8"/>
  <c r="M38" i="8"/>
  <c r="M32" i="8"/>
  <c r="M26" i="8"/>
  <c r="M20" i="8"/>
  <c r="M55" i="8"/>
  <c r="M43" i="8"/>
  <c r="M31" i="8"/>
  <c r="M19" i="8"/>
  <c r="N86" i="8"/>
  <c r="M66" i="8"/>
  <c r="M68" i="8"/>
  <c r="M70" i="8"/>
  <c r="M72" i="8"/>
  <c r="N72" i="8" s="1"/>
  <c r="M76" i="8"/>
  <c r="N76" i="8" s="1"/>
  <c r="M78" i="8"/>
  <c r="M80" i="8"/>
  <c r="M84" i="8"/>
  <c r="N84" i="8" s="1"/>
  <c r="M88" i="8"/>
  <c r="M90" i="8"/>
  <c r="M92" i="8"/>
  <c r="M94" i="8"/>
  <c r="M96" i="8"/>
  <c r="M100" i="8"/>
  <c r="M102" i="8"/>
  <c r="M104" i="8"/>
  <c r="M108" i="8"/>
  <c r="N108" i="8" s="1"/>
  <c r="M112" i="8"/>
  <c r="M114" i="8"/>
  <c r="M15" i="8"/>
  <c r="M60" i="8"/>
  <c r="M54" i="8"/>
  <c r="M42" i="8"/>
  <c r="M36" i="8"/>
  <c r="M30" i="8"/>
  <c r="M18" i="8"/>
  <c r="M59" i="8"/>
  <c r="M53" i="8"/>
  <c r="M47" i="8"/>
  <c r="M41" i="8"/>
  <c r="M35" i="8"/>
  <c r="M29" i="8"/>
  <c r="M23" i="8"/>
  <c r="M17" i="8"/>
  <c r="M58" i="8"/>
  <c r="M52" i="8"/>
  <c r="M46" i="8"/>
  <c r="M34" i="8"/>
  <c r="M28" i="8"/>
  <c r="M22" i="8"/>
  <c r="N89" i="8"/>
  <c r="N105" i="8"/>
  <c r="M67" i="8"/>
  <c r="M69" i="8"/>
  <c r="M71" i="8"/>
  <c r="M75" i="8"/>
  <c r="N75" i="8" s="1"/>
  <c r="M77" i="8"/>
  <c r="M79" i="8"/>
  <c r="M81" i="8"/>
  <c r="N81" i="8" s="1"/>
  <c r="M83" i="8"/>
  <c r="N83" i="8" s="1"/>
  <c r="M85" i="8"/>
  <c r="N85" i="8" s="1"/>
  <c r="M87" i="8"/>
  <c r="M91" i="8"/>
  <c r="M93" i="8"/>
  <c r="M95" i="8"/>
  <c r="M99" i="8"/>
  <c r="M103" i="8"/>
  <c r="M107" i="8"/>
  <c r="M109" i="8"/>
  <c r="M111" i="8"/>
  <c r="M115" i="8"/>
  <c r="N115" i="8" s="1"/>
  <c r="N97" i="8" l="1"/>
  <c r="N100" i="8"/>
  <c r="N99" i="8"/>
  <c r="N102" i="8"/>
  <c r="N90" i="8"/>
  <c r="N93" i="8"/>
  <c r="N104" i="8"/>
  <c r="N96" i="8"/>
  <c r="N98" i="8"/>
  <c r="H89" i="8"/>
  <c r="H112" i="8"/>
  <c r="H76" i="8"/>
  <c r="H105" i="8"/>
  <c r="H94" i="8"/>
  <c r="H111" i="8"/>
  <c r="H115" i="8"/>
  <c r="H78" i="8"/>
  <c r="H70" i="8"/>
  <c r="H109" i="8"/>
  <c r="H103" i="8"/>
  <c r="H97" i="8"/>
  <c r="H72" i="8"/>
  <c r="H81" i="8"/>
  <c r="H75" i="8"/>
  <c r="H114" i="8"/>
  <c r="H77" i="8"/>
  <c r="H106" i="8"/>
  <c r="H98" i="8"/>
  <c r="H71" i="8"/>
  <c r="H67" i="8"/>
  <c r="H86" i="8"/>
  <c r="H82" i="8"/>
  <c r="H74" i="8"/>
  <c r="K85" i="8"/>
  <c r="K96" i="8"/>
  <c r="K93" i="8"/>
  <c r="K104" i="8"/>
  <c r="K72" i="8"/>
  <c r="K91" i="8"/>
  <c r="K90" i="8"/>
  <c r="K98" i="8"/>
  <c r="K95" i="8"/>
  <c r="K76" i="8"/>
  <c r="K73" i="8"/>
  <c r="K83" i="8"/>
  <c r="K80" i="8"/>
  <c r="K77" i="8"/>
  <c r="K103" i="8"/>
  <c r="K87" i="8"/>
  <c r="K113" i="8"/>
  <c r="K71" i="8"/>
  <c r="K86" i="8"/>
  <c r="K100" i="8"/>
  <c r="K84" i="8"/>
  <c r="K68" i="8"/>
  <c r="K97" i="8"/>
  <c r="K81" i="8"/>
  <c r="K75" i="8"/>
  <c r="K114" i="8"/>
  <c r="K101" i="8"/>
  <c r="K74" i="8"/>
  <c r="K79" i="8"/>
  <c r="K66" i="8"/>
  <c r="K115" i="8"/>
  <c r="K105" i="8"/>
  <c r="K102" i="8"/>
  <c r="K89" i="8"/>
  <c r="K109" i="8"/>
  <c r="K67" i="8"/>
  <c r="K99" i="8"/>
  <c r="N111" i="8"/>
  <c r="N73" i="8"/>
  <c r="N113" i="8"/>
  <c r="N67" i="8"/>
  <c r="N70" i="8"/>
  <c r="N79" i="8"/>
  <c r="N109" i="8"/>
  <c r="N103" i="8"/>
  <c r="N114" i="8"/>
  <c r="N80" i="8"/>
  <c r="N87" i="8"/>
  <c r="N112" i="8"/>
  <c r="N78" i="8"/>
  <c r="N106" i="8"/>
  <c r="N74" i="8"/>
  <c r="N77" i="8"/>
  <c r="N68" i="8"/>
  <c r="N107" i="8"/>
  <c r="N66" i="8"/>
  <c r="N82" i="8"/>
  <c r="N71" i="8"/>
  <c r="N94" i="8"/>
  <c r="N69" i="8"/>
  <c r="N92" i="8"/>
  <c r="N95" i="8"/>
  <c r="N88" i="8"/>
  <c r="N110" i="8"/>
  <c r="N91" i="8"/>
  <c r="C115" i="8" l="1"/>
  <c r="C114" i="8"/>
  <c r="C113" i="8"/>
  <c r="C112" i="8"/>
  <c r="C111" i="8"/>
  <c r="C110" i="8"/>
  <c r="C109" i="8"/>
  <c r="C108" i="8"/>
  <c r="C107" i="8"/>
  <c r="C106" i="8"/>
  <c r="C105" i="8"/>
  <c r="C104" i="8"/>
  <c r="C103" i="8"/>
  <c r="C102" i="8"/>
  <c r="C101" i="8"/>
  <c r="C100" i="8"/>
  <c r="C99" i="8"/>
  <c r="C98" i="8"/>
  <c r="C97" i="8"/>
  <c r="C96" i="8"/>
  <c r="C95" i="8"/>
  <c r="C94" i="8"/>
  <c r="C93" i="8"/>
  <c r="C92" i="8"/>
  <c r="C91" i="8"/>
  <c r="C90" i="8"/>
  <c r="C89" i="8"/>
  <c r="C88" i="8"/>
  <c r="C87" i="8"/>
  <c r="C86" i="8"/>
  <c r="C85" i="8"/>
  <c r="C84" i="8"/>
  <c r="C83" i="8"/>
  <c r="C82" i="8"/>
  <c r="C81" i="8"/>
  <c r="C80" i="8"/>
  <c r="C79" i="8"/>
  <c r="C78" i="8"/>
  <c r="C77" i="8"/>
  <c r="C76" i="8"/>
  <c r="C75" i="8"/>
  <c r="C74" i="8"/>
  <c r="C73" i="8"/>
  <c r="C72" i="8"/>
  <c r="C71" i="8"/>
  <c r="C70" i="8"/>
  <c r="C69" i="8"/>
  <c r="C68" i="8"/>
  <c r="C67" i="8"/>
  <c r="C66" i="8"/>
  <c r="C64" i="8"/>
  <c r="C63" i="8"/>
  <c r="C62" i="8"/>
  <c r="C61" i="8"/>
  <c r="C60" i="8"/>
  <c r="C59" i="8"/>
  <c r="C58" i="8"/>
  <c r="C57" i="8"/>
  <c r="C56" i="8"/>
  <c r="C55" i="8"/>
  <c r="C54" i="8"/>
  <c r="C53" i="8"/>
  <c r="C52" i="8"/>
  <c r="C51" i="8"/>
  <c r="C50" i="8"/>
  <c r="C49" i="8"/>
  <c r="C48" i="8"/>
  <c r="C47" i="8"/>
  <c r="C46" i="8"/>
  <c r="C45" i="8"/>
  <c r="C44" i="8"/>
  <c r="C43" i="8"/>
  <c r="C42" i="8"/>
  <c r="C41" i="8"/>
  <c r="C40" i="8"/>
  <c r="C39" i="8"/>
  <c r="C38" i="8"/>
  <c r="C37" i="8"/>
  <c r="C36" i="8"/>
  <c r="C35" i="8"/>
  <c r="C34" i="8"/>
  <c r="C33" i="8"/>
  <c r="C32" i="8"/>
  <c r="C31" i="8"/>
  <c r="C30" i="8"/>
  <c r="C29" i="8"/>
  <c r="C28" i="8"/>
  <c r="C27" i="8"/>
  <c r="C26" i="8"/>
  <c r="C25" i="8"/>
  <c r="C24" i="8"/>
  <c r="C23" i="8"/>
  <c r="C22" i="8"/>
  <c r="C21" i="8"/>
  <c r="C20" i="8"/>
  <c r="C19" i="8"/>
  <c r="C18" i="8"/>
  <c r="C17" i="8"/>
  <c r="C16" i="8"/>
  <c r="C15" i="8"/>
  <c r="N56" i="8"/>
  <c r="N52" i="8"/>
  <c r="N44" i="8"/>
  <c r="C118" i="2"/>
  <c r="C117" i="2"/>
  <c r="C116" i="2"/>
  <c r="C115" i="2"/>
  <c r="C114" i="2"/>
  <c r="C113" i="2"/>
  <c r="C112" i="2"/>
  <c r="C111" i="2"/>
  <c r="C110" i="2"/>
  <c r="C109" i="2"/>
  <c r="C108" i="2"/>
  <c r="C107" i="2"/>
  <c r="C106" i="2"/>
  <c r="C105" i="2"/>
  <c r="C104" i="2"/>
  <c r="C103" i="2"/>
  <c r="C102" i="2"/>
  <c r="C101" i="2"/>
  <c r="C100" i="2"/>
  <c r="C99" i="2"/>
  <c r="C98" i="2"/>
  <c r="C97" i="2"/>
  <c r="C96" i="2"/>
  <c r="C95" i="2"/>
  <c r="C94" i="2"/>
  <c r="C93" i="2"/>
  <c r="C92" i="2"/>
  <c r="C91" i="2"/>
  <c r="C90" i="2"/>
  <c r="C89" i="2"/>
  <c r="C88" i="2"/>
  <c r="C87" i="2"/>
  <c r="C86" i="2"/>
  <c r="C85" i="2"/>
  <c r="C84" i="2"/>
  <c r="C83" i="2"/>
  <c r="C82" i="2"/>
  <c r="C81" i="2"/>
  <c r="C80" i="2"/>
  <c r="C79" i="2"/>
  <c r="C78" i="2"/>
  <c r="C77" i="2"/>
  <c r="C76" i="2"/>
  <c r="C75" i="2"/>
  <c r="C74" i="2"/>
  <c r="C73" i="2"/>
  <c r="C72" i="2"/>
  <c r="C71" i="2"/>
  <c r="C70" i="2"/>
  <c r="C69" i="2"/>
  <c r="C67" i="2"/>
  <c r="F63" i="8"/>
  <c r="C66" i="2"/>
  <c r="C65" i="2"/>
  <c r="C64" i="2"/>
  <c r="C63" i="2"/>
  <c r="F59" i="8"/>
  <c r="C62" i="2"/>
  <c r="C61" i="2"/>
  <c r="C60" i="2"/>
  <c r="C59" i="2"/>
  <c r="F55" i="8"/>
  <c r="H55" i="8" s="1"/>
  <c r="C58" i="2"/>
  <c r="C57" i="2"/>
  <c r="C56" i="2"/>
  <c r="C55" i="2"/>
  <c r="F51" i="8"/>
  <c r="H51" i="8" s="1"/>
  <c r="C54" i="2"/>
  <c r="C53" i="2"/>
  <c r="C52" i="2"/>
  <c r="C51" i="2"/>
  <c r="F47" i="8"/>
  <c r="C50" i="2"/>
  <c r="C49" i="2"/>
  <c r="C48" i="2"/>
  <c r="C47" i="2"/>
  <c r="F43" i="8"/>
  <c r="H43" i="8" s="1"/>
  <c r="C46" i="2"/>
  <c r="C45" i="2"/>
  <c r="C44" i="2"/>
  <c r="C43" i="2"/>
  <c r="F39" i="8"/>
  <c r="H39" i="8" s="1"/>
  <c r="C42" i="2"/>
  <c r="C41" i="2"/>
  <c r="C40" i="2"/>
  <c r="C39" i="2"/>
  <c r="F35" i="8"/>
  <c r="C38" i="2"/>
  <c r="C37" i="2"/>
  <c r="C36" i="2"/>
  <c r="C35" i="2"/>
  <c r="F31" i="8"/>
  <c r="H31" i="8" s="1"/>
  <c r="C34" i="2"/>
  <c r="C33" i="2"/>
  <c r="C32" i="2"/>
  <c r="C31" i="2"/>
  <c r="F27" i="8"/>
  <c r="H27" i="8" s="1"/>
  <c r="C30" i="2"/>
  <c r="C29" i="2"/>
  <c r="C28" i="2"/>
  <c r="C27" i="2"/>
  <c r="F23" i="8"/>
  <c r="C26" i="2"/>
  <c r="C25" i="2"/>
  <c r="C24" i="2"/>
  <c r="C23" i="2"/>
  <c r="F19" i="8"/>
  <c r="C22" i="2"/>
  <c r="C21" i="2"/>
  <c r="C20" i="2"/>
  <c r="C19" i="2"/>
  <c r="Z18" i="2"/>
  <c r="AA18" i="2" s="1"/>
  <c r="Y18" i="2"/>
  <c r="X18" i="2"/>
  <c r="W18" i="2"/>
  <c r="Q18" i="2"/>
  <c r="R18" i="2" s="1"/>
  <c r="S18" i="2" s="1"/>
  <c r="K18" i="2"/>
  <c r="L18" i="2" s="1"/>
  <c r="M18" i="2" s="1"/>
  <c r="C18" i="2"/>
  <c r="Q15" i="2"/>
  <c r="K15" i="2"/>
  <c r="H59" i="8" l="1"/>
  <c r="H23" i="8"/>
  <c r="N48" i="8"/>
  <c r="H63" i="8"/>
  <c r="H47" i="8"/>
  <c r="H35" i="8"/>
  <c r="H19" i="8"/>
  <c r="N63" i="8"/>
  <c r="AB18" i="2"/>
  <c r="F25" i="8"/>
  <c r="F26" i="8"/>
  <c r="F32" i="8"/>
  <c r="F21" i="8"/>
  <c r="F22" i="8"/>
  <c r="F28" i="8"/>
  <c r="F18" i="8"/>
  <c r="F57" i="8"/>
  <c r="H57" i="8" s="1"/>
  <c r="F20" i="8"/>
  <c r="F62" i="8"/>
  <c r="F64" i="8"/>
  <c r="F24" i="8"/>
  <c r="F16" i="8"/>
  <c r="F50" i="8"/>
  <c r="F56" i="8"/>
  <c r="F61" i="8"/>
  <c r="H61" i="8" s="1"/>
  <c r="F60" i="8"/>
  <c r="F45" i="8"/>
  <c r="H45" i="8" s="1"/>
  <c r="F46" i="8"/>
  <c r="F52" i="8"/>
  <c r="F17" i="8"/>
  <c r="F53" i="8"/>
  <c r="H53" i="8" s="1"/>
  <c r="F48" i="8"/>
  <c r="F58" i="8"/>
  <c r="F54" i="8"/>
  <c r="F37" i="8"/>
  <c r="H37" i="8" s="1"/>
  <c r="F38" i="8"/>
  <c r="F44" i="8"/>
  <c r="F41" i="8"/>
  <c r="H41" i="8" s="1"/>
  <c r="F34" i="8"/>
  <c r="F40" i="8"/>
  <c r="F49" i="8"/>
  <c r="H49" i="8" s="1"/>
  <c r="F42" i="8"/>
  <c r="F33" i="8"/>
  <c r="H33" i="8" s="1"/>
  <c r="F29" i="8"/>
  <c r="H29" i="8" s="1"/>
  <c r="F30" i="8"/>
  <c r="H30" i="8" s="1"/>
  <c r="F36" i="8"/>
  <c r="K16" i="8"/>
  <c r="K20" i="8"/>
  <c r="K24" i="8"/>
  <c r="K28" i="8"/>
  <c r="K32" i="8"/>
  <c r="K36" i="8"/>
  <c r="K40" i="8"/>
  <c r="K44" i="8"/>
  <c r="K48" i="8"/>
  <c r="K19" i="8"/>
  <c r="K22" i="8"/>
  <c r="K23" i="8"/>
  <c r="K52" i="8"/>
  <c r="K27" i="8"/>
  <c r="K31" i="8"/>
  <c r="K61" i="8"/>
  <c r="K63" i="8"/>
  <c r="K56" i="8"/>
  <c r="K35" i="8"/>
  <c r="K57" i="8"/>
  <c r="K60" i="8"/>
  <c r="K39" i="8"/>
  <c r="K64" i="8"/>
  <c r="K43" i="8"/>
  <c r="K47" i="8"/>
  <c r="K15" i="8"/>
  <c r="N18" i="8"/>
  <c r="N22" i="8"/>
  <c r="N26" i="8"/>
  <c r="N61" i="8"/>
  <c r="N35" i="8"/>
  <c r="N39" i="8"/>
  <c r="N16" i="8"/>
  <c r="N15" i="8"/>
  <c r="N43" i="8"/>
  <c r="O68" i="8"/>
  <c r="P68" i="8" s="1"/>
  <c r="N20" i="8"/>
  <c r="N19" i="8"/>
  <c r="N47" i="8"/>
  <c r="N51" i="8"/>
  <c r="N55" i="8"/>
  <c r="N59" i="8"/>
  <c r="N24" i="8"/>
  <c r="N28" i="8"/>
  <c r="N30" i="8"/>
  <c r="N32" i="8"/>
  <c r="N34" i="8"/>
  <c r="N38" i="8"/>
  <c r="N42" i="8"/>
  <c r="N46" i="8"/>
  <c r="N50" i="8"/>
  <c r="N54" i="8"/>
  <c r="N58" i="8"/>
  <c r="N36" i="8"/>
  <c r="N40" i="8"/>
  <c r="N60" i="8"/>
  <c r="N64" i="8"/>
  <c r="O92" i="8" l="1"/>
  <c r="P92" i="8" s="1"/>
  <c r="O63" i="8"/>
  <c r="P63" i="8" s="1"/>
  <c r="K26" i="8"/>
  <c r="N45" i="8"/>
  <c r="O96" i="8"/>
  <c r="P96" i="8" s="1"/>
  <c r="H44" i="8"/>
  <c r="O44" i="8" s="1"/>
  <c r="P44" i="8" s="1"/>
  <c r="O43" i="8"/>
  <c r="P43" i="8" s="1"/>
  <c r="H42" i="8"/>
  <c r="N31" i="8"/>
  <c r="O31" i="8" s="1"/>
  <c r="P31" i="8" s="1"/>
  <c r="O19" i="8"/>
  <c r="P19" i="8" s="1"/>
  <c r="O84" i="8"/>
  <c r="P84" i="8" s="1"/>
  <c r="O47" i="8"/>
  <c r="P47" i="8" s="1"/>
  <c r="N33" i="8"/>
  <c r="O39" i="8"/>
  <c r="P39" i="8" s="1"/>
  <c r="N41" i="8"/>
  <c r="N53" i="8"/>
  <c r="N49" i="8"/>
  <c r="O113" i="8"/>
  <c r="P113" i="8" s="1"/>
  <c r="O100" i="8"/>
  <c r="P100" i="8" s="1"/>
  <c r="O80" i="8"/>
  <c r="P80" i="8" s="1"/>
  <c r="O110" i="8"/>
  <c r="P110" i="8" s="1"/>
  <c r="O88" i="8"/>
  <c r="P88" i="8" s="1"/>
  <c r="K18" i="8"/>
  <c r="O35" i="8"/>
  <c r="P35" i="8" s="1"/>
  <c r="O95" i="8"/>
  <c r="P95" i="8" s="1"/>
  <c r="O97" i="8"/>
  <c r="P97" i="8" s="1"/>
  <c r="O87" i="8"/>
  <c r="P87" i="8" s="1"/>
  <c r="K29" i="8"/>
  <c r="O93" i="8"/>
  <c r="P93" i="8" s="1"/>
  <c r="K50" i="8"/>
  <c r="K62" i="8"/>
  <c r="K33" i="8"/>
  <c r="O33" i="8" s="1"/>
  <c r="P33" i="8" s="1"/>
  <c r="K58" i="8"/>
  <c r="K42" i="8"/>
  <c r="K25" i="8"/>
  <c r="O105" i="8"/>
  <c r="P105" i="8" s="1"/>
  <c r="O109" i="8"/>
  <c r="P109" i="8" s="1"/>
  <c r="O103" i="8"/>
  <c r="P103" i="8" s="1"/>
  <c r="O89" i="8"/>
  <c r="P89" i="8" s="1"/>
  <c r="O108" i="8"/>
  <c r="P108" i="8" s="1"/>
  <c r="O81" i="8"/>
  <c r="P81" i="8" s="1"/>
  <c r="O85" i="8"/>
  <c r="P85" i="8" s="1"/>
  <c r="AC18" i="2"/>
  <c r="F15" i="8" s="1"/>
  <c r="H15" i="8" s="1"/>
  <c r="O15" i="8" s="1"/>
  <c r="P15" i="8" s="1"/>
  <c r="O74" i="8"/>
  <c r="P74" i="8" s="1"/>
  <c r="O72" i="8"/>
  <c r="P72" i="8" s="1"/>
  <c r="O76" i="8"/>
  <c r="P76" i="8" s="1"/>
  <c r="O106" i="8"/>
  <c r="P106" i="8" s="1"/>
  <c r="O112" i="8"/>
  <c r="P112" i="8" s="1"/>
  <c r="O104" i="8"/>
  <c r="P104" i="8" s="1"/>
  <c r="N25" i="8"/>
  <c r="K49" i="8"/>
  <c r="K17" i="8"/>
  <c r="O86" i="8"/>
  <c r="P86" i="8" s="1"/>
  <c r="O115" i="8"/>
  <c r="P115" i="8" s="1"/>
  <c r="K54" i="8"/>
  <c r="O90" i="8"/>
  <c r="P90" i="8" s="1"/>
  <c r="H34" i="8"/>
  <c r="H58" i="8"/>
  <c r="H24" i="8"/>
  <c r="O24" i="8" s="1"/>
  <c r="P24" i="8" s="1"/>
  <c r="O71" i="8"/>
  <c r="P71" i="8" s="1"/>
  <c r="H28" i="8"/>
  <c r="O28" i="8" s="1"/>
  <c r="P28" i="8" s="1"/>
  <c r="O111" i="8"/>
  <c r="P111" i="8" s="1"/>
  <c r="K46" i="8"/>
  <c r="O79" i="8"/>
  <c r="P79" i="8" s="1"/>
  <c r="O98" i="8"/>
  <c r="P98" i="8" s="1"/>
  <c r="N62" i="8"/>
  <c r="O107" i="8"/>
  <c r="P107" i="8" s="1"/>
  <c r="O75" i="8"/>
  <c r="P75" i="8" s="1"/>
  <c r="O83" i="8"/>
  <c r="P83" i="8" s="1"/>
  <c r="H48" i="8"/>
  <c r="O48" i="8" s="1"/>
  <c r="P48" i="8" s="1"/>
  <c r="H60" i="8"/>
  <c r="O60" i="8" s="1"/>
  <c r="P60" i="8" s="1"/>
  <c r="O73" i="8"/>
  <c r="P73" i="8" s="1"/>
  <c r="O70" i="8"/>
  <c r="P70" i="8" s="1"/>
  <c r="H22" i="8"/>
  <c r="O22" i="8" s="1"/>
  <c r="P22" i="8" s="1"/>
  <c r="O99" i="8"/>
  <c r="P99" i="8" s="1"/>
  <c r="K41" i="8"/>
  <c r="O61" i="8"/>
  <c r="P61" i="8" s="1"/>
  <c r="O69" i="8"/>
  <c r="P69" i="8" s="1"/>
  <c r="H21" i="8"/>
  <c r="K55" i="8"/>
  <c r="O55" i="8" s="1"/>
  <c r="P55" i="8" s="1"/>
  <c r="K38" i="8"/>
  <c r="K45" i="8"/>
  <c r="O91" i="8"/>
  <c r="P91" i="8" s="1"/>
  <c r="K53" i="8"/>
  <c r="H38" i="8"/>
  <c r="H17" i="8"/>
  <c r="H56" i="8"/>
  <c r="O56" i="8" s="1"/>
  <c r="P56" i="8" s="1"/>
  <c r="H64" i="8"/>
  <c r="O64" i="8" s="1"/>
  <c r="P64" i="8" s="1"/>
  <c r="O66" i="8"/>
  <c r="P66" i="8" s="1"/>
  <c r="H32" i="8"/>
  <c r="O32" i="8" s="1"/>
  <c r="P32" i="8" s="1"/>
  <c r="O82" i="8"/>
  <c r="P82" i="8" s="1"/>
  <c r="N23" i="8"/>
  <c r="O23" i="8" s="1"/>
  <c r="P23" i="8" s="1"/>
  <c r="K51" i="8"/>
  <c r="O51" i="8" s="1"/>
  <c r="P51" i="8" s="1"/>
  <c r="K34" i="8"/>
  <c r="O78" i="8"/>
  <c r="P78" i="8" s="1"/>
  <c r="N17" i="8"/>
  <c r="O94" i="8"/>
  <c r="P94" i="8" s="1"/>
  <c r="K59" i="8"/>
  <c r="O59" i="8" s="1"/>
  <c r="P59" i="8" s="1"/>
  <c r="K21" i="8"/>
  <c r="O77" i="8"/>
  <c r="P77" i="8" s="1"/>
  <c r="H52" i="8"/>
  <c r="O52" i="8" s="1"/>
  <c r="P52" i="8" s="1"/>
  <c r="H50" i="8"/>
  <c r="H62" i="8"/>
  <c r="H26" i="8"/>
  <c r="N57" i="8"/>
  <c r="O57" i="8" s="1"/>
  <c r="P57" i="8" s="1"/>
  <c r="N37" i="8"/>
  <c r="N29" i="8"/>
  <c r="N27" i="8"/>
  <c r="O27" i="8" s="1"/>
  <c r="P27" i="8" s="1"/>
  <c r="N21" i="8"/>
  <c r="O102" i="8"/>
  <c r="P102" i="8" s="1"/>
  <c r="K30" i="8"/>
  <c r="O30" i="8" s="1"/>
  <c r="P30" i="8" s="1"/>
  <c r="K37" i="8"/>
  <c r="O101" i="8"/>
  <c r="P101" i="8" s="1"/>
  <c r="H36" i="8"/>
  <c r="O36" i="8" s="1"/>
  <c r="P36" i="8" s="1"/>
  <c r="H40" i="8"/>
  <c r="O40" i="8" s="1"/>
  <c r="P40" i="8" s="1"/>
  <c r="H54" i="8"/>
  <c r="H46" i="8"/>
  <c r="H16" i="8"/>
  <c r="O16" i="8" s="1"/>
  <c r="P16" i="8" s="1"/>
  <c r="H20" i="8"/>
  <c r="O20" i="8" s="1"/>
  <c r="P20" i="8" s="1"/>
  <c r="H18" i="8"/>
  <c r="H25" i="8"/>
  <c r="O53" i="8" l="1"/>
  <c r="P53" i="8" s="1"/>
  <c r="O46" i="8"/>
  <c r="P46" i="8" s="1"/>
  <c r="O26" i="8"/>
  <c r="P26" i="8" s="1"/>
  <c r="O58" i="8"/>
  <c r="P58" i="8" s="1"/>
  <c r="O42" i="8"/>
  <c r="P42" i="8" s="1"/>
  <c r="O67" i="8"/>
  <c r="P67" i="8" s="1"/>
  <c r="O49" i="8"/>
  <c r="P49" i="8" s="1"/>
  <c r="O45" i="8"/>
  <c r="P45" i="8" s="1"/>
  <c r="O41" i="8"/>
  <c r="P41" i="8" s="1"/>
  <c r="O50" i="8"/>
  <c r="P50" i="8" s="1"/>
  <c r="O37" i="8"/>
  <c r="P37" i="8" s="1"/>
  <c r="O17" i="8"/>
  <c r="P17" i="8" s="1"/>
  <c r="O29" i="8"/>
  <c r="P29" i="8" s="1"/>
  <c r="O38" i="8"/>
  <c r="P38" i="8" s="1"/>
  <c r="O18" i="8"/>
  <c r="P18" i="8" s="1"/>
  <c r="O54" i="8"/>
  <c r="P54" i="8" s="1"/>
  <c r="AD18" i="2"/>
  <c r="O34" i="8"/>
  <c r="P34" i="8" s="1"/>
  <c r="O114" i="8"/>
  <c r="P114" i="8" s="1"/>
  <c r="O62" i="8"/>
  <c r="P62" i="8" s="1"/>
  <c r="O25" i="8"/>
  <c r="P25" i="8" s="1"/>
  <c r="O21" i="8"/>
  <c r="P21" i="8" s="1"/>
</calcChain>
</file>

<file path=xl/sharedStrings.xml><?xml version="1.0" encoding="utf-8"?>
<sst xmlns="http://schemas.openxmlformats.org/spreadsheetml/2006/main" count="330" uniqueCount="71">
  <si>
    <t>Input Data Sheet for Electronic-Class Record (ECR)</t>
  </si>
  <si>
    <t>SCHOOL INFORMATION</t>
  </si>
  <si>
    <t>LEARNERS' NAMES</t>
  </si>
  <si>
    <t>REGION</t>
  </si>
  <si>
    <t>:</t>
  </si>
  <si>
    <t>MALE</t>
  </si>
  <si>
    <t>FEMALE</t>
  </si>
  <si>
    <t>DIVISION</t>
  </si>
  <si>
    <t>SCHOOL ID</t>
  </si>
  <si>
    <t>SCHOOL NAME</t>
  </si>
  <si>
    <t>SCHOOL YEAR</t>
  </si>
  <si>
    <t>SCHOOL HEAD</t>
  </si>
  <si>
    <t>TEACHER, GRADE LEVEL, SECTION INFORMATION</t>
  </si>
  <si>
    <t>SUBJECT TEACHER</t>
  </si>
  <si>
    <t>SUBJECT</t>
  </si>
  <si>
    <t>GRADE LEVEL</t>
  </si>
  <si>
    <t>SECTION</t>
  </si>
  <si>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</si>
  <si>
    <t>2026_v1.0</t>
  </si>
  <si>
    <t>CLASS RECORD</t>
  </si>
  <si>
    <t>FIRST TERM</t>
  </si>
  <si>
    <t>TEACHER</t>
  </si>
  <si>
    <t>Music and Arts</t>
  </si>
  <si>
    <t>WRITTEN / ORAL WORKS (WWs)</t>
  </si>
  <si>
    <t>PRODUCT / PERFORMANCE TASKS (PTs)</t>
  </si>
  <si>
    <t>EXAMINATIONS (EXs)</t>
  </si>
  <si>
    <t>Initial Grade</t>
  </si>
  <si>
    <t>Term Grade</t>
  </si>
  <si>
    <t>Descriptor</t>
  </si>
  <si>
    <t>Total</t>
  </si>
  <si>
    <t>PS</t>
  </si>
  <si>
    <t>WS</t>
  </si>
  <si>
    <t>ST1</t>
  </si>
  <si>
    <t>ST2</t>
  </si>
  <si>
    <t>TE</t>
  </si>
  <si>
    <t>WS ST1</t>
  </si>
  <si>
    <t>WS ST2</t>
  </si>
  <si>
    <t>WS TE</t>
  </si>
  <si>
    <t>HIGHEST POSSIBLE SCORE</t>
  </si>
  <si>
    <t>PE and Health</t>
  </si>
  <si>
    <t>SECOND TERM</t>
  </si>
  <si>
    <t>THIRD TERM</t>
  </si>
  <si>
    <t>CLASS RECORD - FINAL GRADES</t>
  </si>
  <si>
    <t>TERM GRADES</t>
  </si>
  <si>
    <t>FINAL GRADE</t>
  </si>
  <si>
    <t>DESCRIPTOR</t>
  </si>
  <si>
    <t>REMARK</t>
  </si>
  <si>
    <t>TERM 1</t>
  </si>
  <si>
    <t>TERM 2</t>
  </si>
  <si>
    <t>TERM 3</t>
  </si>
  <si>
    <t>TERM GRADE</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</si>
  <si>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</si>
  <si>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</si>
  <si>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</si>
  <si>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</si>
  <si>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</si>
  <si>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</si>
  <si>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</si>
  <si>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</si>
  <si>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</si>
  <si>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</si>
  <si>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</si>
  <si>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</si>
  <si>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</si>
  <si>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</si>
  <si>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</si>
  <si>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</si>
  <si>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</si>
  <si>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</si>
  <si>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r>
      <t xml:space="preserve">Sheet Protection Password: </t>
    </r>
    <r>
      <rPr>
        <b/>
        <sz val="12"/>
        <color rgb="FFFF0000"/>
        <rFont val="Arial"/>
        <family val="2"/>
      </rPr>
      <t>password123</t>
    </r>
  </si>
  <si>
    <t>Physical Education and Health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</si>
</sst>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0"/>
      <color rgb="FF000000"/>
      <name val="Arial"/>
      <scheme val="minor"/>
    </font>
    <font>
      <sz val="10"/>
      <name val="Arial"/>
      <family val="2"/>
    </font>
    <font>
      <sz val="10"/>
      <color theme="1"/>
      <name val="Arial"/>
      <family val="2"/>
    </font>
    <font>
      <b/>
      <sz val="23"/>
      <color theme="1"/>
      <name val="Arial"/>
      <family val="2"/>
    </font>
    <font>
      <b/>
      <sz val="12"/>
      <color theme="1"/>
      <name val="Arial"/>
      <family val="2"/>
    </font>
    <font>
      <b/>
      <sz val="11"/>
      <color rgb="FFFFFFFF"/>
      <name val="Arial"/>
      <family val="2"/>
    </font>
    <font>
      <b/>
      <sz val="11"/>
      <color rgb="FF002060"/>
      <name val="Arial"/>
      <family val="2"/>
    </font>
    <font>
      <sz val="10"/>
      <color theme="1"/>
      <name val="Arial"/>
      <family val="2"/>
      <scheme val="minor"/>
    </font>
    <font>
      <sz val="11"/>
      <color theme="1"/>
      <name val="Arial"/>
      <family val="2"/>
    </font>
    <font>
      <b/>
      <sz val="21"/>
      <color theme="1"/>
      <name val="Arial"/>
      <family val="2"/>
    </font>
    <font>
      <b/>
      <sz val="11"/>
      <color theme="1"/>
      <name val="Arial"/>
      <family val="2"/>
    </font>
    <font>
      <b/>
      <i/>
      <sz val="11"/>
      <color theme="1"/>
      <name val="Arial"/>
      <family val="2"/>
    </font>
    <font>
      <i/>
      <sz val="9"/>
      <color rgb="FF002060"/>
      <name val="Arial"/>
      <family val="2"/>
    </font>
    <font>
      <i/>
      <sz val="8"/>
      <color theme="1"/>
      <name val="Arial"/>
      <family val="2"/>
    </font>
    <font>
      <b/>
      <sz val="30"/>
      <color theme="1"/>
      <name val="Arial"/>
      <family val="2"/>
      <scheme val="minor"/>
    </font>
    <font>
      <sz val="22"/>
      <color theme="1"/>
      <name val="Arial"/>
      <family val="2"/>
      <scheme val="minor"/>
    </font>
    <font>
      <b/>
      <sz val="22"/>
      <color rgb="FFFF0000"/>
      <name val="Arial"/>
      <family val="2"/>
      <scheme val="minor"/>
    </font>
    <font>
      <sz val="12"/>
      <color theme="1"/>
      <name val="Arial"/>
      <family val="2"/>
      <scheme val="minor"/>
    </font>
    <font>
      <b/>
      <sz val="13"/>
      <color rgb="FFFFFFFF"/>
      <name val="Arial"/>
      <family val="2"/>
      <scheme val="minor"/>
    </font>
    <font>
      <sz val="13"/>
      <color theme="1"/>
      <name val="Arial"/>
      <family val="2"/>
      <scheme val="minor"/>
    </font>
    <font>
      <b/>
      <sz val="12"/>
      <color rgb="FF000000"/>
      <name val="Arial"/>
      <family val="2"/>
      <scheme val="minor"/>
    </font>
    <font>
      <b/>
      <sz val="12"/>
      <color theme="1"/>
      <name val="Arial"/>
      <family val="2"/>
      <scheme val="minor"/>
    </font>
    <font>
      <b/>
      <sz val="12"/>
      <color rgb="FF002060"/>
      <name val="Arial"/>
      <family val="2"/>
    </font>
    <font>
      <sz val="10"/>
      <color rgb="FF002060"/>
      <name val="Arial"/>
      <family val="2"/>
    </font>
    <font>
      <b/>
      <sz val="10"/>
      <color theme="1"/>
      <name val="Arial"/>
      <family val="2"/>
    </font>
    <font>
      <b/>
      <i/>
      <sz val="10"/>
      <color theme="1"/>
      <name val="Arial"/>
      <family val="2"/>
    </font>
    <font>
      <b/>
      <sz val="23"/>
      <color rgb="FF000000"/>
      <name val="Arial"/>
      <family val="2"/>
      <scheme val="minor"/>
    </font>
    <font>
      <sz val="9"/>
      <color theme="1"/>
      <name val="Arial"/>
      <family val="2"/>
    </font>
    <font>
      <b/>
      <sz val="9"/>
      <color theme="1"/>
      <name val="Arial"/>
      <family val="2"/>
    </font>
    <font>
      <sz val="12"/>
      <color theme="1"/>
      <name val="Arial"/>
      <family val="2"/>
    </font>
    <font>
      <b/>
      <sz val="26"/>
      <color rgb="FF000000"/>
      <name val="Arial"/>
      <family val="2"/>
      <scheme val="minor"/>
    </font>
    <font>
      <b/>
      <sz val="10"/>
      <color rgb="FF000000"/>
      <name val="Arial"/>
      <family val="2"/>
      <scheme val="minor"/>
    </font>
    <font>
      <b/>
      <sz val="23"/>
      <color rgb="FF002060"/>
      <name val="Arial"/>
      <family val="2"/>
    </font>
    <font>
      <sz val="11"/>
      <name val="Arial"/>
      <family val="2"/>
    </font>
    <font>
      <b/>
      <sz val="12"/>
      <color rgb="FFFF0000"/>
      <name val="Arial"/>
      <family val="2"/>
    </font>
  </fonts>
  <fills count="23">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
      <patternFill patternType="solid">
        <fgColor rgb="FF002060"/>
        <bgColor rgb="FFFF0000"/>
      </patternFill>
    </fill>
    <fill>
      <patternFill patternType="solid">
        <fgColor rgb="FF002060"/>
        <bgColor rgb="FF000000"/>
      </patternFill>
    </fill>
    <fill>
      <patternFill patternType="solid">
        <fgColor rgb="FF002060"/>
        <bgColor indexed="64"/>
      </patternFill>
    </fill>
    <fill>
      <patternFill patternType="solid">
        <fgColor theme="0" tint="-4.9989318521683403E-2"/>
        <bgColor indexed="64"/>
      </patternFill>
    </fill>
    <fill>
      <patternFill patternType="solid">
        <fgColor theme="0" tint="-4.9989318521683403E-2"/>
        <bgColor rgb="FFFFFFFF"/>
      </patternFill>
    </fill>
    <fill>
      <patternFill patternType="solid">
        <fgColor theme="0" tint="-0.249977111117893"/>
        <bgColor rgb="FFFFFFFF"/>
      </patternFill>
    </fill>
    <fill>
      <patternFill patternType="solid">
        <fgColor theme="0" tint="-0.14999847407452621"/>
        <bgColor indexed="64"/>
      </patternFill>
    </fill>
  </fills>
  <borders count="122">
    <border>
      <left/>
      <right/>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medium">
        <color rgb="FF000000"/>
      </bottom>
      <diagonal/>
    </border>
    <border>
      <left/>
      <right style="medium">
        <color rgb="FF000000"/>
      </right>
      <top/>
      <bottom/>
      <diagonal/>
    </border>
    <border>
      <left/>
      <right style="thin">
        <color rgb="FF000000"/>
      </right>
      <top/>
      <bottom/>
      <diagonal/>
    </border>
    <border>
      <left style="medium">
        <color rgb="FF000000"/>
      </left>
      <right style="medium">
        <color rgb="FF000000"/>
      </right>
      <top style="medium">
        <color rgb="FF000000"/>
      </top>
      <bottom/>
      <diagonal/>
    </border>
    <border>
      <left style="medium">
        <color rgb="FF000000"/>
      </left>
      <right/>
      <top/>
      <bottom style="medium">
        <color rgb="FF000000"/>
      </bottom>
      <diagonal/>
    </border>
    <border>
      <left style="medium">
        <color rgb="FF000000"/>
      </left>
      <right style="medium">
        <color rgb="FF000000"/>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medium">
        <color rgb="FF000000"/>
      </left>
      <right/>
      <top/>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diagonal/>
    </border>
    <border>
      <left style="thin">
        <color rgb="FF000000"/>
      </left>
      <right/>
      <top style="thin">
        <color rgb="FF000000"/>
      </top>
      <bottom style="medium">
        <color rgb="FF000000"/>
      </bottom>
      <diagonal/>
    </border>
    <border>
      <left/>
      <right/>
      <top style="thin">
        <color rgb="FF000000"/>
      </top>
      <bottom/>
      <diagonal/>
    </border>
    <border>
      <left style="medium">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thin">
        <color rgb="FF000000"/>
      </left>
      <right/>
      <top/>
      <bottom style="thin">
        <color rgb="FF000000"/>
      </bottom>
      <diagonal/>
    </border>
    <border>
      <left/>
      <right/>
      <top/>
      <bottom style="thin">
        <color rgb="FF000000"/>
      </bottom>
      <diagonal/>
    </border>
    <border>
      <left/>
      <right/>
      <top/>
      <bottom/>
      <diagonal/>
    </border>
    <border>
      <left style="medium">
        <color rgb="FF000000"/>
      </left>
      <right style="thin">
        <color rgb="FF000000"/>
      </right>
      <top/>
      <bottom style="thin">
        <color rgb="FF000000"/>
      </bottom>
      <diagonal/>
    </border>
    <border>
      <left style="thin">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diagonal/>
    </border>
    <border>
      <left style="hair">
        <color rgb="FF000000"/>
      </left>
      <right style="medium">
        <color rgb="FF000000"/>
      </right>
      <top/>
      <bottom style="hair">
        <color rgb="FF00000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
      <left style="medium">
        <color rgb="FF000000"/>
      </left>
      <right style="thin">
        <color rgb="FF000000"/>
      </right>
      <top/>
      <bottom/>
      <diagonal/>
    </border>
    <border>
      <left style="medium">
        <color auto="1"/>
      </left>
      <right/>
      <top/>
      <bottom style="medium">
        <color auto="1"/>
      </bottom>
      <diagonal/>
    </border>
    <border>
      <left/>
      <right/>
      <top style="thin">
        <color rgb="FF000000"/>
      </top>
      <bottom style="medium">
        <color auto="1"/>
      </bottom>
      <diagonal/>
    </border>
    <border>
      <left/>
      <right/>
      <top/>
      <bottom style="medium">
        <color auto="1"/>
      </bottom>
      <diagonal/>
    </border>
    <border>
      <left/>
      <right style="medium">
        <color auto="1"/>
      </right>
      <top/>
      <bottom style="medium">
        <color auto="1"/>
      </bottom>
      <diagonal/>
    </border>
    <border>
      <left/>
      <right/>
      <top style="thin">
        <color rgb="FF000000"/>
      </top>
      <bottom style="medium">
        <color rgb="FF000000"/>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2060"/>
      </left>
      <right style="thin">
        <color rgb="FF002060"/>
      </right>
      <top style="thin">
        <color rgb="FF002060"/>
      </top>
      <bottom style="thin">
        <color rgb="FF002060"/>
      </bottom>
      <diagonal/>
    </border>
    <border>
      <left style="medium">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indexed="64"/>
      </left>
      <right style="thin">
        <color rgb="FF000000"/>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medium">
        <color indexed="64"/>
      </top>
      <bottom style="thin">
        <color rgb="FF000000"/>
      </bottom>
      <diagonal/>
    </border>
    <border>
      <left/>
      <right style="thin">
        <color rgb="FF000000"/>
      </right>
      <top style="thin">
        <color indexed="64"/>
      </top>
      <bottom style="thin">
        <color rgb="FF000000"/>
      </bottom>
      <diagonal/>
    </border>
    <border>
      <left style="medium">
        <color rgb="FF000000"/>
      </left>
      <right style="medium">
        <color indexed="64"/>
      </right>
      <top style="thin">
        <color indexed="64"/>
      </top>
      <bottom style="thin">
        <color rgb="FF000000"/>
      </bottom>
      <diagonal/>
    </border>
    <border>
      <left style="medium">
        <color indexed="64"/>
      </left>
      <right style="medium">
        <color indexed="64"/>
      </right>
      <top style="thin">
        <color indexed="64"/>
      </top>
      <bottom style="medium">
        <color indexed="64"/>
      </bottom>
      <diagonal/>
    </border>
    <border>
      <left/>
      <right style="thin">
        <color rgb="FF000000"/>
      </right>
      <top style="thin">
        <color indexed="64"/>
      </top>
      <bottom style="medium">
        <color indexed="64"/>
      </bottom>
      <diagonal/>
    </border>
    <border>
      <left style="medium">
        <color rgb="FF000000"/>
      </left>
      <right style="medium">
        <color indexed="64"/>
      </right>
      <top style="thin">
        <color indexed="64"/>
      </top>
      <bottom style="medium">
        <color indexed="64"/>
      </bottom>
      <diagonal/>
    </border>
    <border>
      <left/>
      <right style="thin">
        <color rgb="FF000000"/>
      </right>
      <top style="medium">
        <color indexed="64"/>
      </top>
      <bottom/>
      <diagonal/>
    </border>
    <border>
      <left style="medium">
        <color rgb="FF000000"/>
      </left>
      <right style="medium">
        <color indexed="64"/>
      </right>
      <top style="medium">
        <color indexed="64"/>
      </top>
      <bottom/>
      <diagonal/>
    </border>
    <border>
      <left style="medium">
        <color indexed="64"/>
      </left>
      <right style="thin">
        <color rgb="FF000000"/>
      </right>
      <top style="thin">
        <color rgb="FF000000"/>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thin">
        <color rgb="FF000000"/>
      </right>
      <top style="thin">
        <color indexed="64"/>
      </top>
      <bottom/>
      <diagonal/>
    </border>
    <border>
      <left style="medium">
        <color rgb="FF000000"/>
      </left>
      <right style="medium">
        <color indexed="64"/>
      </right>
      <top style="thin">
        <color indexed="64"/>
      </top>
      <bottom/>
      <diagonal/>
    </border>
    <border>
      <left/>
      <right style="thin">
        <color rgb="FF000000"/>
      </right>
      <top/>
      <bottom style="thin">
        <color rgb="FF000000"/>
      </bottom>
      <diagonal/>
    </border>
    <border>
      <left style="medium">
        <color rgb="FF000000"/>
      </left>
      <right style="medium">
        <color indexed="64"/>
      </right>
      <top/>
      <bottom style="thin">
        <color rgb="FF000000"/>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style="medium">
        <color rgb="FF000000"/>
      </left>
      <right style="medium">
        <color rgb="FF000000"/>
      </right>
      <top style="medium">
        <color rgb="FF000000"/>
      </top>
      <bottom style="medium">
        <color rgb="FF000000"/>
      </bottom>
      <diagonal/>
    </border>
    <border>
      <left/>
      <right/>
      <top style="thin">
        <color rgb="FF000000"/>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rgb="FF000000"/>
      </right>
      <top/>
      <bottom style="medium">
        <color rgb="FF000000"/>
      </bottom>
      <diagonal/>
    </border>
    <border>
      <left style="medium">
        <color indexed="64"/>
      </left>
      <right style="medium">
        <color auto="1"/>
      </right>
      <top style="medium">
        <color indexed="64"/>
      </top>
      <bottom style="medium">
        <color indexed="64"/>
      </bottom>
      <diagonal/>
    </border>
    <border>
      <left/>
      <right style="medium">
        <color auto="1"/>
      </right>
      <top style="medium">
        <color indexed="64"/>
      </top>
      <bottom style="medium">
        <color indexed="64"/>
      </bottom>
      <diagonal/>
    </border>
    <border>
      <left style="hair">
        <color rgb="FF000000"/>
      </left>
      <right style="medium">
        <color rgb="FF000000"/>
      </right>
      <top style="hair">
        <color rgb="FF000000"/>
      </top>
      <bottom style="hair">
        <color rgb="FF000000"/>
      </bottom>
      <diagonal/>
    </border>
    <border>
      <left style="hair">
        <color rgb="FF000000"/>
      </left>
      <right style="medium">
        <color rgb="FF000000"/>
      </right>
      <top style="hair">
        <color rgb="FF000000"/>
      </top>
      <bottom style="medium">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right/>
      <top style="medium">
        <color indexed="64"/>
      </top>
      <bottom style="thin">
        <color indexed="64"/>
      </bottom>
      <diagonal/>
    </border>
    <border>
      <left/>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s>
  <cellStyleXfs count="1">
    <xf numFmtId="0" fontId="0" fillId="0" borderId="32"/>
  </cellStyleXfs>
  <cellXfs count="286">
    <xf numFmtId="0" fontId="0" fillId="0" borderId="0" xfId="0" applyBorder="1"/>
    <xf numFmtId="0" fontId="2" fillId="0" borderId="0" xfId="0" applyFont="1" applyBorder="1" applyAlignment="1">
      <alignment vertical="center"/>
    </xf>
    <xf numFmtId="0" fontId="4" fillId="0" borderId="0" xfId="0" applyFont="1" applyBorder="1" applyAlignment="1">
      <alignment horizontal="right"/>
    </xf>
    <xf numFmtId="0" fontId="2" fillId="5" borderId="5" xfId="0" applyFont="1" applyFill="1" applyBorder="1" applyAlignment="1">
      <alignment horizontal="left"/>
    </xf>
    <xf numFmtId="0" fontId="2" fillId="4" borderId="11" xfId="0" applyFont="1" applyFill="1" applyBorder="1"/>
    <xf numFmtId="0" fontId="2" fillId="4" borderId="13" xfId="0" applyFont="1" applyFill="1" applyBorder="1"/>
    <xf numFmtId="0" fontId="2" fillId="4" borderId="15" xfId="0" applyFont="1" applyFill="1" applyBorder="1"/>
    <xf numFmtId="0" fontId="2" fillId="4" borderId="20" xfId="0" applyFont="1" applyFill="1" applyBorder="1"/>
    <xf numFmtId="0" fontId="6" fillId="5" borderId="22" xfId="0" applyFont="1" applyFill="1" applyBorder="1"/>
    <xf numFmtId="0" fontId="6" fillId="5" borderId="24" xfId="0" applyFont="1" applyFill="1" applyBorder="1" applyAlignment="1">
      <alignment horizontal="center"/>
    </xf>
    <xf numFmtId="0" fontId="6" fillId="5" borderId="26" xfId="0" applyFont="1" applyFill="1" applyBorder="1"/>
    <xf numFmtId="0" fontId="6" fillId="5" borderId="27" xfId="0" applyFont="1" applyFill="1" applyBorder="1" applyAlignment="1">
      <alignment horizontal="center"/>
    </xf>
    <xf numFmtId="0" fontId="6" fillId="5" borderId="30" xfId="0" applyFont="1" applyFill="1" applyBorder="1"/>
    <xf numFmtId="0" fontId="6" fillId="5" borderId="31" xfId="0" applyFont="1" applyFill="1" applyBorder="1" applyAlignment="1">
      <alignment horizontal="center"/>
    </xf>
    <xf numFmtId="0" fontId="2" fillId="4" borderId="32" xfId="0" applyFont="1" applyFill="1"/>
    <xf numFmtId="0" fontId="2" fillId="8" borderId="11" xfId="0" applyFont="1" applyFill="1" applyBorder="1"/>
    <xf numFmtId="0" fontId="2" fillId="8" borderId="15" xfId="0" applyFont="1" applyFill="1" applyBorder="1"/>
    <xf numFmtId="0" fontId="13" fillId="0" borderId="0" xfId="0" applyFont="1" applyBorder="1" applyAlignment="1">
      <alignment horizontal="right"/>
    </xf>
    <xf numFmtId="0" fontId="7" fillId="0" borderId="0" xfId="0" applyFont="1" applyBorder="1" applyAlignment="1">
      <alignment horizontal="center"/>
    </xf>
    <xf numFmtId="0" fontId="14" fillId="0" borderId="0" xfId="0" applyFont="1" applyBorder="1"/>
    <xf numFmtId="0" fontId="15" fillId="0" borderId="0" xfId="0" applyFont="1" applyBorder="1"/>
    <xf numFmtId="0" fontId="16" fillId="0" borderId="0" xfId="0" applyFont="1" applyBorder="1"/>
    <xf numFmtId="0" fontId="17" fillId="0" borderId="0" xfId="0" applyFont="1" applyBorder="1"/>
    <xf numFmtId="0" fontId="19" fillId="0" borderId="0" xfId="0" applyFont="1" applyBorder="1"/>
    <xf numFmtId="0" fontId="20" fillId="0" borderId="37" xfId="0" applyFont="1" applyBorder="1" applyAlignment="1">
      <alignment horizontal="center"/>
    </xf>
    <xf numFmtId="0" fontId="21" fillId="0" borderId="38" xfId="0" applyFont="1" applyBorder="1" applyAlignment="1">
      <alignment horizontal="center"/>
    </xf>
    <xf numFmtId="0" fontId="20" fillId="0" borderId="41" xfId="0" applyFont="1" applyBorder="1" applyAlignment="1">
      <alignment horizontal="center"/>
    </xf>
    <xf numFmtId="0" fontId="21" fillId="0" borderId="42" xfId="0" applyFont="1" applyBorder="1" applyAlignment="1">
      <alignment horizontal="center"/>
    </xf>
    <xf numFmtId="0" fontId="17" fillId="0" borderId="0" xfId="0" applyFont="1" applyBorder="1" applyAlignment="1">
      <alignment horizontal="center" vertical="center" wrapText="1"/>
    </xf>
    <xf numFmtId="0" fontId="6" fillId="5" borderId="6" xfId="0" applyFont="1" applyFill="1" applyBorder="1" applyAlignment="1">
      <alignment horizontal="center" vertical="center"/>
    </xf>
    <xf numFmtId="0" fontId="2" fillId="4" borderId="44" xfId="0" applyFont="1" applyFill="1" applyBorder="1"/>
    <xf numFmtId="0" fontId="2" fillId="4" borderId="8" xfId="0" applyFont="1" applyFill="1" applyBorder="1"/>
    <xf numFmtId="0" fontId="2" fillId="4" borderId="45" xfId="0" applyFont="1" applyFill="1" applyBorder="1"/>
    <xf numFmtId="0" fontId="2" fillId="4" borderId="46" xfId="0" applyFont="1" applyFill="1" applyBorder="1"/>
    <xf numFmtId="0" fontId="2" fillId="4" borderId="47" xfId="0" applyFont="1" applyFill="1" applyBorder="1"/>
    <xf numFmtId="0" fontId="2" fillId="4" borderId="48" xfId="0" applyFont="1" applyFill="1" applyBorder="1"/>
    <xf numFmtId="0" fontId="3" fillId="0" borderId="0" xfId="0" applyFont="1" applyBorder="1"/>
    <xf numFmtId="0" fontId="2" fillId="8" borderId="20" xfId="0" applyFont="1" applyFill="1" applyBorder="1"/>
    <xf numFmtId="0" fontId="2" fillId="8" borderId="8" xfId="0" applyFont="1" applyFill="1" applyBorder="1"/>
    <xf numFmtId="0" fontId="29" fillId="0" borderId="32" xfId="0" applyFont="1"/>
    <xf numFmtId="0" fontId="4" fillId="0" borderId="32" xfId="0" applyFont="1" applyAlignment="1">
      <alignment horizontal="center"/>
    </xf>
    <xf numFmtId="2" fontId="20" fillId="0" borderId="52" xfId="0" applyNumberFormat="1" applyFont="1" applyBorder="1" applyAlignment="1">
      <alignment horizontal="center"/>
    </xf>
    <xf numFmtId="0" fontId="20" fillId="0" borderId="52" xfId="0" applyFont="1" applyBorder="1" applyAlignment="1">
      <alignment horizontal="center"/>
    </xf>
    <xf numFmtId="0" fontId="20" fillId="15" borderId="52" xfId="0" applyFont="1" applyFill="1" applyBorder="1" applyAlignment="1">
      <alignment horizontal="center"/>
    </xf>
    <xf numFmtId="2" fontId="20" fillId="0" borderId="53" xfId="0" applyNumberFormat="1" applyFont="1" applyBorder="1" applyAlignment="1">
      <alignment horizontal="center"/>
    </xf>
    <xf numFmtId="0" fontId="20" fillId="0" borderId="54" xfId="0" applyFont="1" applyBorder="1" applyAlignment="1">
      <alignment horizontal="center"/>
    </xf>
    <xf numFmtId="0" fontId="20" fillId="0" borderId="53" xfId="0" applyFont="1" applyBorder="1" applyAlignment="1">
      <alignment horizontal="center"/>
    </xf>
    <xf numFmtId="0" fontId="20" fillId="15" borderId="53" xfId="0" applyFont="1" applyFill="1" applyBorder="1" applyAlignment="1">
      <alignment horizontal="center"/>
    </xf>
    <xf numFmtId="0" fontId="20" fillId="15" borderId="54" xfId="0" applyFont="1" applyFill="1" applyBorder="1" applyAlignment="1">
      <alignment horizontal="center"/>
    </xf>
    <xf numFmtId="0" fontId="20" fillId="0" borderId="55" xfId="0" applyFont="1" applyBorder="1" applyAlignment="1">
      <alignment horizontal="center"/>
    </xf>
    <xf numFmtId="0" fontId="20" fillId="0" borderId="56" xfId="0" applyFont="1" applyBorder="1" applyAlignment="1">
      <alignment horizontal="center"/>
    </xf>
    <xf numFmtId="0" fontId="20" fillId="0" borderId="57" xfId="0" applyFont="1" applyBorder="1" applyAlignment="1">
      <alignment horizontal="center"/>
    </xf>
    <xf numFmtId="2" fontId="20" fillId="0" borderId="58" xfId="0" applyNumberFormat="1" applyFont="1" applyBorder="1" applyAlignment="1">
      <alignment horizontal="center"/>
    </xf>
    <xf numFmtId="0" fontId="20" fillId="0" borderId="59" xfId="0" applyFont="1" applyBorder="1" applyAlignment="1">
      <alignment horizontal="center"/>
    </xf>
    <xf numFmtId="0" fontId="20" fillId="0" borderId="60" xfId="0" applyFont="1" applyBorder="1" applyAlignment="1">
      <alignment horizontal="center"/>
    </xf>
    <xf numFmtId="0" fontId="19" fillId="0" borderId="61" xfId="0" applyFont="1" applyBorder="1" applyAlignment="1">
      <alignment horizontal="center"/>
    </xf>
    <xf numFmtId="0" fontId="19" fillId="0" borderId="62" xfId="0" applyFont="1" applyBorder="1" applyAlignment="1">
      <alignment horizontal="center"/>
    </xf>
    <xf numFmtId="0" fontId="19" fillId="0" borderId="63" xfId="0" applyFont="1" applyBorder="1" applyAlignment="1">
      <alignment horizontal="center"/>
    </xf>
    <xf numFmtId="0" fontId="20" fillId="0" borderId="64" xfId="0" applyFont="1" applyBorder="1" applyAlignment="1">
      <alignment horizontal="center"/>
    </xf>
    <xf numFmtId="0" fontId="21" fillId="0" borderId="65" xfId="0" applyFont="1" applyBorder="1" applyAlignment="1">
      <alignment horizontal="center"/>
    </xf>
    <xf numFmtId="0" fontId="19" fillId="0" borderId="66" xfId="0" applyFont="1" applyBorder="1" applyAlignment="1">
      <alignment horizontal="center"/>
    </xf>
    <xf numFmtId="0" fontId="19" fillId="0" borderId="67" xfId="0" applyFont="1" applyBorder="1" applyAlignment="1">
      <alignment horizontal="center"/>
    </xf>
    <xf numFmtId="0" fontId="19" fillId="0" borderId="68" xfId="0" applyFont="1" applyBorder="1" applyAlignment="1">
      <alignment horizontal="center" vertical="center" wrapText="1"/>
    </xf>
    <xf numFmtId="0" fontId="24" fillId="7" borderId="29" xfId="0" applyFont="1" applyFill="1" applyBorder="1" applyAlignment="1" applyProtection="1">
      <alignment horizontal="center" vertical="center"/>
      <protection hidden="1"/>
    </xf>
    <xf numFmtId="0" fontId="10" fillId="10" borderId="33" xfId="0" applyFont="1" applyFill="1" applyBorder="1" applyAlignment="1" applyProtection="1">
      <alignment horizontal="center"/>
      <protection locked="0"/>
    </xf>
    <xf numFmtId="0" fontId="10" fillId="10" borderId="35" xfId="0" applyFont="1" applyFill="1" applyBorder="1" applyAlignment="1" applyProtection="1">
      <alignment horizontal="center"/>
      <protection locked="0"/>
    </xf>
    <xf numFmtId="0" fontId="10" fillId="10" borderId="36" xfId="0" applyFont="1" applyFill="1" applyBorder="1" applyAlignment="1" applyProtection="1">
      <alignment horizontal="center"/>
      <protection locked="0"/>
    </xf>
    <xf numFmtId="0" fontId="10" fillId="12" borderId="35" xfId="0" applyFont="1" applyFill="1" applyBorder="1" applyAlignment="1" applyProtection="1">
      <alignment horizontal="center"/>
      <protection locked="0"/>
    </xf>
    <xf numFmtId="0" fontId="10" fillId="12" borderId="36" xfId="0" applyFont="1" applyFill="1" applyBorder="1" applyAlignment="1" applyProtection="1">
      <alignment horizontal="center"/>
      <protection locked="0"/>
    </xf>
    <xf numFmtId="0" fontId="10" fillId="12" borderId="19" xfId="0" applyFont="1" applyFill="1" applyBorder="1" applyAlignment="1" applyProtection="1">
      <alignment horizontal="center"/>
      <protection locked="0"/>
    </xf>
    <xf numFmtId="0" fontId="8" fillId="5" borderId="6" xfId="0" applyFont="1" applyFill="1" applyBorder="1" applyAlignment="1">
      <alignment vertical="center"/>
    </xf>
    <xf numFmtId="1" fontId="24" fillId="7" borderId="29" xfId="0" applyNumberFormat="1" applyFont="1" applyFill="1" applyBorder="1" applyAlignment="1" applyProtection="1">
      <alignment horizontal="center" vertical="center"/>
      <protection hidden="1"/>
    </xf>
    <xf numFmtId="9" fontId="24" fillId="7" borderId="29" xfId="0" applyNumberFormat="1" applyFont="1" applyFill="1" applyBorder="1" applyAlignment="1" applyProtection="1">
      <alignment horizontal="center" vertical="center"/>
      <protection hidden="1"/>
    </xf>
    <xf numFmtId="1" fontId="24" fillId="7" borderId="25" xfId="0" applyNumberFormat="1" applyFont="1" applyFill="1" applyBorder="1" applyAlignment="1" applyProtection="1">
      <alignment horizontal="center" vertical="center"/>
      <protection hidden="1"/>
    </xf>
    <xf numFmtId="9" fontId="24" fillId="7" borderId="25" xfId="0" applyNumberFormat="1" applyFont="1" applyFill="1" applyBorder="1" applyAlignment="1" applyProtection="1">
      <alignment horizontal="center" vertical="center"/>
      <protection hidden="1"/>
    </xf>
    <xf numFmtId="0" fontId="24" fillId="6" borderId="14" xfId="0" applyFont="1" applyFill="1" applyBorder="1" applyAlignment="1" applyProtection="1">
      <alignment horizontal="center" vertical="center"/>
      <protection hidden="1"/>
    </xf>
    <xf numFmtId="0" fontId="24" fillId="6" borderId="16" xfId="0" applyFont="1" applyFill="1" applyBorder="1" applyAlignment="1" applyProtection="1">
      <alignment horizontal="center" vertical="center"/>
      <protection hidden="1"/>
    </xf>
    <xf numFmtId="0" fontId="24" fillId="7" borderId="17" xfId="0" applyFont="1" applyFill="1" applyBorder="1" applyAlignment="1" applyProtection="1">
      <alignment horizontal="center" vertical="center"/>
      <protection hidden="1"/>
    </xf>
    <xf numFmtId="0" fontId="24" fillId="7" borderId="14" xfId="0" applyFont="1" applyFill="1" applyBorder="1" applyAlignment="1" applyProtection="1">
      <alignment horizontal="center" vertical="center"/>
      <protection hidden="1"/>
    </xf>
    <xf numFmtId="0" fontId="24" fillId="7" borderId="16" xfId="0" applyFont="1" applyFill="1" applyBorder="1" applyAlignment="1" applyProtection="1">
      <alignment horizontal="center" vertical="center"/>
      <protection hidden="1"/>
    </xf>
    <xf numFmtId="0" fontId="24" fillId="7" borderId="18" xfId="0" applyFont="1" applyFill="1" applyBorder="1" applyAlignment="1" applyProtection="1">
      <alignment horizontal="center" vertical="center"/>
      <protection hidden="1"/>
    </xf>
    <xf numFmtId="0" fontId="0" fillId="0" borderId="32" xfId="0"/>
    <xf numFmtId="0" fontId="31" fillId="0" borderId="32" xfId="0" applyFont="1" applyAlignment="1">
      <alignment horizontal="center" vertical="center"/>
    </xf>
    <xf numFmtId="0" fontId="31" fillId="0" borderId="32" xfId="0" applyFont="1"/>
    <xf numFmtId="0" fontId="24" fillId="7" borderId="19" xfId="0" applyFont="1" applyFill="1" applyBorder="1" applyAlignment="1" applyProtection="1">
      <alignment horizontal="center" vertical="center"/>
      <protection hidden="1"/>
    </xf>
    <xf numFmtId="0" fontId="24" fillId="7" borderId="21" xfId="0" applyFont="1" applyFill="1" applyBorder="1" applyAlignment="1" applyProtection="1">
      <alignment horizontal="center" vertical="center"/>
      <protection hidden="1"/>
    </xf>
    <xf numFmtId="0" fontId="24" fillId="7" borderId="28" xfId="0" applyFont="1" applyFill="1" applyBorder="1" applyAlignment="1" applyProtection="1">
      <alignment horizontal="center" vertical="center"/>
      <protection hidden="1"/>
    </xf>
    <xf numFmtId="0" fontId="10" fillId="10" borderId="14" xfId="0" applyFont="1" applyFill="1" applyBorder="1" applyAlignment="1" applyProtection="1">
      <alignment horizontal="center"/>
      <protection locked="0"/>
    </xf>
    <xf numFmtId="0" fontId="3" fillId="0" borderId="0" xfId="0" applyFont="1" applyBorder="1" applyProtection="1">
      <protection locked="0"/>
    </xf>
    <xf numFmtId="0" fontId="3" fillId="0" borderId="0" xfId="0" applyFont="1" applyBorder="1" applyAlignment="1" applyProtection="1">
      <alignment horizontal="center" vertical="center"/>
      <protection locked="0"/>
    </xf>
    <xf numFmtId="0" fontId="7" fillId="0" borderId="0" xfId="0" applyFont="1" applyBorder="1" applyAlignment="1" applyProtection="1">
      <alignment vertical="center"/>
      <protection locked="0"/>
    </xf>
    <xf numFmtId="0" fontId="2" fillId="0" borderId="0" xfId="0" applyFont="1" applyBorder="1" applyAlignment="1" applyProtection="1">
      <alignment vertical="center"/>
      <protection locked="0"/>
    </xf>
    <xf numFmtId="0" fontId="4" fillId="0" borderId="0" xfId="0" applyFont="1" applyBorder="1" applyAlignment="1" applyProtection="1">
      <alignment horizontal="right"/>
      <protection hidden="1"/>
    </xf>
    <xf numFmtId="0" fontId="2" fillId="0" borderId="0" xfId="0" applyFont="1" applyBorder="1" applyProtection="1">
      <protection hidden="1"/>
    </xf>
    <xf numFmtId="0" fontId="29" fillId="0" borderId="7" xfId="0" applyFont="1" applyBorder="1" applyAlignment="1" applyProtection="1">
      <alignment horizontal="center"/>
      <protection hidden="1"/>
    </xf>
    <xf numFmtId="0" fontId="1" fillId="0" borderId="7" xfId="0" applyFont="1" applyBorder="1" applyAlignment="1" applyProtection="1">
      <alignment horizontal="center"/>
      <protection hidden="1"/>
    </xf>
    <xf numFmtId="0" fontId="4" fillId="0" borderId="0" xfId="0" applyFont="1" applyBorder="1" applyAlignment="1" applyProtection="1">
      <alignment horizontal="right" vertical="center"/>
      <protection hidden="1"/>
    </xf>
    <xf numFmtId="0" fontId="2" fillId="4" borderId="32" xfId="0" applyFont="1" applyFill="1" applyAlignment="1">
      <alignment horizontal="left"/>
    </xf>
    <xf numFmtId="0" fontId="6" fillId="5" borderId="26" xfId="0" applyFont="1" applyFill="1" applyBorder="1" applyAlignment="1">
      <alignment vertical="center"/>
    </xf>
    <xf numFmtId="0" fontId="6" fillId="5" borderId="27" xfId="0" applyFont="1" applyFill="1" applyBorder="1" applyAlignment="1">
      <alignment horizontal="center" vertical="center"/>
    </xf>
    <xf numFmtId="0" fontId="6" fillId="5" borderId="22" xfId="0" applyFont="1" applyFill="1" applyBorder="1" applyAlignment="1">
      <alignment vertical="center"/>
    </xf>
    <xf numFmtId="0" fontId="6" fillId="5" borderId="24" xfId="0" applyFont="1" applyFill="1" applyBorder="1" applyAlignment="1">
      <alignment horizontal="center" vertical="center"/>
    </xf>
    <xf numFmtId="0" fontId="2" fillId="8" borderId="13" xfId="0" applyFont="1" applyFill="1" applyBorder="1"/>
    <xf numFmtId="0" fontId="24" fillId="6" borderId="34" xfId="0" applyFont="1" applyFill="1" applyBorder="1" applyAlignment="1" applyProtection="1">
      <alignment horizontal="center" vertical="center"/>
      <protection hidden="1"/>
    </xf>
    <xf numFmtId="0" fontId="25" fillId="19" borderId="74" xfId="0" applyFont="1" applyFill="1" applyBorder="1" applyAlignment="1" applyProtection="1">
      <alignment horizontal="center" vertical="center"/>
      <protection hidden="1"/>
    </xf>
    <xf numFmtId="0" fontId="25" fillId="0" borderId="75" xfId="0" applyFont="1" applyBorder="1" applyAlignment="1" applyProtection="1">
      <alignment horizontal="center" vertical="center"/>
      <protection locked="0"/>
    </xf>
    <xf numFmtId="0" fontId="25" fillId="19" borderId="77" xfId="0" applyFont="1" applyFill="1" applyBorder="1" applyAlignment="1" applyProtection="1">
      <alignment horizontal="center" vertical="center"/>
      <protection hidden="1"/>
    </xf>
    <xf numFmtId="0" fontId="25" fillId="0" borderId="78" xfId="0" applyFont="1" applyBorder="1" applyAlignment="1" applyProtection="1">
      <alignment horizontal="center" vertical="center"/>
      <protection locked="0"/>
    </xf>
    <xf numFmtId="0" fontId="25" fillId="19" borderId="79" xfId="0" applyFont="1" applyFill="1" applyBorder="1" applyAlignment="1" applyProtection="1">
      <alignment horizontal="center" vertical="center"/>
      <protection hidden="1"/>
    </xf>
    <xf numFmtId="0" fontId="25" fillId="0" borderId="80" xfId="0" applyFont="1" applyBorder="1" applyAlignment="1" applyProtection="1">
      <alignment horizontal="center" vertical="center"/>
      <protection locked="0"/>
    </xf>
    <xf numFmtId="0" fontId="10" fillId="12" borderId="69" xfId="0" applyFont="1" applyFill="1" applyBorder="1" applyAlignment="1" applyProtection="1">
      <alignment horizontal="center"/>
      <protection locked="0"/>
    </xf>
    <xf numFmtId="0" fontId="10" fillId="12" borderId="70" xfId="0" applyFont="1" applyFill="1" applyBorder="1" applyAlignment="1" applyProtection="1">
      <alignment horizontal="center"/>
      <protection locked="0"/>
    </xf>
    <xf numFmtId="0" fontId="10" fillId="12" borderId="81" xfId="0" applyFont="1" applyFill="1" applyBorder="1" applyAlignment="1" applyProtection="1">
      <alignment horizontal="center"/>
      <protection locked="0"/>
    </xf>
    <xf numFmtId="0" fontId="10" fillId="12" borderId="71" xfId="0" applyFont="1" applyFill="1" applyBorder="1" applyAlignment="1" applyProtection="1">
      <alignment horizontal="center"/>
      <protection locked="0"/>
    </xf>
    <xf numFmtId="0" fontId="25" fillId="19" borderId="84" xfId="0" applyFont="1" applyFill="1" applyBorder="1" applyAlignment="1" applyProtection="1">
      <alignment horizontal="center" vertical="center"/>
      <protection hidden="1"/>
    </xf>
    <xf numFmtId="0" fontId="25" fillId="0" borderId="85" xfId="0" applyFont="1" applyBorder="1" applyAlignment="1" applyProtection="1">
      <alignment horizontal="center" vertical="center"/>
      <protection locked="0"/>
    </xf>
    <xf numFmtId="0" fontId="10" fillId="12" borderId="33" xfId="0" applyFont="1" applyFill="1" applyBorder="1" applyAlignment="1" applyProtection="1">
      <alignment horizontal="center"/>
      <protection locked="0"/>
    </xf>
    <xf numFmtId="0" fontId="25" fillId="19" borderId="86" xfId="0" applyFont="1" applyFill="1" applyBorder="1" applyAlignment="1" applyProtection="1">
      <alignment horizontal="center" vertical="center"/>
      <protection hidden="1"/>
    </xf>
    <xf numFmtId="0" fontId="25" fillId="0" borderId="87" xfId="0" applyFont="1" applyBorder="1" applyAlignment="1" applyProtection="1">
      <alignment horizontal="center" vertical="center"/>
      <protection locked="0"/>
    </xf>
    <xf numFmtId="0" fontId="27" fillId="0" borderId="88" xfId="0" applyFont="1" applyBorder="1" applyAlignment="1" applyProtection="1">
      <alignment horizontal="center" vertical="center"/>
      <protection locked="0"/>
    </xf>
    <xf numFmtId="0" fontId="27" fillId="0" borderId="89" xfId="0" applyFont="1" applyBorder="1" applyAlignment="1" applyProtection="1">
      <alignment horizontal="center" vertical="center"/>
      <protection locked="0"/>
    </xf>
    <xf numFmtId="0" fontId="27" fillId="0" borderId="90" xfId="0" applyFont="1" applyBorder="1" applyAlignment="1" applyProtection="1">
      <alignment horizontal="center" vertical="center"/>
      <protection locked="0"/>
    </xf>
    <xf numFmtId="0" fontId="27" fillId="0" borderId="91" xfId="0" applyFont="1" applyBorder="1" applyAlignment="1" applyProtection="1">
      <alignment horizontal="center" vertical="center"/>
      <protection locked="0"/>
    </xf>
    <xf numFmtId="0" fontId="27" fillId="0" borderId="92" xfId="0" applyFont="1" applyBorder="1" applyAlignment="1" applyProtection="1">
      <alignment horizontal="center" vertical="center"/>
      <protection locked="0"/>
    </xf>
    <xf numFmtId="0" fontId="27" fillId="0" borderId="93" xfId="0" applyFont="1" applyBorder="1" applyAlignment="1" applyProtection="1">
      <alignment horizontal="center" vertical="center"/>
      <protection locked="0"/>
    </xf>
    <xf numFmtId="0" fontId="27" fillId="0" borderId="94" xfId="0" applyFont="1" applyBorder="1" applyAlignment="1" applyProtection="1">
      <alignment horizontal="center" vertical="center"/>
      <protection locked="0"/>
    </xf>
    <xf numFmtId="0" fontId="27" fillId="0" borderId="95" xfId="0" applyFont="1" applyBorder="1" applyAlignment="1" applyProtection="1">
      <alignment horizontal="center" vertical="center"/>
      <protection locked="0"/>
    </xf>
    <xf numFmtId="0" fontId="27" fillId="0" borderId="96" xfId="0" applyFont="1" applyBorder="1" applyAlignment="1" applyProtection="1">
      <alignment horizontal="center" vertical="center"/>
      <protection locked="0"/>
    </xf>
    <xf numFmtId="0" fontId="33" fillId="19" borderId="32" xfId="0" applyFont="1" applyFill="1" applyAlignment="1" applyProtection="1">
      <alignment vertical="center"/>
      <protection hidden="1"/>
    </xf>
    <xf numFmtId="0" fontId="33" fillId="19" borderId="32" xfId="0" applyFont="1" applyFill="1" applyAlignment="1" applyProtection="1">
      <alignment horizontal="center" vertical="center"/>
      <protection hidden="1"/>
    </xf>
    <xf numFmtId="0" fontId="10" fillId="0" borderId="97" xfId="0" applyFont="1" applyBorder="1" applyAlignment="1" applyProtection="1">
      <alignment horizontal="center" vertical="center" wrapText="1"/>
      <protection hidden="1"/>
    </xf>
    <xf numFmtId="1" fontId="25" fillId="19" borderId="82" xfId="0" applyNumberFormat="1" applyFont="1" applyFill="1" applyBorder="1" applyAlignment="1" applyProtection="1">
      <alignment horizontal="center" vertical="center"/>
      <protection hidden="1"/>
    </xf>
    <xf numFmtId="1" fontId="25" fillId="19" borderId="83" xfId="0" applyNumberFormat="1" applyFont="1" applyFill="1" applyBorder="1" applyAlignment="1" applyProtection="1">
      <alignment horizontal="center" vertical="center"/>
      <protection hidden="1"/>
    </xf>
    <xf numFmtId="1" fontId="25" fillId="19" borderId="76" xfId="0" applyNumberFormat="1" applyFont="1" applyFill="1" applyBorder="1" applyAlignment="1" applyProtection="1">
      <alignment horizontal="center" vertical="center"/>
      <protection hidden="1"/>
    </xf>
    <xf numFmtId="0" fontId="8" fillId="5" borderId="27" xfId="0" applyFont="1" applyFill="1" applyBorder="1" applyAlignment="1">
      <alignment horizontal="left"/>
    </xf>
    <xf numFmtId="0" fontId="2" fillId="0" borderId="0" xfId="0" applyFont="1" applyBorder="1" applyProtection="1">
      <protection locked="0"/>
    </xf>
    <xf numFmtId="0" fontId="0" fillId="0" borderId="0" xfId="0" applyBorder="1" applyProtection="1">
      <protection locked="0"/>
    </xf>
    <xf numFmtId="0" fontId="2" fillId="0" borderId="0" xfId="0" applyFont="1" applyBorder="1"/>
    <xf numFmtId="0" fontId="0" fillId="0" borderId="0" xfId="0" applyBorder="1"/>
    <xf numFmtId="0" fontId="31" fillId="0" borderId="32" xfId="0" applyFont="1" applyAlignment="1">
      <alignment horizontal="center"/>
    </xf>
    <xf numFmtId="0" fontId="1" fillId="0" borderId="32" xfId="0" applyFont="1"/>
    <xf numFmtId="0" fontId="0" fillId="0" borderId="0" xfId="0" applyBorder="1" applyProtection="1">
      <protection locked="0"/>
    </xf>
    <xf numFmtId="0" fontId="28" fillId="7" borderId="82" xfId="0" applyFont="1" applyFill="1" applyBorder="1" applyAlignment="1" applyProtection="1">
      <alignment horizontal="center" vertical="center"/>
      <protection hidden="1"/>
    </xf>
    <xf numFmtId="0" fontId="28" fillId="7" borderId="83" xfId="0" applyFont="1" applyFill="1" applyBorder="1" applyAlignment="1" applyProtection="1">
      <alignment horizontal="center" vertical="center"/>
      <protection hidden="1"/>
    </xf>
    <xf numFmtId="0" fontId="28" fillId="7" borderId="76" xfId="0" applyFont="1" applyFill="1" applyBorder="1" applyAlignment="1" applyProtection="1">
      <alignment horizontal="center" vertical="center"/>
      <protection hidden="1"/>
    </xf>
    <xf numFmtId="0" fontId="28" fillId="7" borderId="113" xfId="0" applyFont="1" applyFill="1" applyBorder="1" applyAlignment="1" applyProtection="1">
      <alignment horizontal="center" vertical="center"/>
      <protection hidden="1"/>
    </xf>
    <xf numFmtId="0" fontId="28" fillId="7" borderId="114" xfId="0" applyFont="1" applyFill="1" applyBorder="1" applyAlignment="1" applyProtection="1">
      <alignment horizontal="center" vertical="center"/>
      <protection hidden="1"/>
    </xf>
    <xf numFmtId="0" fontId="28" fillId="7" borderId="115" xfId="0" applyFont="1" applyFill="1" applyBorder="1" applyAlignment="1" applyProtection="1">
      <alignment horizontal="center" vertical="center"/>
      <protection hidden="1"/>
    </xf>
    <xf numFmtId="0" fontId="28" fillId="7" borderId="116" xfId="0" applyFont="1" applyFill="1" applyBorder="1" applyAlignment="1" applyProtection="1">
      <alignment horizontal="center" vertical="center"/>
      <protection hidden="1"/>
    </xf>
    <xf numFmtId="0" fontId="28" fillId="7" borderId="117" xfId="0" applyFont="1" applyFill="1" applyBorder="1" applyAlignment="1" applyProtection="1">
      <alignment horizontal="center" vertical="center"/>
      <protection hidden="1"/>
    </xf>
    <xf numFmtId="0" fontId="28" fillId="7" borderId="118" xfId="0" applyFont="1" applyFill="1" applyBorder="1" applyAlignment="1" applyProtection="1">
      <alignment horizontal="center" vertical="center"/>
      <protection hidden="1"/>
    </xf>
    <xf numFmtId="2" fontId="28" fillId="5" borderId="82" xfId="0" applyNumberFormat="1" applyFont="1" applyFill="1" applyBorder="1" applyAlignment="1" applyProtection="1">
      <alignment horizontal="center" vertical="center"/>
      <protection hidden="1"/>
    </xf>
    <xf numFmtId="2" fontId="28" fillId="5" borderId="83" xfId="0" applyNumberFormat="1" applyFont="1" applyFill="1" applyBorder="1" applyAlignment="1" applyProtection="1">
      <alignment horizontal="center" vertical="center"/>
      <protection hidden="1"/>
    </xf>
    <xf numFmtId="2" fontId="28" fillId="5" borderId="76" xfId="0" applyNumberFormat="1" applyFont="1" applyFill="1" applyBorder="1" applyAlignment="1" applyProtection="1">
      <alignment horizontal="center" vertical="center"/>
      <protection hidden="1"/>
    </xf>
    <xf numFmtId="0" fontId="25" fillId="0" borderId="113" xfId="0" applyFont="1" applyBorder="1" applyAlignment="1" applyProtection="1">
      <alignment horizontal="center" vertical="center"/>
      <protection hidden="1"/>
    </xf>
    <xf numFmtId="0" fontId="25" fillId="0" borderId="114" xfId="0" applyFont="1" applyBorder="1" applyAlignment="1" applyProtection="1">
      <alignment horizontal="center" vertical="center"/>
      <protection hidden="1"/>
    </xf>
    <xf numFmtId="0" fontId="25" fillId="0" borderId="115" xfId="0" applyFont="1" applyBorder="1" applyAlignment="1" applyProtection="1">
      <alignment horizontal="center" vertical="center"/>
      <protection hidden="1"/>
    </xf>
    <xf numFmtId="1" fontId="25" fillId="0" borderId="82" xfId="0" applyNumberFormat="1" applyFont="1" applyBorder="1" applyAlignment="1" applyProtection="1">
      <alignment horizontal="center" vertical="center"/>
      <protection hidden="1"/>
    </xf>
    <xf numFmtId="1" fontId="25" fillId="0" borderId="83" xfId="0" applyNumberFormat="1" applyFont="1" applyBorder="1" applyAlignment="1" applyProtection="1">
      <alignment horizontal="center" vertical="center"/>
      <protection hidden="1"/>
    </xf>
    <xf numFmtId="1" fontId="25" fillId="0" borderId="76" xfId="0" applyNumberFormat="1" applyFont="1" applyBorder="1" applyAlignment="1" applyProtection="1">
      <alignment horizontal="center" vertical="center"/>
      <protection hidden="1"/>
    </xf>
    <xf numFmtId="0" fontId="2" fillId="19" borderId="117" xfId="0" applyFont="1" applyFill="1" applyBorder="1" applyAlignment="1" applyProtection="1">
      <alignment horizontal="center" vertical="center"/>
      <protection hidden="1"/>
    </xf>
    <xf numFmtId="0" fontId="2" fillId="19" borderId="118" xfId="0" applyFont="1" applyFill="1" applyBorder="1" applyAlignment="1" applyProtection="1">
      <alignment horizontal="center" vertical="center"/>
      <protection hidden="1"/>
    </xf>
    <xf numFmtId="0" fontId="2" fillId="19" borderId="116" xfId="0" applyFont="1" applyFill="1" applyBorder="1" applyAlignment="1" applyProtection="1">
      <alignment horizontal="center" vertical="center"/>
      <protection hidden="1"/>
    </xf>
    <xf numFmtId="0" fontId="2" fillId="19" borderId="119" xfId="0" applyFont="1" applyFill="1" applyBorder="1" applyAlignment="1" applyProtection="1">
      <alignment horizontal="center" vertical="center"/>
      <protection hidden="1"/>
    </xf>
    <xf numFmtId="0" fontId="2" fillId="19" borderId="120" xfId="0" applyFont="1" applyFill="1" applyBorder="1" applyAlignment="1" applyProtection="1">
      <alignment horizontal="center" vertical="center"/>
      <protection hidden="1"/>
    </xf>
    <xf numFmtId="0" fontId="2" fillId="19" borderId="121" xfId="0" applyFont="1" applyFill="1" applyBorder="1" applyAlignment="1" applyProtection="1">
      <alignment horizontal="center" vertical="center"/>
      <protection hidden="1"/>
    </xf>
    <xf numFmtId="0" fontId="2" fillId="19" borderId="82" xfId="0" applyFont="1" applyFill="1" applyBorder="1" applyAlignment="1" applyProtection="1">
      <alignment horizontal="center" vertical="center"/>
      <protection hidden="1"/>
    </xf>
    <xf numFmtId="0" fontId="2" fillId="19" borderId="83" xfId="0" applyFont="1" applyFill="1" applyBorder="1" applyAlignment="1" applyProtection="1">
      <alignment horizontal="center" vertical="center"/>
      <protection hidden="1"/>
    </xf>
    <xf numFmtId="0" fontId="2" fillId="19" borderId="76" xfId="0" applyFont="1" applyFill="1" applyBorder="1" applyAlignment="1" applyProtection="1">
      <alignment horizontal="center" vertical="center"/>
      <protection hidden="1"/>
    </xf>
    <xf numFmtId="1" fontId="25" fillId="19" borderId="113" xfId="0" applyNumberFormat="1" applyFont="1" applyFill="1" applyBorder="1" applyAlignment="1" applyProtection="1">
      <alignment horizontal="center" vertical="center"/>
      <protection hidden="1"/>
    </xf>
    <xf numFmtId="1" fontId="25" fillId="19" borderId="114" xfId="0" applyNumberFormat="1" applyFont="1" applyFill="1" applyBorder="1" applyAlignment="1" applyProtection="1">
      <alignment horizontal="center" vertical="center"/>
      <protection hidden="1"/>
    </xf>
    <xf numFmtId="1" fontId="25" fillId="19" borderId="115" xfId="0" applyNumberFormat="1" applyFont="1" applyFill="1" applyBorder="1" applyAlignment="1" applyProtection="1">
      <alignment horizontal="center" vertical="center"/>
      <protection hidden="1"/>
    </xf>
    <xf numFmtId="0" fontId="2" fillId="19" borderId="113" xfId="0" applyFont="1" applyFill="1" applyBorder="1" applyAlignment="1" applyProtection="1">
      <alignment horizontal="center" vertical="center"/>
      <protection hidden="1"/>
    </xf>
    <xf numFmtId="0" fontId="2" fillId="19" borderId="114" xfId="0" applyFont="1" applyFill="1" applyBorder="1" applyAlignment="1" applyProtection="1">
      <alignment horizontal="center" vertical="center"/>
      <protection hidden="1"/>
    </xf>
    <xf numFmtId="0" fontId="2" fillId="19" borderId="115" xfId="0" applyFont="1" applyFill="1" applyBorder="1" applyAlignment="1" applyProtection="1">
      <alignment horizontal="center" vertical="center"/>
      <protection hidden="1"/>
    </xf>
    <xf numFmtId="0" fontId="24" fillId="0" borderId="19" xfId="0" applyFont="1" applyBorder="1" applyAlignment="1" applyProtection="1">
      <alignment horizontal="center" vertical="center"/>
      <protection locked="0"/>
    </xf>
    <xf numFmtId="0" fontId="24" fillId="0" borderId="21" xfId="0" applyFont="1" applyBorder="1" applyAlignment="1" applyProtection="1">
      <alignment horizontal="center" vertical="center"/>
      <protection locked="0"/>
    </xf>
    <xf numFmtId="0" fontId="24" fillId="0" borderId="23" xfId="0" applyFont="1" applyBorder="1" applyAlignment="1" applyProtection="1">
      <alignment horizontal="center" vertical="center"/>
      <protection locked="0"/>
    </xf>
    <xf numFmtId="0" fontId="4" fillId="22" borderId="108" xfId="0" applyFont="1" applyFill="1" applyBorder="1" applyAlignment="1">
      <alignment horizontal="center" vertical="center"/>
    </xf>
    <xf numFmtId="0" fontId="4" fillId="22" borderId="109" xfId="0" applyFont="1" applyFill="1" applyBorder="1" applyAlignment="1">
      <alignment horizontal="center" vertical="center"/>
    </xf>
    <xf numFmtId="0" fontId="4" fillId="22" borderId="110" xfId="0" applyFont="1" applyFill="1" applyBorder="1" applyAlignment="1">
      <alignment horizontal="center" vertical="center"/>
    </xf>
    <xf numFmtId="0" fontId="4" fillId="22" borderId="111" xfId="0" applyFont="1" applyFill="1" applyBorder="1" applyAlignment="1">
      <alignment horizontal="center" vertical="center"/>
    </xf>
    <xf numFmtId="0" fontId="4" fillId="22" borderId="32" xfId="0" applyFont="1" applyFill="1" applyAlignment="1">
      <alignment horizontal="center" vertical="center"/>
    </xf>
    <xf numFmtId="0" fontId="4" fillId="22" borderId="112" xfId="0" applyFont="1" applyFill="1" applyBorder="1" applyAlignment="1">
      <alignment horizontal="center" vertical="center"/>
    </xf>
    <xf numFmtId="0" fontId="4" fillId="22" borderId="45" xfId="0" applyFont="1" applyFill="1" applyBorder="1" applyAlignment="1">
      <alignment horizontal="center" vertical="center"/>
    </xf>
    <xf numFmtId="0" fontId="4" fillId="22" borderId="47" xfId="0" applyFont="1" applyFill="1" applyBorder="1" applyAlignment="1">
      <alignment horizontal="center" vertical="center"/>
    </xf>
    <xf numFmtId="0" fontId="4" fillId="22" borderId="48" xfId="0" applyFont="1" applyFill="1" applyBorder="1" applyAlignment="1">
      <alignment horizontal="center" vertical="center"/>
    </xf>
    <xf numFmtId="0" fontId="12" fillId="8" borderId="32" xfId="0" applyFont="1" applyFill="1" applyAlignment="1">
      <alignment horizontal="left" vertical="center" wrapText="1"/>
    </xf>
    <xf numFmtId="0" fontId="0" fillId="0" borderId="0" xfId="0" applyBorder="1"/>
    <xf numFmtId="0" fontId="8" fillId="5" borderId="5" xfId="0" applyFont="1" applyFill="1" applyBorder="1" applyAlignment="1">
      <alignment horizontal="left"/>
    </xf>
    <xf numFmtId="0" fontId="0" fillId="0" borderId="5" xfId="0" applyBorder="1"/>
    <xf numFmtId="0" fontId="8" fillId="21" borderId="5" xfId="0" applyFont="1" applyFill="1" applyBorder="1" applyAlignment="1">
      <alignment horizontal="left"/>
    </xf>
    <xf numFmtId="0" fontId="32" fillId="2" borderId="32" xfId="0" applyFont="1" applyFill="1" applyAlignment="1">
      <alignment horizontal="center" vertical="center"/>
    </xf>
    <xf numFmtId="0" fontId="5" fillId="3" borderId="6" xfId="0" applyFont="1" applyFill="1" applyBorder="1" applyAlignment="1">
      <alignment horizontal="center"/>
    </xf>
    <xf numFmtId="0" fontId="8" fillId="5" borderId="9" xfId="0" applyFont="1" applyFill="1" applyBorder="1" applyAlignment="1">
      <alignment horizontal="left" vertical="center"/>
    </xf>
    <xf numFmtId="0" fontId="0" fillId="0" borderId="9" xfId="0" applyBorder="1"/>
    <xf numFmtId="0" fontId="5" fillId="3" borderId="10" xfId="0" applyFont="1" applyFill="1" applyBorder="1" applyAlignment="1">
      <alignment horizontal="center" vertical="center"/>
    </xf>
    <xf numFmtId="0" fontId="0" fillId="0" borderId="1" xfId="0" applyBorder="1"/>
    <xf numFmtId="0" fontId="0" fillId="0" borderId="2" xfId="0" applyBorder="1"/>
    <xf numFmtId="0" fontId="0" fillId="0" borderId="20" xfId="0" applyBorder="1"/>
    <xf numFmtId="0" fontId="0" fillId="0" borderId="8" xfId="0" applyBorder="1"/>
    <xf numFmtId="0" fontId="29" fillId="19" borderId="100" xfId="0" applyFont="1" applyFill="1" applyBorder="1" applyAlignment="1" applyProtection="1">
      <alignment horizontal="center"/>
      <protection hidden="1"/>
    </xf>
    <xf numFmtId="0" fontId="0" fillId="0" borderId="7" xfId="0" applyBorder="1" applyProtection="1">
      <protection hidden="1"/>
    </xf>
    <xf numFmtId="0" fontId="0" fillId="0" borderId="4" xfId="0" applyBorder="1" applyProtection="1">
      <protection hidden="1"/>
    </xf>
    <xf numFmtId="0" fontId="8" fillId="19" borderId="31" xfId="0" applyFont="1" applyFill="1" applyBorder="1" applyAlignment="1" applyProtection="1">
      <alignment horizontal="left" vertical="center"/>
      <protection hidden="1"/>
    </xf>
    <xf numFmtId="0" fontId="0" fillId="0" borderId="31" xfId="0" applyBorder="1" applyProtection="1">
      <protection hidden="1"/>
    </xf>
    <xf numFmtId="0" fontId="10" fillId="19" borderId="100" xfId="0" applyFont="1" applyFill="1" applyBorder="1" applyAlignment="1" applyProtection="1">
      <alignment horizontal="center" vertical="center" wrapText="1"/>
      <protection hidden="1"/>
    </xf>
    <xf numFmtId="0" fontId="0" fillId="0" borderId="12" xfId="0" applyBorder="1" applyProtection="1">
      <protection hidden="1"/>
    </xf>
    <xf numFmtId="0" fontId="0" fillId="0" borderId="29" xfId="0" applyBorder="1" applyProtection="1">
      <protection hidden="1"/>
    </xf>
    <xf numFmtId="0" fontId="8" fillId="19" borderId="26" xfId="0" applyFont="1" applyFill="1" applyBorder="1" applyAlignment="1" applyProtection="1">
      <alignment horizontal="left"/>
      <protection hidden="1"/>
    </xf>
    <xf numFmtId="0" fontId="0" fillId="0" borderId="27" xfId="0" applyBorder="1" applyProtection="1">
      <protection hidden="1"/>
    </xf>
    <xf numFmtId="0" fontId="8" fillId="19" borderId="31" xfId="0" applyFont="1" applyFill="1" applyBorder="1" applyProtection="1">
      <protection hidden="1"/>
    </xf>
    <xf numFmtId="0" fontId="0" fillId="0" borderId="1" xfId="0" applyBorder="1" applyProtection="1">
      <protection hidden="1"/>
    </xf>
    <xf numFmtId="0" fontId="0" fillId="0" borderId="2" xfId="0" applyBorder="1" applyProtection="1">
      <protection hidden="1"/>
    </xf>
    <xf numFmtId="0" fontId="0" fillId="0" borderId="11" xfId="0" applyBorder="1" applyProtection="1">
      <protection hidden="1"/>
    </xf>
    <xf numFmtId="0" fontId="0" fillId="0" borderId="13" xfId="0" applyBorder="1" applyProtection="1">
      <protection hidden="1"/>
    </xf>
    <xf numFmtId="0" fontId="0" fillId="0" borderId="15" xfId="0" applyBorder="1" applyProtection="1">
      <protection hidden="1"/>
    </xf>
    <xf numFmtId="0" fontId="22" fillId="16" borderId="102" xfId="0" applyFont="1" applyFill="1" applyBorder="1" applyAlignment="1" applyProtection="1">
      <alignment horizontal="center"/>
      <protection locked="0"/>
    </xf>
    <xf numFmtId="0" fontId="0" fillId="0" borderId="50" xfId="0" applyBorder="1" applyProtection="1">
      <protection locked="0"/>
    </xf>
    <xf numFmtId="0" fontId="0" fillId="0" borderId="51" xfId="0" applyBorder="1" applyProtection="1">
      <protection locked="0"/>
    </xf>
    <xf numFmtId="0" fontId="9" fillId="19" borderId="12" xfId="0" applyFont="1" applyFill="1" applyBorder="1" applyAlignment="1" applyProtection="1">
      <alignment horizontal="center" vertical="center"/>
      <protection hidden="1"/>
    </xf>
    <xf numFmtId="0" fontId="0" fillId="0" borderId="0" xfId="0" applyBorder="1" applyProtection="1">
      <protection hidden="1"/>
    </xf>
    <xf numFmtId="0" fontId="0" fillId="0" borderId="8" xfId="0" applyBorder="1" applyProtection="1">
      <protection hidden="1"/>
    </xf>
    <xf numFmtId="0" fontId="0" fillId="0" borderId="20" xfId="0" applyBorder="1" applyProtection="1">
      <protection hidden="1"/>
    </xf>
    <xf numFmtId="0" fontId="8" fillId="20" borderId="29" xfId="0" applyFont="1" applyFill="1" applyBorder="1" applyAlignment="1" applyProtection="1">
      <alignment horizontal="center" vertical="center"/>
      <protection hidden="1"/>
    </xf>
    <xf numFmtId="0" fontId="26" fillId="0" borderId="32" xfId="0" applyFont="1" applyAlignment="1" applyProtection="1">
      <alignment horizontal="center"/>
      <protection locked="0"/>
    </xf>
    <xf numFmtId="0" fontId="0" fillId="0" borderId="0" xfId="0" applyBorder="1" applyProtection="1">
      <protection locked="0"/>
    </xf>
    <xf numFmtId="0" fontId="8" fillId="20" borderId="100" xfId="0" applyFont="1" applyFill="1" applyBorder="1" applyAlignment="1" applyProtection="1">
      <alignment horizontal="center" vertical="center"/>
      <protection hidden="1"/>
    </xf>
    <xf numFmtId="0" fontId="10" fillId="19" borderId="11" xfId="0" applyFont="1" applyFill="1" applyBorder="1" applyAlignment="1" applyProtection="1">
      <alignment horizontal="center" vertical="center"/>
      <protection hidden="1"/>
    </xf>
    <xf numFmtId="0" fontId="8" fillId="19" borderId="72" xfId="0" applyFont="1" applyFill="1" applyBorder="1" applyAlignment="1" applyProtection="1">
      <alignment horizontal="left"/>
      <protection hidden="1"/>
    </xf>
    <xf numFmtId="0" fontId="0" fillId="0" borderId="101" xfId="0" applyBorder="1" applyProtection="1">
      <protection hidden="1"/>
    </xf>
    <xf numFmtId="0" fontId="11" fillId="19" borderId="100" xfId="0" applyFont="1" applyFill="1" applyBorder="1" applyAlignment="1" applyProtection="1">
      <alignment horizontal="right"/>
      <protection hidden="1"/>
    </xf>
    <xf numFmtId="0" fontId="5" fillId="17" borderId="100" xfId="0" applyFont="1" applyFill="1" applyBorder="1" applyProtection="1">
      <protection locked="0"/>
    </xf>
    <xf numFmtId="0" fontId="0" fillId="0" borderId="7" xfId="0" applyBorder="1" applyProtection="1">
      <protection locked="0"/>
    </xf>
    <xf numFmtId="0" fontId="0" fillId="0" borderId="4" xfId="0" applyBorder="1" applyProtection="1">
      <protection locked="0"/>
    </xf>
    <xf numFmtId="0" fontId="10" fillId="0" borderId="29" xfId="0" applyFont="1" applyBorder="1" applyAlignment="1" applyProtection="1">
      <alignment vertical="center"/>
      <protection hidden="1"/>
    </xf>
    <xf numFmtId="0" fontId="8" fillId="19" borderId="73" xfId="0" applyFont="1" applyFill="1" applyBorder="1" applyAlignment="1" applyProtection="1">
      <alignment horizontal="left"/>
      <protection hidden="1"/>
    </xf>
    <xf numFmtId="0" fontId="0" fillId="0" borderId="73" xfId="0" applyBorder="1" applyProtection="1">
      <protection hidden="1"/>
    </xf>
    <xf numFmtId="0" fontId="10" fillId="19" borderId="100" xfId="0" applyFont="1" applyFill="1" applyBorder="1" applyAlignment="1" applyProtection="1">
      <alignment horizontal="center" vertical="center"/>
      <protection hidden="1"/>
    </xf>
    <xf numFmtId="0" fontId="2" fillId="0" borderId="32" xfId="0" applyFont="1" applyProtection="1">
      <protection locked="0"/>
    </xf>
    <xf numFmtId="0" fontId="10" fillId="0" borderId="100" xfId="0" applyFont="1" applyBorder="1" applyAlignment="1" applyProtection="1">
      <alignment vertical="center"/>
      <protection hidden="1"/>
    </xf>
    <xf numFmtId="0" fontId="5" fillId="9" borderId="100" xfId="0" applyFont="1" applyFill="1" applyBorder="1" applyProtection="1">
      <protection locked="0"/>
    </xf>
    <xf numFmtId="0" fontId="0" fillId="0" borderId="1" xfId="0" applyBorder="1" applyProtection="1">
      <protection locked="0"/>
    </xf>
    <xf numFmtId="0" fontId="0" fillId="0" borderId="2" xfId="0" applyBorder="1" applyProtection="1">
      <protection locked="0"/>
    </xf>
    <xf numFmtId="0" fontId="10" fillId="19" borderId="29" xfId="0" applyFont="1" applyFill="1" applyBorder="1" applyAlignment="1" applyProtection="1">
      <alignment horizontal="center" vertical="center"/>
      <protection hidden="1"/>
    </xf>
    <xf numFmtId="0" fontId="5" fillId="9" borderId="10" xfId="0" applyFont="1" applyFill="1" applyBorder="1" applyProtection="1">
      <protection locked="0"/>
    </xf>
    <xf numFmtId="0" fontId="0" fillId="0" borderId="32" xfId="0" applyBorder="1" applyProtection="1">
      <protection locked="0"/>
    </xf>
    <xf numFmtId="0" fontId="0" fillId="0" borderId="8" xfId="0" applyBorder="1" applyProtection="1">
      <protection locked="0"/>
    </xf>
    <xf numFmtId="0" fontId="8" fillId="19" borderId="100" xfId="0" applyFont="1" applyFill="1" applyBorder="1" applyAlignment="1" applyProtection="1">
      <alignment horizontal="center" vertical="center"/>
      <protection hidden="1"/>
    </xf>
    <xf numFmtId="0" fontId="8" fillId="19" borderId="31" xfId="0" applyFont="1" applyFill="1" applyBorder="1" applyAlignment="1" applyProtection="1">
      <alignment vertical="center"/>
      <protection hidden="1"/>
    </xf>
    <xf numFmtId="0" fontId="10" fillId="0" borderId="3" xfId="0" applyFont="1" applyBorder="1" applyAlignment="1" applyProtection="1">
      <alignment horizontal="center" vertical="center"/>
      <protection hidden="1"/>
    </xf>
    <xf numFmtId="0" fontId="10" fillId="0" borderId="104" xfId="0" applyFont="1" applyBorder="1" applyAlignment="1" applyProtection="1">
      <alignment horizontal="center" vertical="center"/>
      <protection hidden="1"/>
    </xf>
    <xf numFmtId="0" fontId="0" fillId="0" borderId="50" xfId="0" applyBorder="1" applyProtection="1">
      <protection hidden="1"/>
    </xf>
    <xf numFmtId="0" fontId="0" fillId="0" borderId="105" xfId="0" applyBorder="1" applyProtection="1">
      <protection hidden="1"/>
    </xf>
    <xf numFmtId="0" fontId="8" fillId="19" borderId="102" xfId="0" applyFont="1" applyFill="1" applyBorder="1" applyAlignment="1" applyProtection="1">
      <alignment horizontal="center" vertical="center"/>
      <protection hidden="1"/>
    </xf>
    <xf numFmtId="0" fontId="0" fillId="0" borderId="51" xfId="0" applyBorder="1" applyProtection="1">
      <protection hidden="1"/>
    </xf>
    <xf numFmtId="0" fontId="10" fillId="0" borderId="102" xfId="0" applyFont="1" applyBorder="1" applyAlignment="1" applyProtection="1">
      <alignment horizontal="center" vertical="center"/>
      <protection hidden="1"/>
    </xf>
    <xf numFmtId="0" fontId="8" fillId="19" borderId="4" xfId="0" applyFont="1" applyFill="1" applyBorder="1" applyAlignment="1" applyProtection="1">
      <alignment horizontal="center" vertical="center"/>
      <protection hidden="1"/>
    </xf>
    <xf numFmtId="0" fontId="10" fillId="0" borderId="98" xfId="0" applyFont="1" applyBorder="1" applyAlignment="1" applyProtection="1">
      <alignment horizontal="center" vertical="center"/>
      <protection hidden="1"/>
    </xf>
    <xf numFmtId="0" fontId="0" fillId="0" borderId="99" xfId="0" applyBorder="1" applyProtection="1">
      <protection hidden="1"/>
    </xf>
    <xf numFmtId="0" fontId="2" fillId="0" borderId="32" xfId="0" applyFont="1"/>
    <xf numFmtId="0" fontId="8" fillId="19" borderId="23" xfId="0" applyFont="1" applyFill="1" applyBorder="1" applyAlignment="1" applyProtection="1">
      <alignment vertical="center"/>
      <protection hidden="1"/>
    </xf>
    <xf numFmtId="0" fontId="0" fillId="0" borderId="49" xfId="0" applyBorder="1" applyProtection="1">
      <protection hidden="1"/>
    </xf>
    <xf numFmtId="0" fontId="31" fillId="0" borderId="32" xfId="0" applyFont="1" applyAlignment="1">
      <alignment horizontal="center"/>
    </xf>
    <xf numFmtId="0" fontId="4" fillId="0" borderId="103" xfId="0" applyFont="1" applyBorder="1" applyAlignment="1" applyProtection="1">
      <alignment horizontal="right" vertical="center"/>
      <protection hidden="1"/>
    </xf>
    <xf numFmtId="0" fontId="5" fillId="11" borderId="100" xfId="0" applyFont="1" applyFill="1" applyBorder="1"/>
    <xf numFmtId="0" fontId="0" fillId="0" borderId="7" xfId="0" applyBorder="1"/>
    <xf numFmtId="0" fontId="0" fillId="0" borderId="4" xfId="0" applyBorder="1"/>
    <xf numFmtId="0" fontId="23" fillId="18" borderId="13" xfId="0" applyFont="1" applyFill="1" applyBorder="1" applyAlignment="1">
      <alignment horizontal="center"/>
    </xf>
    <xf numFmtId="0" fontId="0" fillId="0" borderId="13" xfId="0" applyBorder="1"/>
    <xf numFmtId="0" fontId="10" fillId="0" borderId="29" xfId="0" applyFont="1" applyBorder="1" applyAlignment="1" applyProtection="1">
      <alignment horizontal="center" vertical="center"/>
      <protection hidden="1"/>
    </xf>
    <xf numFmtId="0" fontId="8" fillId="19" borderId="32" xfId="0" applyFont="1" applyFill="1" applyAlignment="1" applyProtection="1">
      <alignment vertical="center"/>
      <protection hidden="1"/>
    </xf>
    <xf numFmtId="0" fontId="5" fillId="11" borderId="102" xfId="0" applyFont="1" applyFill="1" applyBorder="1" applyProtection="1">
      <protection locked="0"/>
    </xf>
    <xf numFmtId="0" fontId="0" fillId="0" borderId="109" xfId="0" applyBorder="1" applyProtection="1">
      <protection locked="0"/>
    </xf>
    <xf numFmtId="0" fontId="30" fillId="0" borderId="32" xfId="0" applyFont="1" applyAlignment="1">
      <alignment horizontal="center"/>
    </xf>
    <xf numFmtId="0" fontId="8" fillId="20" borderId="102" xfId="0" applyFont="1" applyFill="1" applyBorder="1" applyAlignment="1" applyProtection="1">
      <alignment horizontal="center" vertical="center"/>
      <protection hidden="1"/>
    </xf>
    <xf numFmtId="0" fontId="8" fillId="19" borderId="29" xfId="0" applyFont="1" applyFill="1" applyBorder="1" applyAlignment="1" applyProtection="1">
      <alignment horizontal="center" vertical="center"/>
      <protection hidden="1"/>
    </xf>
    <xf numFmtId="0" fontId="10" fillId="0" borderId="15" xfId="0" applyFont="1" applyBorder="1" applyAlignment="1" applyProtection="1">
      <alignment horizontal="center" vertical="center"/>
      <protection hidden="1"/>
    </xf>
    <xf numFmtId="0" fontId="17" fillId="0" borderId="107" xfId="0" applyFont="1" applyBorder="1" applyAlignment="1">
      <alignment horizontal="center" vertical="center" wrapText="1"/>
    </xf>
    <xf numFmtId="0" fontId="0" fillId="0" borderId="39" xfId="0" applyBorder="1"/>
    <xf numFmtId="0" fontId="0" fillId="0" borderId="43" xfId="0" applyBorder="1"/>
    <xf numFmtId="0" fontId="17" fillId="0" borderId="106" xfId="0" applyFont="1" applyBorder="1" applyAlignment="1">
      <alignment horizontal="center" vertical="center" wrapText="1"/>
    </xf>
    <xf numFmtId="0" fontId="0" fillId="0" borderId="40" xfId="0" applyBorder="1"/>
    <xf numFmtId="0" fontId="18" fillId="13" borderId="32" xfId="0" applyFont="1" applyFill="1" applyAlignment="1">
      <alignment horizontal="center"/>
    </xf>
    <xf numFmtId="0" fontId="17" fillId="0" borderId="40" xfId="0" applyFont="1" applyBorder="1" applyAlignment="1">
      <alignment horizontal="center" vertical="center" wrapText="1"/>
    </xf>
    <xf numFmtId="0" fontId="18" fillId="14" borderId="10"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1224915</xdr:colOff>
      <xdr:row>0</xdr:row>
      <xdr:rowOff>0</xdr:rowOff>
    </xdr:from>
    <xdr:ext cx="1885950" cy="962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10803255" y="0"/>
          <a:ext cx="1885950" cy="962025"/>
        </a:xfrm>
        <a:prstGeom prst="rect">
          <a:avLst/>
        </a:prstGeom>
        <a:noFill/>
        <a:ln>
          <a:prstDash val="solid"/>
        </a:ln>
      </xdr:spPr>
    </xdr:pic>
    <xdr:clientData fLocksWithSheet="0"/>
  </xdr:oneCellAnchor>
  <xdr:oneCellAnchor>
    <xdr:from>
      <xdr:col>0</xdr:col>
      <xdr:colOff>152400</xdr:colOff>
      <xdr:row>0</xdr:row>
      <xdr:rowOff>0</xdr:rowOff>
    </xdr:from>
    <xdr:ext cx="1000125" cy="962025"/>
    <xdr:pic>
      <xdr:nvPicPr>
        <xdr:cNvPr id="3" name="image4.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a:ln>
          <a:prstDash val="solid"/>
        </a:ln>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xfrm>
          <a:off x="11805285" y="283845"/>
          <a:ext cx="1624641" cy="821055"/>
        </a:xfrm>
        <a:prstGeom prst="rect">
          <a:avLst/>
        </a:prstGeom>
        <a:noFill/>
        <a:ln>
          <a:prstDash val="solid"/>
        </a:ln>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163B11B1-1B43-46E4-9351-5429349A45CC}"/>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A0EE4F67-7512-4697-BF96-6DF6EB088AFA}"/>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a:ln>
          <a:prstDash val="solid"/>
        </a:ln>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283540F3-DD6E-4CAC-B41F-B16C5DCD1EA6}"/>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33A73C17-E133-478B-8BA4-F832D7AA9867}"/>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a:ln>
          <a:prstDash val="solid"/>
        </a:ln>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931759F0-DADD-46F9-909C-E9475C1090F8}"/>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C5B8F25F-936D-4E61-A69D-67B5FA071B4A}"/>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a:ln>
          <a:prstDash val="solid"/>
        </a:ln>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B8E27CD7-41D5-4882-9D5E-C795552B13FF}"/>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DB09E912-8DDE-48AC-AD2C-0A497D2BCE1D}"/>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a:ln>
          <a:prstDash val="solid"/>
        </a:ln>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xdr:col>
      <xdr:colOff>259080</xdr:colOff>
      <xdr:row>0</xdr:row>
      <xdr:rowOff>144780</xdr:rowOff>
    </xdr:from>
    <xdr:ext cx="1074420" cy="1074420"/>
    <xdr:pic>
      <xdr:nvPicPr>
        <xdr:cNvPr id="2" name="image5.png" title="Image">
          <a:extLst>
            <a:ext uri="{FF2B5EF4-FFF2-40B4-BE49-F238E27FC236}">
              <a16:creationId xmlns:a16="http://schemas.microsoft.com/office/drawing/2014/main" id="{BF2AB18D-17A3-4B11-9700-3A4D45FED554}"/>
            </a:ext>
          </a:extLst>
        </xdr:cNvPr>
        <xdr:cNvPicPr preferRelativeResize="0"/>
      </xdr:nvPicPr>
      <xdr:blipFill>
        <a:blip xmlns:r="http://schemas.openxmlformats.org/officeDocument/2006/relationships" r:embed="rId1" cstate="print"/>
        <a:stretch>
          <a:fillRect/>
        </a:stretch>
      </xdr:blipFill>
      <xdr:spPr>
        <a:xfrm>
          <a:off x="525780" y="144780"/>
          <a:ext cx="1074420" cy="1074420"/>
        </a:xfrm>
        <a:prstGeom prst="rect">
          <a:avLst/>
        </a:prstGeom>
        <a:noFill/>
        <a:ln>
          <a:prstDash val="solid"/>
        </a:ln>
      </xdr:spPr>
    </xdr:pic>
    <xdr:clientData fLocksWithSheet="0"/>
  </xdr:oneCellAnchor>
  <xdr:oneCellAnchor>
    <xdr:from>
      <xdr:col>28</xdr:col>
      <xdr:colOff>40005</xdr:colOff>
      <xdr:row>1</xdr:row>
      <xdr:rowOff>85725</xdr:rowOff>
    </xdr:from>
    <xdr:ext cx="1624641" cy="821055"/>
    <xdr:pic>
      <xdr:nvPicPr>
        <xdr:cNvPr id="3" name="image1.png" title="Image">
          <a:extLst>
            <a:ext uri="{FF2B5EF4-FFF2-40B4-BE49-F238E27FC236}">
              <a16:creationId xmlns:a16="http://schemas.microsoft.com/office/drawing/2014/main" id="{85998C27-70E9-45F5-B6DC-AA16CBBD3E20}"/>
            </a:ext>
          </a:extLst>
        </xdr:cNvPr>
        <xdr:cNvPicPr preferRelativeResize="0"/>
      </xdr:nvPicPr>
      <xdr:blipFill>
        <a:blip xmlns:r="http://schemas.openxmlformats.org/officeDocument/2006/relationships" r:embed="rId2" cstate="print"/>
        <a:stretch>
          <a:fillRect/>
        </a:stretch>
      </xdr:blipFill>
      <xdr:spPr>
        <a:xfrm>
          <a:off x="11751945" y="283845"/>
          <a:ext cx="1624641" cy="821055"/>
        </a:xfrm>
        <a:prstGeom prst="rect">
          <a:avLst/>
        </a:prstGeom>
        <a:noFill/>
        <a:ln>
          <a:prstDash val="solid"/>
        </a:ln>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0</xdr:col>
      <xdr:colOff>251460</xdr:colOff>
      <xdr:row>0</xdr:row>
      <xdr:rowOff>38100</xdr:rowOff>
    </xdr:from>
    <xdr:ext cx="754380" cy="754380"/>
    <xdr:pic>
      <xdr:nvPicPr>
        <xdr:cNvPr id="5" name="image5.png" title="Image">
          <a:extLst>
            <a:ext uri="{FF2B5EF4-FFF2-40B4-BE49-F238E27FC236}">
              <a16:creationId xmlns:a16="http://schemas.microsoft.com/office/drawing/2014/main" id="{00000000-0008-0000-0700-000005000000}"/>
            </a:ext>
          </a:extLst>
        </xdr:cNvPr>
        <xdr:cNvPicPr preferRelativeResize="0"/>
      </xdr:nvPicPr>
      <xdr:blipFill>
        <a:blip xmlns:r="http://schemas.openxmlformats.org/officeDocument/2006/relationships" r:embed="rId1" cstate="print"/>
        <a:stretch>
          <a:fillRect/>
        </a:stretch>
      </xdr:blipFill>
      <xdr:spPr>
        <a:xfrm>
          <a:off x="251460" y="38100"/>
          <a:ext cx="754380" cy="754380"/>
        </a:xfrm>
        <a:prstGeom prst="rect">
          <a:avLst/>
        </a:prstGeom>
        <a:noFill/>
        <a:ln>
          <a:prstDash val="solid"/>
        </a:ln>
      </xdr:spPr>
    </xdr:pic>
    <xdr:clientData fLocksWithSheet="0"/>
  </xdr:oneCellAnchor>
  <xdr:oneCellAnchor>
    <xdr:from>
      <xdr:col>15</xdr:col>
      <xdr:colOff>1135381</xdr:colOff>
      <xdr:row>0</xdr:row>
      <xdr:rowOff>0</xdr:rowOff>
    </xdr:from>
    <xdr:ext cx="1318260" cy="666217"/>
    <xdr:pic>
      <xdr:nvPicPr>
        <xdr:cNvPr id="6" name="image1.png" title="Image">
          <a:extLst>
            <a:ext uri="{FF2B5EF4-FFF2-40B4-BE49-F238E27FC236}">
              <a16:creationId xmlns:a16="http://schemas.microsoft.com/office/drawing/2014/main" id="{00000000-0008-0000-0700-000006000000}"/>
            </a:ext>
          </a:extLst>
        </xdr:cNvPr>
        <xdr:cNvPicPr preferRelativeResize="0"/>
      </xdr:nvPicPr>
      <xdr:blipFill>
        <a:blip xmlns:r="http://schemas.openxmlformats.org/officeDocument/2006/relationships" r:embed="rId2" cstate="print"/>
        <a:stretch>
          <a:fillRect/>
        </a:stretch>
      </xdr:blipFill>
      <xdr:spPr>
        <a:xfrm>
          <a:off x="8610601" y="0"/>
          <a:ext cx="1318260" cy="666217"/>
        </a:xfrm>
        <a:prstGeom prst="rect">
          <a:avLst/>
        </a:prstGeom>
        <a:noFill/>
        <a:ln>
          <a:prstDash val="solid"/>
        </a:ln>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64"/>
  <sheetViews>
    <sheetView showGridLines="0" tabSelected="1" workbookViewId="0">
      <pane ySplit="5" topLeftCell="A6" activePane="bottomLeft" state="frozen"/>
      <selection pane="bottomLeft" activeCell="F35" sqref="F35"/>
    </sheetView>
  </sheetViews>
  <sheetFormatPr defaultColWidth="12.6640625" defaultRowHeight="15.75" customHeight="1" x14ac:dyDescent="0.25"/>
  <cols>
    <col min="1" max="2" width="3.88671875" style="138" customWidth="1"/>
    <col min="3" max="3" width="19.6640625" style="138" customWidth="1"/>
    <col min="4" max="4" width="2.109375" style="138" customWidth="1"/>
    <col min="5" max="5" width="18.88671875" style="138" customWidth="1"/>
    <col min="6" max="6" width="30.33203125" style="138" customWidth="1"/>
    <col min="7" max="10" width="3.88671875" style="138" customWidth="1"/>
    <col min="11" max="11" width="37.6640625" style="138" customWidth="1"/>
    <col min="12" max="13" width="3.88671875" style="138" customWidth="1"/>
    <col min="14" max="14" width="37.6640625" style="138" customWidth="1"/>
    <col min="15" max="16" width="3.88671875" style="138" customWidth="1"/>
  </cols>
  <sheetData>
    <row r="1" spans="1:17" ht="13.2" customHeight="1" x14ac:dyDescent="0.25">
      <c r="A1" s="192" t="s">
        <v>0</v>
      </c>
      <c r="B1" s="188"/>
      <c r="C1" s="188"/>
      <c r="D1" s="188"/>
      <c r="E1" s="188"/>
      <c r="F1" s="188"/>
      <c r="G1" s="188"/>
      <c r="H1" s="188"/>
      <c r="I1" s="188"/>
      <c r="J1" s="188"/>
      <c r="K1" s="188"/>
      <c r="L1" s="188"/>
      <c r="M1" s="188"/>
      <c r="N1" s="188"/>
      <c r="O1" s="188"/>
      <c r="P1" s="188"/>
      <c r="Q1" s="137"/>
    </row>
    <row r="2" spans="1:17" ht="13.2" customHeight="1" x14ac:dyDescent="0.25">
      <c r="A2" s="188"/>
      <c r="B2" s="188"/>
      <c r="C2" s="188"/>
      <c r="D2" s="188"/>
      <c r="E2" s="188"/>
      <c r="F2" s="188"/>
      <c r="G2" s="188"/>
      <c r="H2" s="188"/>
      <c r="I2" s="188"/>
      <c r="J2" s="188"/>
      <c r="K2" s="188"/>
      <c r="L2" s="188"/>
      <c r="M2" s="188"/>
      <c r="N2" s="188"/>
      <c r="O2" s="188"/>
      <c r="P2" s="188"/>
      <c r="Q2" s="137"/>
    </row>
    <row r="3" spans="1:17" ht="13.2" customHeight="1" x14ac:dyDescent="0.25">
      <c r="A3" s="188"/>
      <c r="B3" s="188"/>
      <c r="C3" s="188"/>
      <c r="D3" s="188"/>
      <c r="E3" s="188"/>
      <c r="F3" s="188"/>
      <c r="G3" s="188"/>
      <c r="H3" s="188"/>
      <c r="I3" s="188"/>
      <c r="J3" s="188"/>
      <c r="K3" s="188"/>
      <c r="L3" s="188"/>
      <c r="M3" s="188"/>
      <c r="N3" s="188"/>
      <c r="O3" s="188"/>
      <c r="P3" s="188"/>
      <c r="Q3" s="137"/>
    </row>
    <row r="4" spans="1:17" ht="13.2" customHeight="1" x14ac:dyDescent="0.25">
      <c r="A4" s="188"/>
      <c r="B4" s="188"/>
      <c r="C4" s="188"/>
      <c r="D4" s="188"/>
      <c r="E4" s="188"/>
      <c r="F4" s="188"/>
      <c r="G4" s="188"/>
      <c r="H4" s="188"/>
      <c r="I4" s="188"/>
      <c r="J4" s="188"/>
      <c r="K4" s="188"/>
      <c r="L4" s="188"/>
      <c r="M4" s="188"/>
      <c r="N4" s="188"/>
      <c r="O4" s="188"/>
      <c r="P4" s="188"/>
      <c r="Q4" s="137"/>
    </row>
    <row r="5" spans="1:17" ht="13.2" customHeight="1" x14ac:dyDescent="0.25">
      <c r="A5" s="188"/>
      <c r="B5" s="188"/>
      <c r="C5" s="188"/>
      <c r="D5" s="188"/>
      <c r="E5" s="188"/>
      <c r="F5" s="188"/>
      <c r="G5" s="188"/>
      <c r="H5" s="188"/>
      <c r="I5" s="188"/>
      <c r="J5" s="188"/>
      <c r="K5" s="188"/>
      <c r="L5" s="188"/>
      <c r="M5" s="188"/>
      <c r="N5" s="188"/>
      <c r="O5" s="188"/>
      <c r="P5" s="188"/>
      <c r="Q5" s="137"/>
    </row>
    <row r="6" spans="1:17" ht="13.2" customHeight="1" x14ac:dyDescent="0.25">
      <c r="A6" s="1"/>
      <c r="B6" s="1"/>
      <c r="C6" s="1"/>
      <c r="D6" s="1"/>
      <c r="E6" s="1"/>
      <c r="F6" s="1"/>
      <c r="G6" s="1"/>
      <c r="H6" s="1"/>
      <c r="I6" s="1"/>
      <c r="J6" s="1"/>
      <c r="K6" s="1"/>
      <c r="L6" s="1"/>
      <c r="M6" s="1"/>
      <c r="N6" s="1"/>
      <c r="O6" s="1"/>
      <c r="P6" s="1"/>
      <c r="Q6" s="137"/>
    </row>
    <row r="7" spans="1:17" ht="15.75" customHeight="1" x14ac:dyDescent="0.25">
      <c r="A7" s="1"/>
      <c r="B7" s="196" t="s">
        <v>1</v>
      </c>
      <c r="C7" s="197"/>
      <c r="D7" s="197"/>
      <c r="E7" s="197"/>
      <c r="F7" s="197"/>
      <c r="G7" s="198"/>
      <c r="H7" s="1"/>
      <c r="I7" s="196" t="s">
        <v>2</v>
      </c>
      <c r="J7" s="197"/>
      <c r="K7" s="197"/>
      <c r="L7" s="197"/>
      <c r="M7" s="197"/>
      <c r="N7" s="197"/>
      <c r="O7" s="198"/>
      <c r="P7" s="1"/>
      <c r="Q7" s="137"/>
    </row>
    <row r="8" spans="1:17" ht="15.75" customHeight="1" x14ac:dyDescent="0.25">
      <c r="A8" s="1"/>
      <c r="B8" s="199"/>
      <c r="C8" s="188"/>
      <c r="D8" s="188"/>
      <c r="E8" s="188"/>
      <c r="F8" s="188"/>
      <c r="G8" s="200"/>
      <c r="H8" s="1"/>
      <c r="I8" s="199"/>
      <c r="J8" s="188"/>
      <c r="K8" s="188"/>
      <c r="L8" s="188"/>
      <c r="M8" s="188"/>
      <c r="N8" s="188"/>
      <c r="O8" s="200"/>
      <c r="P8" s="1"/>
      <c r="Q8" s="137"/>
    </row>
    <row r="9" spans="1:17" ht="13.2" customHeight="1" x14ac:dyDescent="0.25">
      <c r="A9" s="137"/>
      <c r="B9" s="7"/>
      <c r="C9" s="14"/>
      <c r="D9" s="14"/>
      <c r="E9" s="14"/>
      <c r="F9" s="14"/>
      <c r="G9" s="31"/>
      <c r="H9" s="137"/>
      <c r="I9" s="7"/>
      <c r="J9" s="14"/>
      <c r="K9" s="14"/>
      <c r="L9" s="14"/>
      <c r="M9" s="14"/>
      <c r="N9" s="14"/>
      <c r="O9" s="31"/>
      <c r="P9" s="137"/>
      <c r="Q9" s="137"/>
    </row>
    <row r="10" spans="1:17" ht="13.8" customHeight="1" x14ac:dyDescent="0.25">
      <c r="A10" s="137"/>
      <c r="B10" s="7"/>
      <c r="C10" s="10" t="s">
        <v>3</v>
      </c>
      <c r="D10" s="11" t="s">
        <v>4</v>
      </c>
      <c r="E10" s="191"/>
      <c r="F10" s="190"/>
      <c r="G10" s="31"/>
      <c r="H10" s="137"/>
      <c r="I10" s="7"/>
      <c r="J10" s="193" t="s">
        <v>5</v>
      </c>
      <c r="K10" s="190"/>
      <c r="L10" s="14"/>
      <c r="M10" s="193" t="s">
        <v>6</v>
      </c>
      <c r="N10" s="190"/>
      <c r="O10" s="31"/>
      <c r="P10" s="137"/>
      <c r="Q10" s="137"/>
    </row>
    <row r="11" spans="1:17" ht="13.8" customHeight="1" x14ac:dyDescent="0.25">
      <c r="A11" s="137"/>
      <c r="B11" s="7"/>
      <c r="C11" s="10" t="s">
        <v>7</v>
      </c>
      <c r="D11" s="11" t="s">
        <v>4</v>
      </c>
      <c r="E11" s="134"/>
      <c r="F11" s="3"/>
      <c r="G11" s="31"/>
      <c r="H11" s="137"/>
      <c r="I11" s="7"/>
      <c r="J11" s="29">
        <v>1</v>
      </c>
      <c r="K11" s="70"/>
      <c r="L11" s="14"/>
      <c r="M11" s="29">
        <v>1</v>
      </c>
      <c r="N11" s="70"/>
      <c r="O11" s="31"/>
      <c r="P11" s="137"/>
      <c r="Q11" s="137"/>
    </row>
    <row r="12" spans="1:17" ht="13.8" customHeight="1" x14ac:dyDescent="0.25">
      <c r="A12" s="137"/>
      <c r="B12" s="7"/>
      <c r="C12" s="14"/>
      <c r="D12" s="14"/>
      <c r="E12" s="97"/>
      <c r="F12" s="97"/>
      <c r="G12" s="31"/>
      <c r="H12" s="137"/>
      <c r="I12" s="7"/>
      <c r="J12" s="29">
        <v>2</v>
      </c>
      <c r="K12" s="70"/>
      <c r="L12" s="14"/>
      <c r="M12" s="29">
        <v>2</v>
      </c>
      <c r="N12" s="70"/>
      <c r="O12" s="31"/>
      <c r="P12" s="137"/>
      <c r="Q12" s="137"/>
    </row>
    <row r="13" spans="1:17" ht="13.8" customHeight="1" x14ac:dyDescent="0.25">
      <c r="A13" s="137"/>
      <c r="B13" s="7"/>
      <c r="C13" s="98" t="s">
        <v>8</v>
      </c>
      <c r="D13" s="99" t="s">
        <v>4</v>
      </c>
      <c r="E13" s="189"/>
      <c r="F13" s="190"/>
      <c r="G13" s="31"/>
      <c r="H13" s="137"/>
      <c r="I13" s="7"/>
      <c r="J13" s="29">
        <v>3</v>
      </c>
      <c r="K13" s="70"/>
      <c r="L13" s="14"/>
      <c r="M13" s="29">
        <v>3</v>
      </c>
      <c r="N13" s="70"/>
      <c r="O13" s="31"/>
      <c r="P13" s="137"/>
      <c r="Q13" s="137"/>
    </row>
    <row r="14" spans="1:17" ht="13.8" customHeight="1" x14ac:dyDescent="0.25">
      <c r="A14" s="137"/>
      <c r="B14" s="7"/>
      <c r="C14" s="100" t="s">
        <v>9</v>
      </c>
      <c r="D14" s="101" t="s">
        <v>4</v>
      </c>
      <c r="E14" s="194"/>
      <c r="F14" s="195"/>
      <c r="G14" s="31"/>
      <c r="H14" s="137"/>
      <c r="I14" s="7"/>
      <c r="J14" s="29">
        <v>4</v>
      </c>
      <c r="K14" s="70"/>
      <c r="L14" s="14"/>
      <c r="M14" s="29">
        <v>4</v>
      </c>
      <c r="N14" s="70"/>
      <c r="O14" s="31"/>
      <c r="P14" s="137"/>
      <c r="Q14" s="137"/>
    </row>
    <row r="15" spans="1:17" ht="13.8" customHeight="1" x14ac:dyDescent="0.25">
      <c r="A15" s="137"/>
      <c r="B15" s="7"/>
      <c r="C15" s="98" t="s">
        <v>10</v>
      </c>
      <c r="D15" s="99" t="s">
        <v>4</v>
      </c>
      <c r="E15" s="191"/>
      <c r="F15" s="190"/>
      <c r="G15" s="31"/>
      <c r="H15" s="137"/>
      <c r="I15" s="7"/>
      <c r="J15" s="29">
        <v>5</v>
      </c>
      <c r="K15" s="70"/>
      <c r="L15" s="14"/>
      <c r="M15" s="29">
        <v>5</v>
      </c>
      <c r="N15" s="70"/>
      <c r="O15" s="31"/>
      <c r="P15" s="137"/>
      <c r="Q15" s="137"/>
    </row>
    <row r="16" spans="1:17" ht="13.8" customHeight="1" x14ac:dyDescent="0.25">
      <c r="A16" s="137"/>
      <c r="B16" s="7"/>
      <c r="C16" s="98" t="s">
        <v>11</v>
      </c>
      <c r="D16" s="99" t="s">
        <v>4</v>
      </c>
      <c r="E16" s="189"/>
      <c r="F16" s="190"/>
      <c r="G16" s="31"/>
      <c r="H16" s="137"/>
      <c r="I16" s="7"/>
      <c r="J16" s="29">
        <v>6</v>
      </c>
      <c r="K16" s="70"/>
      <c r="L16" s="14"/>
      <c r="M16" s="29">
        <v>6</v>
      </c>
      <c r="N16" s="70"/>
      <c r="O16" s="31"/>
      <c r="P16" s="137"/>
      <c r="Q16" s="137"/>
    </row>
    <row r="17" spans="1:17" ht="14.4" customHeight="1" thickBot="1" x14ac:dyDescent="0.3">
      <c r="A17" s="137"/>
      <c r="B17" s="4"/>
      <c r="C17" s="5"/>
      <c r="D17" s="5"/>
      <c r="E17" s="5"/>
      <c r="F17" s="5"/>
      <c r="G17" s="6"/>
      <c r="H17" s="137"/>
      <c r="I17" s="7"/>
      <c r="J17" s="29">
        <v>7</v>
      </c>
      <c r="K17" s="70"/>
      <c r="L17" s="14"/>
      <c r="M17" s="29">
        <v>7</v>
      </c>
      <c r="N17" s="70"/>
      <c r="O17" s="31"/>
      <c r="P17" s="137"/>
      <c r="Q17" s="137"/>
    </row>
    <row r="18" spans="1:17" ht="13.8" customHeight="1" x14ac:dyDescent="0.25">
      <c r="A18" s="137"/>
      <c r="B18" s="137"/>
      <c r="C18" s="137"/>
      <c r="D18" s="137"/>
      <c r="E18" s="137"/>
      <c r="F18" s="137"/>
      <c r="G18" s="137"/>
      <c r="H18" s="137"/>
      <c r="I18" s="7"/>
      <c r="J18" s="29">
        <v>8</v>
      </c>
      <c r="K18" s="70"/>
      <c r="L18" s="14"/>
      <c r="M18" s="29">
        <v>8</v>
      </c>
      <c r="N18" s="70"/>
      <c r="O18" s="31"/>
      <c r="P18" s="137"/>
      <c r="Q18" s="137"/>
    </row>
    <row r="19" spans="1:17" ht="14.4" customHeight="1" thickBot="1" x14ac:dyDescent="0.3">
      <c r="A19" s="137"/>
      <c r="B19" s="137"/>
      <c r="C19" s="137"/>
      <c r="D19" s="137"/>
      <c r="E19" s="137"/>
      <c r="F19" s="137"/>
      <c r="G19" s="137"/>
      <c r="H19" s="137"/>
      <c r="I19" s="7"/>
      <c r="J19" s="29">
        <v>9</v>
      </c>
      <c r="K19" s="70"/>
      <c r="L19" s="14"/>
      <c r="M19" s="29">
        <v>9</v>
      </c>
      <c r="N19" s="70"/>
      <c r="O19" s="31"/>
      <c r="P19" s="137"/>
      <c r="Q19" s="137"/>
    </row>
    <row r="20" spans="1:17" ht="13.8" customHeight="1" x14ac:dyDescent="0.25">
      <c r="A20" s="137"/>
      <c r="B20" s="196" t="s">
        <v>12</v>
      </c>
      <c r="C20" s="197"/>
      <c r="D20" s="197"/>
      <c r="E20" s="197"/>
      <c r="F20" s="197"/>
      <c r="G20" s="198"/>
      <c r="H20" s="137"/>
      <c r="I20" s="7"/>
      <c r="J20" s="29">
        <v>10</v>
      </c>
      <c r="K20" s="70"/>
      <c r="L20" s="14"/>
      <c r="M20" s="29">
        <v>10</v>
      </c>
      <c r="N20" s="70"/>
      <c r="O20" s="31"/>
      <c r="P20" s="137"/>
      <c r="Q20" s="137"/>
    </row>
    <row r="21" spans="1:17" ht="13.8" customHeight="1" x14ac:dyDescent="0.25">
      <c r="A21" s="137"/>
      <c r="B21" s="199"/>
      <c r="C21" s="188"/>
      <c r="D21" s="188"/>
      <c r="E21" s="188"/>
      <c r="F21" s="188"/>
      <c r="G21" s="200"/>
      <c r="H21" s="137"/>
      <c r="I21" s="7"/>
      <c r="J21" s="29">
        <v>11</v>
      </c>
      <c r="K21" s="70"/>
      <c r="L21" s="14"/>
      <c r="M21" s="29">
        <v>11</v>
      </c>
      <c r="N21" s="70"/>
      <c r="O21" s="31"/>
      <c r="P21" s="137"/>
      <c r="Q21" s="137"/>
    </row>
    <row r="22" spans="1:17" ht="13.8" customHeight="1" x14ac:dyDescent="0.25">
      <c r="A22" s="137"/>
      <c r="B22" s="7"/>
      <c r="C22" s="14"/>
      <c r="D22" s="14"/>
      <c r="E22" s="14"/>
      <c r="F22" s="14"/>
      <c r="G22" s="31"/>
      <c r="H22" s="137"/>
      <c r="I22" s="7"/>
      <c r="J22" s="29">
        <v>12</v>
      </c>
      <c r="K22" s="70"/>
      <c r="L22" s="14"/>
      <c r="M22" s="29">
        <v>12</v>
      </c>
      <c r="N22" s="70"/>
      <c r="O22" s="31"/>
      <c r="P22" s="137"/>
      <c r="Q22" s="137"/>
    </row>
    <row r="23" spans="1:17" ht="13.8" customHeight="1" x14ac:dyDescent="0.25">
      <c r="A23" s="137"/>
      <c r="B23" s="7"/>
      <c r="C23" s="8" t="s">
        <v>13</v>
      </c>
      <c r="D23" s="9" t="s">
        <v>4</v>
      </c>
      <c r="E23" s="189"/>
      <c r="F23" s="190"/>
      <c r="G23" s="31"/>
      <c r="H23" s="137"/>
      <c r="I23" s="7"/>
      <c r="J23" s="29">
        <v>13</v>
      </c>
      <c r="K23" s="70"/>
      <c r="L23" s="14"/>
      <c r="M23" s="29">
        <v>13</v>
      </c>
      <c r="N23" s="70"/>
      <c r="O23" s="31"/>
      <c r="P23" s="137"/>
      <c r="Q23" s="137"/>
    </row>
    <row r="24" spans="1:17" ht="13.8" customHeight="1" x14ac:dyDescent="0.25">
      <c r="A24" s="137"/>
      <c r="B24" s="7"/>
      <c r="C24" s="8" t="s">
        <v>14</v>
      </c>
      <c r="D24" s="9" t="s">
        <v>4</v>
      </c>
      <c r="E24" s="191"/>
      <c r="F24" s="190"/>
      <c r="G24" s="31"/>
      <c r="H24" s="137"/>
      <c r="I24" s="7"/>
      <c r="J24" s="29">
        <v>14</v>
      </c>
      <c r="K24" s="70"/>
      <c r="L24" s="14"/>
      <c r="M24" s="29">
        <v>14</v>
      </c>
      <c r="N24" s="70"/>
      <c r="O24" s="31"/>
      <c r="P24" s="137"/>
      <c r="Q24" s="137"/>
    </row>
    <row r="25" spans="1:17" ht="15.75" customHeight="1" x14ac:dyDescent="0.25">
      <c r="A25" s="137"/>
      <c r="B25" s="7"/>
      <c r="C25" s="10" t="s">
        <v>15</v>
      </c>
      <c r="D25" s="11" t="s">
        <v>4</v>
      </c>
      <c r="E25" s="189"/>
      <c r="F25" s="190"/>
      <c r="G25" s="31"/>
      <c r="H25" s="137"/>
      <c r="I25" s="7"/>
      <c r="J25" s="29">
        <v>15</v>
      </c>
      <c r="K25" s="70"/>
      <c r="L25" s="14"/>
      <c r="M25" s="29">
        <v>15</v>
      </c>
      <c r="N25" s="70"/>
      <c r="O25" s="31"/>
      <c r="P25" s="137"/>
      <c r="Q25" s="137"/>
    </row>
    <row r="26" spans="1:17" ht="13.8" customHeight="1" x14ac:dyDescent="0.25">
      <c r="A26" s="137"/>
      <c r="B26" s="7"/>
      <c r="C26" s="12" t="s">
        <v>16</v>
      </c>
      <c r="D26" s="13" t="s">
        <v>4</v>
      </c>
      <c r="E26" s="189"/>
      <c r="F26" s="190"/>
      <c r="G26" s="31"/>
      <c r="H26" s="137"/>
      <c r="I26" s="7"/>
      <c r="J26" s="29">
        <v>16</v>
      </c>
      <c r="K26" s="70"/>
      <c r="L26" s="14"/>
      <c r="M26" s="29">
        <v>16</v>
      </c>
      <c r="N26" s="70"/>
      <c r="O26" s="31"/>
      <c r="P26" s="137"/>
      <c r="Q26" s="137"/>
    </row>
    <row r="27" spans="1:17" ht="13.8" customHeight="1" x14ac:dyDescent="0.25">
      <c r="A27" s="137"/>
      <c r="B27" s="7"/>
      <c r="C27" s="14"/>
      <c r="D27" s="14"/>
      <c r="E27" s="14"/>
      <c r="F27" s="14"/>
      <c r="G27" s="31"/>
      <c r="H27" s="137"/>
      <c r="I27" s="7"/>
      <c r="J27" s="29">
        <v>17</v>
      </c>
      <c r="K27" s="70"/>
      <c r="L27" s="14"/>
      <c r="M27" s="29">
        <v>17</v>
      </c>
      <c r="N27" s="70"/>
      <c r="O27" s="31"/>
      <c r="P27" s="137"/>
      <c r="Q27" s="137"/>
    </row>
    <row r="28" spans="1:17" ht="13.95" customHeight="1" x14ac:dyDescent="0.25">
      <c r="A28" s="137"/>
      <c r="B28" s="37"/>
      <c r="C28" s="187" t="s">
        <v>17</v>
      </c>
      <c r="D28" s="188"/>
      <c r="E28" s="188"/>
      <c r="F28" s="188"/>
      <c r="G28" s="38"/>
      <c r="H28" s="137"/>
      <c r="I28" s="7"/>
      <c r="J28" s="29">
        <v>18</v>
      </c>
      <c r="K28" s="70"/>
      <c r="L28" s="14"/>
      <c r="M28" s="29">
        <v>18</v>
      </c>
      <c r="N28" s="70"/>
      <c r="O28" s="31"/>
      <c r="P28" s="137"/>
      <c r="Q28" s="137"/>
    </row>
    <row r="29" spans="1:17" ht="13.8" customHeight="1" x14ac:dyDescent="0.25">
      <c r="A29" s="137"/>
      <c r="B29" s="37"/>
      <c r="C29" s="188"/>
      <c r="D29" s="188"/>
      <c r="E29" s="188"/>
      <c r="F29" s="188"/>
      <c r="G29" s="38"/>
      <c r="H29" s="137"/>
      <c r="I29" s="7"/>
      <c r="J29" s="29">
        <v>19</v>
      </c>
      <c r="K29" s="70"/>
      <c r="L29" s="14"/>
      <c r="M29" s="29">
        <v>19</v>
      </c>
      <c r="N29" s="70"/>
      <c r="O29" s="31"/>
      <c r="P29" s="137"/>
      <c r="Q29" s="137"/>
    </row>
    <row r="30" spans="1:17" ht="13.8" customHeight="1" x14ac:dyDescent="0.25">
      <c r="A30" s="137"/>
      <c r="B30" s="37"/>
      <c r="C30" s="188"/>
      <c r="D30" s="188"/>
      <c r="E30" s="188"/>
      <c r="F30" s="188"/>
      <c r="G30" s="38"/>
      <c r="H30" s="137"/>
      <c r="I30" s="7"/>
      <c r="J30" s="29">
        <v>20</v>
      </c>
      <c r="K30" s="70"/>
      <c r="L30" s="14"/>
      <c r="M30" s="29">
        <v>20</v>
      </c>
      <c r="N30" s="70"/>
      <c r="O30" s="31"/>
      <c r="P30" s="137"/>
      <c r="Q30" s="137"/>
    </row>
    <row r="31" spans="1:17" ht="13.8" customHeight="1" x14ac:dyDescent="0.25">
      <c r="A31" s="137"/>
      <c r="B31" s="37"/>
      <c r="C31" s="188"/>
      <c r="D31" s="188"/>
      <c r="E31" s="188"/>
      <c r="F31" s="188"/>
      <c r="G31" s="38"/>
      <c r="H31" s="137"/>
      <c r="I31" s="7"/>
      <c r="J31" s="29">
        <v>21</v>
      </c>
      <c r="K31" s="70"/>
      <c r="L31" s="14"/>
      <c r="M31" s="29">
        <v>21</v>
      </c>
      <c r="N31" s="70"/>
      <c r="O31" s="31"/>
      <c r="P31" s="137"/>
      <c r="Q31" s="137"/>
    </row>
    <row r="32" spans="1:17" ht="14.4" customHeight="1" thickBot="1" x14ac:dyDescent="0.3">
      <c r="A32" s="137"/>
      <c r="B32" s="15"/>
      <c r="C32" s="102"/>
      <c r="D32" s="102"/>
      <c r="E32" s="102"/>
      <c r="F32" s="102"/>
      <c r="G32" s="16"/>
      <c r="H32" s="137"/>
      <c r="I32" s="7"/>
      <c r="J32" s="29">
        <v>22</v>
      </c>
      <c r="K32" s="70"/>
      <c r="L32" s="14"/>
      <c r="M32" s="29">
        <v>22</v>
      </c>
      <c r="N32" s="70"/>
      <c r="O32" s="31"/>
      <c r="P32" s="137"/>
      <c r="Q32" s="137"/>
    </row>
    <row r="33" spans="1:17" ht="13.8" customHeight="1" x14ac:dyDescent="0.25">
      <c r="A33" s="137"/>
      <c r="B33" s="137"/>
      <c r="C33" s="137"/>
      <c r="D33" s="137"/>
      <c r="E33" s="137"/>
      <c r="F33" s="137"/>
      <c r="G33" s="137"/>
      <c r="H33" s="137"/>
      <c r="I33" s="7"/>
      <c r="J33" s="29">
        <v>23</v>
      </c>
      <c r="K33" s="70"/>
      <c r="L33" s="14"/>
      <c r="M33" s="29">
        <v>23</v>
      </c>
      <c r="N33" s="70"/>
      <c r="O33" s="31"/>
      <c r="P33" s="137"/>
      <c r="Q33" s="137"/>
    </row>
    <row r="34" spans="1:17" ht="13.8" customHeight="1" x14ac:dyDescent="0.25">
      <c r="A34" s="137"/>
      <c r="B34" s="137"/>
      <c r="C34" s="137"/>
      <c r="D34" s="137"/>
      <c r="E34" s="137"/>
      <c r="F34" s="137"/>
      <c r="G34" s="137"/>
      <c r="H34" s="137"/>
      <c r="I34" s="7"/>
      <c r="J34" s="29">
        <v>24</v>
      </c>
      <c r="K34" s="70"/>
      <c r="L34" s="14"/>
      <c r="M34" s="29">
        <v>24</v>
      </c>
      <c r="N34" s="70"/>
      <c r="O34" s="31"/>
      <c r="P34" s="137"/>
      <c r="Q34" s="137"/>
    </row>
    <row r="35" spans="1:17" ht="13.8" customHeight="1" thickBot="1" x14ac:dyDescent="0.3">
      <c r="A35" s="137"/>
      <c r="B35" s="137"/>
      <c r="C35" s="137"/>
      <c r="D35" s="137"/>
      <c r="E35" s="137"/>
      <c r="F35" s="137"/>
      <c r="G35" s="137"/>
      <c r="H35" s="137"/>
      <c r="I35" s="7"/>
      <c r="J35" s="29">
        <v>25</v>
      </c>
      <c r="K35" s="70"/>
      <c r="L35" s="14"/>
      <c r="M35" s="29">
        <v>25</v>
      </c>
      <c r="N35" s="70"/>
      <c r="O35" s="31"/>
      <c r="P35" s="137"/>
      <c r="Q35" s="137"/>
    </row>
    <row r="36" spans="1:17" ht="13.8" customHeight="1" x14ac:dyDescent="0.25">
      <c r="A36" s="137"/>
      <c r="B36" s="178" t="s">
        <v>69</v>
      </c>
      <c r="C36" s="179"/>
      <c r="D36" s="179"/>
      <c r="E36" s="179"/>
      <c r="F36" s="179"/>
      <c r="G36" s="180"/>
      <c r="H36" s="137"/>
      <c r="I36" s="7"/>
      <c r="J36" s="29">
        <v>26</v>
      </c>
      <c r="K36" s="70"/>
      <c r="L36" s="14"/>
      <c r="M36" s="29">
        <v>26</v>
      </c>
      <c r="N36" s="70"/>
      <c r="O36" s="31"/>
      <c r="P36" s="137"/>
      <c r="Q36" s="137"/>
    </row>
    <row r="37" spans="1:17" ht="13.8" customHeight="1" x14ac:dyDescent="0.25">
      <c r="A37" s="137"/>
      <c r="B37" s="181"/>
      <c r="C37" s="182"/>
      <c r="D37" s="182"/>
      <c r="E37" s="182"/>
      <c r="F37" s="182"/>
      <c r="G37" s="183"/>
      <c r="H37" s="137"/>
      <c r="I37" s="7"/>
      <c r="J37" s="29">
        <v>27</v>
      </c>
      <c r="K37" s="70"/>
      <c r="L37" s="14"/>
      <c r="M37" s="29">
        <v>27</v>
      </c>
      <c r="N37" s="70"/>
      <c r="O37" s="31"/>
      <c r="P37" s="137"/>
      <c r="Q37" s="137"/>
    </row>
    <row r="38" spans="1:17" ht="13.8" customHeight="1" thickBot="1" x14ac:dyDescent="0.3">
      <c r="A38" s="137"/>
      <c r="B38" s="184"/>
      <c r="C38" s="185"/>
      <c r="D38" s="185"/>
      <c r="E38" s="185"/>
      <c r="F38" s="185"/>
      <c r="G38" s="186"/>
      <c r="H38" s="137"/>
      <c r="I38" s="7"/>
      <c r="J38" s="29">
        <v>28</v>
      </c>
      <c r="K38" s="70"/>
      <c r="L38" s="14"/>
      <c r="M38" s="29">
        <v>28</v>
      </c>
      <c r="N38" s="70"/>
      <c r="O38" s="31"/>
      <c r="P38" s="137"/>
      <c r="Q38" s="137"/>
    </row>
    <row r="39" spans="1:17" ht="13.8" customHeight="1" x14ac:dyDescent="0.25">
      <c r="A39" s="137"/>
      <c r="B39" s="137"/>
      <c r="C39" s="137"/>
      <c r="D39" s="137"/>
      <c r="E39" s="137"/>
      <c r="F39" s="137"/>
      <c r="G39" s="137"/>
      <c r="H39" s="137"/>
      <c r="I39" s="7"/>
      <c r="J39" s="29">
        <v>29</v>
      </c>
      <c r="K39" s="70"/>
      <c r="L39" s="14"/>
      <c r="M39" s="29">
        <v>29</v>
      </c>
      <c r="N39" s="70"/>
      <c r="O39" s="31"/>
      <c r="P39" s="137"/>
      <c r="Q39" s="137"/>
    </row>
    <row r="40" spans="1:17" ht="13.8" customHeight="1" x14ac:dyDescent="0.25">
      <c r="A40" s="137"/>
      <c r="B40" s="137"/>
      <c r="C40" s="137"/>
      <c r="D40" s="137"/>
      <c r="E40" s="137"/>
      <c r="F40" s="137"/>
      <c r="G40" s="137"/>
      <c r="H40" s="137"/>
      <c r="I40" s="7"/>
      <c r="J40" s="29">
        <v>30</v>
      </c>
      <c r="K40" s="70"/>
      <c r="L40" s="14"/>
      <c r="M40" s="29">
        <v>30</v>
      </c>
      <c r="N40" s="70"/>
      <c r="O40" s="31"/>
      <c r="P40" s="137"/>
      <c r="Q40" s="137"/>
    </row>
    <row r="41" spans="1:17" ht="13.8" customHeight="1" x14ac:dyDescent="0.25">
      <c r="A41" s="137"/>
      <c r="B41" s="137"/>
      <c r="C41" s="137"/>
      <c r="D41" s="137"/>
      <c r="E41" s="137"/>
      <c r="F41" s="137"/>
      <c r="G41" s="137"/>
      <c r="H41" s="137"/>
      <c r="I41" s="7"/>
      <c r="J41" s="29">
        <v>31</v>
      </c>
      <c r="K41" s="70"/>
      <c r="L41" s="14"/>
      <c r="M41" s="29">
        <v>31</v>
      </c>
      <c r="N41" s="70"/>
      <c r="O41" s="31"/>
      <c r="P41" s="137"/>
      <c r="Q41" s="137"/>
    </row>
    <row r="42" spans="1:17" ht="13.8" customHeight="1" x14ac:dyDescent="0.25">
      <c r="A42" s="137"/>
      <c r="B42" s="137"/>
      <c r="C42" s="137"/>
      <c r="D42" s="137"/>
      <c r="E42" s="137"/>
      <c r="F42" s="137"/>
      <c r="G42" s="137"/>
      <c r="H42" s="137"/>
      <c r="I42" s="7"/>
      <c r="J42" s="29">
        <v>32</v>
      </c>
      <c r="K42" s="70"/>
      <c r="L42" s="14"/>
      <c r="M42" s="29">
        <v>32</v>
      </c>
      <c r="N42" s="70"/>
      <c r="O42" s="31"/>
      <c r="P42" s="137"/>
      <c r="Q42" s="137"/>
    </row>
    <row r="43" spans="1:17" ht="13.8" customHeight="1" x14ac:dyDescent="0.25">
      <c r="A43" s="137"/>
      <c r="B43" s="137"/>
      <c r="C43" s="137"/>
      <c r="D43" s="137"/>
      <c r="E43" s="137"/>
      <c r="F43" s="137"/>
      <c r="G43" s="137"/>
      <c r="H43" s="137"/>
      <c r="I43" s="7"/>
      <c r="J43" s="29">
        <v>33</v>
      </c>
      <c r="K43" s="70"/>
      <c r="L43" s="14"/>
      <c r="M43" s="29">
        <v>33</v>
      </c>
      <c r="N43" s="70"/>
      <c r="O43" s="31"/>
      <c r="P43" s="137"/>
      <c r="Q43" s="137"/>
    </row>
    <row r="44" spans="1:17" ht="13.8" customHeight="1" x14ac:dyDescent="0.25">
      <c r="A44" s="137"/>
      <c r="B44" s="137"/>
      <c r="C44" s="137"/>
      <c r="D44" s="137"/>
      <c r="E44" s="137"/>
      <c r="F44" s="137"/>
      <c r="G44" s="137"/>
      <c r="H44" s="137"/>
      <c r="I44" s="7"/>
      <c r="J44" s="29">
        <v>34</v>
      </c>
      <c r="K44" s="70"/>
      <c r="L44" s="14"/>
      <c r="M44" s="29">
        <v>34</v>
      </c>
      <c r="N44" s="70"/>
      <c r="O44" s="31"/>
      <c r="P44" s="137"/>
      <c r="Q44" s="137"/>
    </row>
    <row r="45" spans="1:17" ht="13.8" customHeight="1" x14ac:dyDescent="0.25">
      <c r="A45" s="137"/>
      <c r="B45" s="137"/>
      <c r="C45" s="137"/>
      <c r="D45" s="137"/>
      <c r="E45" s="137"/>
      <c r="F45" s="137"/>
      <c r="G45" s="137"/>
      <c r="H45" s="137"/>
      <c r="I45" s="7"/>
      <c r="J45" s="29">
        <v>35</v>
      </c>
      <c r="K45" s="70"/>
      <c r="L45" s="14"/>
      <c r="M45" s="29">
        <v>35</v>
      </c>
      <c r="N45" s="70"/>
      <c r="O45" s="31"/>
      <c r="P45" s="137"/>
      <c r="Q45" s="137"/>
    </row>
    <row r="46" spans="1:17" ht="13.8" customHeight="1" x14ac:dyDescent="0.25">
      <c r="A46" s="137"/>
      <c r="B46" s="137"/>
      <c r="C46" s="137"/>
      <c r="D46" s="137"/>
      <c r="E46" s="137"/>
      <c r="F46" s="137"/>
      <c r="G46" s="137"/>
      <c r="H46" s="137"/>
      <c r="I46" s="7"/>
      <c r="J46" s="29">
        <v>36</v>
      </c>
      <c r="K46" s="70"/>
      <c r="L46" s="14"/>
      <c r="M46" s="29">
        <v>36</v>
      </c>
      <c r="N46" s="70"/>
      <c r="O46" s="31"/>
      <c r="P46" s="137"/>
      <c r="Q46" s="137"/>
    </row>
    <row r="47" spans="1:17" ht="13.8" customHeight="1" x14ac:dyDescent="0.25">
      <c r="A47" s="137"/>
      <c r="B47" s="137"/>
      <c r="C47" s="137"/>
      <c r="D47" s="137"/>
      <c r="E47" s="137"/>
      <c r="F47" s="137"/>
      <c r="G47" s="137"/>
      <c r="H47" s="137"/>
      <c r="I47" s="7"/>
      <c r="J47" s="29">
        <v>37</v>
      </c>
      <c r="K47" s="70"/>
      <c r="L47" s="14"/>
      <c r="M47" s="29">
        <v>37</v>
      </c>
      <c r="N47" s="70"/>
      <c r="O47" s="31"/>
      <c r="P47" s="137"/>
      <c r="Q47" s="137"/>
    </row>
    <row r="48" spans="1:17" ht="13.8" customHeight="1" x14ac:dyDescent="0.25">
      <c r="A48" s="137"/>
      <c r="B48" s="137"/>
      <c r="C48" s="137"/>
      <c r="D48" s="137"/>
      <c r="E48" s="137"/>
      <c r="F48" s="137"/>
      <c r="G48" s="137"/>
      <c r="H48" s="137"/>
      <c r="I48" s="7"/>
      <c r="J48" s="29">
        <v>38</v>
      </c>
      <c r="K48" s="70"/>
      <c r="L48" s="14"/>
      <c r="M48" s="29">
        <v>38</v>
      </c>
      <c r="N48" s="70"/>
      <c r="O48" s="31"/>
      <c r="P48" s="137"/>
      <c r="Q48" s="137"/>
    </row>
    <row r="49" spans="1:17" ht="13.8" customHeight="1" x14ac:dyDescent="0.25">
      <c r="A49" s="137"/>
      <c r="B49" s="137"/>
      <c r="C49" s="137"/>
      <c r="D49" s="137"/>
      <c r="E49" s="137"/>
      <c r="F49" s="137"/>
      <c r="G49" s="137"/>
      <c r="H49" s="137"/>
      <c r="I49" s="7"/>
      <c r="J49" s="29">
        <v>39</v>
      </c>
      <c r="K49" s="70"/>
      <c r="L49" s="14"/>
      <c r="M49" s="29">
        <v>39</v>
      </c>
      <c r="N49" s="70"/>
      <c r="O49" s="31"/>
      <c r="P49" s="137"/>
      <c r="Q49" s="137"/>
    </row>
    <row r="50" spans="1:17" ht="13.8" customHeight="1" x14ac:dyDescent="0.25">
      <c r="A50" s="137"/>
      <c r="B50" s="137"/>
      <c r="C50" s="137"/>
      <c r="D50" s="137"/>
      <c r="E50" s="137"/>
      <c r="F50" s="137"/>
      <c r="G50" s="137"/>
      <c r="H50" s="137"/>
      <c r="I50" s="7"/>
      <c r="J50" s="29">
        <v>40</v>
      </c>
      <c r="K50" s="70"/>
      <c r="L50" s="14"/>
      <c r="M50" s="29">
        <v>40</v>
      </c>
      <c r="N50" s="70"/>
      <c r="O50" s="31"/>
      <c r="P50" s="137"/>
      <c r="Q50" s="137"/>
    </row>
    <row r="51" spans="1:17" ht="13.8" customHeight="1" x14ac:dyDescent="0.25">
      <c r="A51" s="137"/>
      <c r="B51" s="137"/>
      <c r="C51" s="137"/>
      <c r="D51" s="137"/>
      <c r="E51" s="137"/>
      <c r="F51" s="137"/>
      <c r="G51" s="137"/>
      <c r="H51" s="137"/>
      <c r="I51" s="7"/>
      <c r="J51" s="29">
        <v>41</v>
      </c>
      <c r="K51" s="70"/>
      <c r="L51" s="14"/>
      <c r="M51" s="29">
        <v>41</v>
      </c>
      <c r="N51" s="70"/>
      <c r="O51" s="31"/>
      <c r="P51" s="137"/>
      <c r="Q51" s="137"/>
    </row>
    <row r="52" spans="1:17" ht="13.8" customHeight="1" x14ac:dyDescent="0.25">
      <c r="A52" s="137"/>
      <c r="B52" s="137"/>
      <c r="C52" s="137"/>
      <c r="D52" s="137"/>
      <c r="E52" s="137"/>
      <c r="F52" s="137"/>
      <c r="G52" s="137"/>
      <c r="H52" s="137"/>
      <c r="I52" s="7"/>
      <c r="J52" s="29">
        <v>42</v>
      </c>
      <c r="K52" s="70"/>
      <c r="L52" s="14"/>
      <c r="M52" s="29">
        <v>42</v>
      </c>
      <c r="N52" s="70"/>
      <c r="O52" s="31"/>
      <c r="P52" s="137"/>
      <c r="Q52" s="137"/>
    </row>
    <row r="53" spans="1:17" ht="13.8" customHeight="1" x14ac:dyDescent="0.25">
      <c r="A53" s="137"/>
      <c r="B53" s="137"/>
      <c r="C53" s="137"/>
      <c r="D53" s="137"/>
      <c r="E53" s="137"/>
      <c r="F53" s="137"/>
      <c r="G53" s="137"/>
      <c r="H53" s="137"/>
      <c r="I53" s="7"/>
      <c r="J53" s="29">
        <v>43</v>
      </c>
      <c r="K53" s="70"/>
      <c r="L53" s="14"/>
      <c r="M53" s="29">
        <v>43</v>
      </c>
      <c r="N53" s="70"/>
      <c r="O53" s="31"/>
      <c r="P53" s="137"/>
      <c r="Q53" s="137"/>
    </row>
    <row r="54" spans="1:17" ht="13.8" customHeight="1" x14ac:dyDescent="0.25">
      <c r="A54" s="137"/>
      <c r="B54" s="137"/>
      <c r="C54" s="137"/>
      <c r="D54" s="137"/>
      <c r="E54" s="137"/>
      <c r="F54" s="137"/>
      <c r="G54" s="137"/>
      <c r="H54" s="137"/>
      <c r="I54" s="7"/>
      <c r="J54" s="29">
        <v>44</v>
      </c>
      <c r="K54" s="70"/>
      <c r="L54" s="14"/>
      <c r="M54" s="29">
        <v>44</v>
      </c>
      <c r="N54" s="70"/>
      <c r="O54" s="31"/>
      <c r="P54" s="137"/>
      <c r="Q54" s="137"/>
    </row>
    <row r="55" spans="1:17" ht="13.8" customHeight="1" x14ac:dyDescent="0.25">
      <c r="A55" s="137"/>
      <c r="B55" s="137"/>
      <c r="C55" s="137"/>
      <c r="D55" s="137"/>
      <c r="E55" s="137"/>
      <c r="F55" s="137"/>
      <c r="G55" s="137"/>
      <c r="H55" s="137"/>
      <c r="I55" s="7"/>
      <c r="J55" s="29">
        <v>45</v>
      </c>
      <c r="K55" s="70"/>
      <c r="L55" s="14"/>
      <c r="M55" s="29">
        <v>45</v>
      </c>
      <c r="N55" s="70"/>
      <c r="O55" s="31"/>
      <c r="P55" s="137"/>
      <c r="Q55" s="137"/>
    </row>
    <row r="56" spans="1:17" ht="13.8" customHeight="1" x14ac:dyDescent="0.25">
      <c r="A56" s="137"/>
      <c r="B56" s="137"/>
      <c r="C56" s="137"/>
      <c r="D56" s="137"/>
      <c r="E56" s="137"/>
      <c r="F56" s="137"/>
      <c r="G56" s="137"/>
      <c r="H56" s="137"/>
      <c r="I56" s="7"/>
      <c r="J56" s="29">
        <v>46</v>
      </c>
      <c r="K56" s="70"/>
      <c r="L56" s="14"/>
      <c r="M56" s="29">
        <v>46</v>
      </c>
      <c r="N56" s="70"/>
      <c r="O56" s="31"/>
      <c r="P56" s="137"/>
      <c r="Q56" s="137"/>
    </row>
    <row r="57" spans="1:17" ht="13.8" customHeight="1" x14ac:dyDescent="0.25">
      <c r="A57" s="137"/>
      <c r="B57" s="137"/>
      <c r="C57" s="137"/>
      <c r="D57" s="137"/>
      <c r="E57" s="137"/>
      <c r="F57" s="137"/>
      <c r="G57" s="137"/>
      <c r="H57" s="137"/>
      <c r="I57" s="7"/>
      <c r="J57" s="29">
        <v>47</v>
      </c>
      <c r="K57" s="70"/>
      <c r="L57" s="14"/>
      <c r="M57" s="29">
        <v>47</v>
      </c>
      <c r="N57" s="70"/>
      <c r="O57" s="31"/>
      <c r="P57" s="137"/>
      <c r="Q57" s="137"/>
    </row>
    <row r="58" spans="1:17" ht="13.8" customHeight="1" x14ac:dyDescent="0.25">
      <c r="A58" s="137"/>
      <c r="B58" s="137"/>
      <c r="C58" s="137"/>
      <c r="D58" s="137"/>
      <c r="E58" s="137"/>
      <c r="F58" s="137"/>
      <c r="G58" s="137"/>
      <c r="H58" s="137"/>
      <c r="I58" s="7"/>
      <c r="J58" s="29">
        <v>48</v>
      </c>
      <c r="K58" s="70"/>
      <c r="L58" s="14"/>
      <c r="M58" s="29">
        <v>48</v>
      </c>
      <c r="N58" s="70"/>
      <c r="O58" s="31"/>
      <c r="P58" s="137"/>
      <c r="Q58" s="137"/>
    </row>
    <row r="59" spans="1:17" ht="13.8" customHeight="1" x14ac:dyDescent="0.25">
      <c r="A59" s="137"/>
      <c r="B59" s="137"/>
      <c r="C59" s="137"/>
      <c r="D59" s="137"/>
      <c r="E59" s="137"/>
      <c r="F59" s="137"/>
      <c r="G59" s="137"/>
      <c r="H59" s="137"/>
      <c r="I59" s="7"/>
      <c r="J59" s="29">
        <v>49</v>
      </c>
      <c r="K59" s="70"/>
      <c r="L59" s="14"/>
      <c r="M59" s="29">
        <v>49</v>
      </c>
      <c r="N59" s="70"/>
      <c r="O59" s="31"/>
      <c r="P59" s="137"/>
      <c r="Q59" s="137"/>
    </row>
    <row r="60" spans="1:17" ht="13.8" customHeight="1" x14ac:dyDescent="0.25">
      <c r="A60" s="137"/>
      <c r="B60" s="137"/>
      <c r="C60" s="137"/>
      <c r="D60" s="137"/>
      <c r="E60" s="137"/>
      <c r="F60" s="137"/>
      <c r="G60" s="137"/>
      <c r="H60" s="137"/>
      <c r="I60" s="30"/>
      <c r="J60" s="29">
        <v>50</v>
      </c>
      <c r="K60" s="70"/>
      <c r="L60" s="14"/>
      <c r="M60" s="29">
        <v>50</v>
      </c>
      <c r="N60" s="70"/>
      <c r="O60" s="31"/>
      <c r="P60" s="137"/>
      <c r="Q60" s="137"/>
    </row>
    <row r="61" spans="1:17" ht="13.8" customHeight="1" thickBot="1" x14ac:dyDescent="0.3">
      <c r="A61" s="137"/>
      <c r="B61" s="137"/>
      <c r="C61" s="137"/>
      <c r="D61" s="137"/>
      <c r="E61" s="137"/>
      <c r="F61" s="137"/>
      <c r="G61" s="137"/>
      <c r="H61" s="137"/>
      <c r="I61" s="32"/>
      <c r="J61" s="33"/>
      <c r="K61" s="34"/>
      <c r="L61" s="34"/>
      <c r="M61" s="34"/>
      <c r="N61" s="33"/>
      <c r="O61" s="35"/>
      <c r="P61" s="137"/>
      <c r="Q61" s="137"/>
    </row>
    <row r="62" spans="1:17" ht="13.2" customHeight="1" x14ac:dyDescent="0.25">
      <c r="A62" s="137"/>
      <c r="B62" s="137"/>
      <c r="C62" s="137"/>
      <c r="D62" s="137"/>
      <c r="E62" s="137"/>
      <c r="F62" s="137"/>
      <c r="G62" s="137"/>
      <c r="H62" s="137"/>
      <c r="I62" s="137"/>
      <c r="J62" s="137"/>
      <c r="K62" s="137"/>
      <c r="L62" s="137"/>
      <c r="M62" s="137"/>
      <c r="N62" s="137"/>
      <c r="O62" s="17" t="s">
        <v>18</v>
      </c>
      <c r="P62" s="137"/>
      <c r="Q62" s="137"/>
    </row>
    <row r="63" spans="1:17" ht="13.2" customHeight="1" x14ac:dyDescent="0.25">
      <c r="A63" s="137"/>
      <c r="B63" s="137"/>
      <c r="C63" s="137"/>
      <c r="D63" s="137"/>
      <c r="E63" s="137"/>
      <c r="F63" s="137"/>
      <c r="G63" s="137"/>
      <c r="H63" s="137"/>
      <c r="I63" s="137"/>
      <c r="J63" s="137"/>
      <c r="K63" s="137"/>
      <c r="L63" s="137"/>
      <c r="M63" s="137"/>
      <c r="N63" s="137"/>
      <c r="O63" s="17"/>
      <c r="P63" s="137"/>
      <c r="Q63" s="137"/>
    </row>
    <row r="64" spans="1:17" ht="13.2" customHeight="1" x14ac:dyDescent="0.25">
      <c r="A64" s="137"/>
      <c r="B64" s="137"/>
      <c r="C64" s="137"/>
      <c r="D64" s="137"/>
      <c r="E64" s="137"/>
      <c r="F64" s="137"/>
      <c r="G64" s="137"/>
      <c r="H64" s="137"/>
      <c r="I64" s="137"/>
      <c r="J64" s="137"/>
      <c r="K64" s="137"/>
      <c r="L64" s="137"/>
      <c r="M64" s="137"/>
      <c r="N64" s="137"/>
      <c r="O64" s="17"/>
      <c r="P64" s="137"/>
      <c r="Q64" s="137"/>
    </row>
  </sheetData>
  <mergeCells count="17">
    <mergeCell ref="A1:P5"/>
    <mergeCell ref="E10:F10"/>
    <mergeCell ref="M10:N10"/>
    <mergeCell ref="J10:K10"/>
    <mergeCell ref="E23:F23"/>
    <mergeCell ref="E13:F13"/>
    <mergeCell ref="E14:F14"/>
    <mergeCell ref="I7:O8"/>
    <mergeCell ref="B7:G8"/>
    <mergeCell ref="B20:G21"/>
    <mergeCell ref="B36:G38"/>
    <mergeCell ref="C28:F31"/>
    <mergeCell ref="E16:F16"/>
    <mergeCell ref="E15:F15"/>
    <mergeCell ref="E24:F24"/>
    <mergeCell ref="E25:F25"/>
    <mergeCell ref="E26:F26"/>
  </mergeCells>
  <dataValidations count="4">
    <dataValidation type="list" allowBlank="1" showInputMessage="1" showErrorMessage="1" promptTitle="School Year" prompt="Select the school year from the dropdown list." sqref="E15:F15" xr:uid="{00000000-0002-0000-0000-000000000000}">
      <formula1>"2026-2027,2027-2028,2028-2029,2029-2030"</formula1>
    </dataValidation>
    <dataValidation type="list" allowBlank="1" showErrorMessage="1" sqref="E25" xr:uid="{00000000-0002-0000-0000-000001000000}">
      <formula1>"2,3,4,5,6,7,8,9,10"</formula1>
    </dataValidation>
    <dataValidation type="list" allowBlank="1" showInputMessage="1" showErrorMessage="1" promptTitle="Subject" prompt="Select the subject from the dropdown list." sqref="E24:F24" xr:uid="{00000000-0002-0000-0000-000002000000}">
      <formula1>"MAPEH"</formula1>
    </dataValidation>
    <dataValidation type="list" allowBlank="1" showInputMessage="1" showErrorMessage="1" promptTitle="Region" prompt="Select the region from the dropdown list." sqref="E10:F10" xr:uid="{00000000-0002-0000-0000-000003000000}">
      <formula1>"Select Region,CAR,NCR,Region I,Region II,Region III,Region IV-A,MIMAROPA,Region V,Region VI,Region VII,Region VIII,NIR,Region IX,Region X,Region XI,Region XII,CARAGA,BARMM"</formula1>
    </dataValidation>
  </dataValidation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sheetView>
  </sheetViews>
  <sheetFormatPr defaultColWidth="12.6640625" defaultRowHeight="15.75" customHeight="1" x14ac:dyDescent="0.25"/>
  <cols>
    <col min="1" max="2" width="3.88671875" style="136" customWidth="1"/>
    <col min="3" max="5" width="12.6640625" style="136" customWidth="1"/>
    <col min="6" max="10" width="3.88671875" style="136" customWidth="1"/>
    <col min="11" max="11" width="5.109375" style="136" customWidth="1"/>
    <col min="12" max="12" width="5.6640625" style="136" customWidth="1"/>
    <col min="13" max="13" width="6.33203125" style="136" customWidth="1"/>
    <col min="14" max="16" width="3.88671875" style="136" customWidth="1"/>
    <col min="17" max="17" width="5.109375" style="136" customWidth="1"/>
    <col min="18" max="18" width="5.6640625" style="136" customWidth="1"/>
    <col min="19" max="19" width="6.33203125" style="136" customWidth="1"/>
    <col min="20" max="22" width="5.6640625" style="136" customWidth="1"/>
    <col min="23" max="25" width="8" style="136" customWidth="1"/>
    <col min="26" max="27" width="5.6640625" style="136" customWidth="1"/>
    <col min="28" max="28" width="7.33203125" style="136" customWidth="1"/>
    <col min="29" max="29" width="10.109375" style="136" customWidth="1"/>
    <col min="30" max="30" width="14.5546875" style="136" customWidth="1"/>
    <col min="31" max="31" width="12.6640625" style="136" customWidth="1"/>
    <col min="32" max="32" width="3.88671875" style="136" customWidth="1"/>
    <col min="33" max="33" width="12.6640625" style="136" customWidth="1"/>
    <col min="34" max="16384" width="12.6640625" style="136"/>
  </cols>
  <sheetData>
    <row r="1" spans="1:32" ht="15.75" customHeight="1" x14ac:dyDescent="0.5">
      <c r="A1" s="88"/>
      <c r="AF1" s="89"/>
    </row>
    <row r="2" spans="1:32" ht="15.75" customHeight="1" x14ac:dyDescent="0.25">
      <c r="B2" s="225" t="s">
        <v>19</v>
      </c>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F2" s="89"/>
    </row>
    <row r="3" spans="1:32" ht="15.75" customHeight="1" x14ac:dyDescent="0.25">
      <c r="B3" s="226"/>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F3" s="89"/>
    </row>
    <row r="4" spans="1:32" ht="15.75" customHeight="1" thickBot="1" x14ac:dyDescent="0.3">
      <c r="AF4" s="89"/>
    </row>
    <row r="5" spans="1:32" ht="15.75" customHeight="1" thickBot="1" x14ac:dyDescent="0.35">
      <c r="A5" s="135"/>
      <c r="B5" s="135"/>
      <c r="C5" s="135"/>
      <c r="D5" s="135"/>
      <c r="E5" s="92" t="s">
        <v>3</v>
      </c>
      <c r="F5" s="201" t="str">
        <f>IF('INPUT DATA'!E10="","",'INPUT DATA'!E10)</f>
        <v/>
      </c>
      <c r="G5" s="202"/>
      <c r="H5" s="202"/>
      <c r="I5" s="202"/>
      <c r="J5" s="202"/>
      <c r="K5" s="202"/>
      <c r="L5" s="203"/>
      <c r="M5" s="93"/>
      <c r="N5" s="93"/>
      <c r="O5" s="93"/>
      <c r="P5" s="93"/>
      <c r="Q5" s="92" t="s">
        <v>7</v>
      </c>
      <c r="R5" s="201" t="str">
        <f>IF('INPUT DATA'!E11="","",'INPUT DATA'!E11)</f>
        <v/>
      </c>
      <c r="S5" s="202"/>
      <c r="T5" s="202"/>
      <c r="U5" s="202"/>
      <c r="V5" s="203"/>
      <c r="W5" s="93"/>
      <c r="X5" s="93"/>
      <c r="Y5" s="92" t="s">
        <v>8</v>
      </c>
      <c r="Z5" s="201" t="str">
        <f>IF('INPUT DATA'!E13="","",'INPUT DATA'!E13)</f>
        <v/>
      </c>
      <c r="AA5" s="202"/>
      <c r="AB5" s="203"/>
      <c r="AC5" s="135"/>
      <c r="AD5" s="135"/>
      <c r="AE5" s="135"/>
      <c r="AF5" s="90"/>
    </row>
    <row r="6" spans="1:32" ht="6" customHeight="1" thickBot="1" x14ac:dyDescent="0.35">
      <c r="A6" s="135"/>
      <c r="B6" s="135"/>
      <c r="C6" s="135"/>
      <c r="D6" s="135"/>
      <c r="E6" s="92"/>
      <c r="F6" s="94"/>
      <c r="G6" s="95"/>
      <c r="H6" s="95"/>
      <c r="I6" s="95"/>
      <c r="J6" s="95"/>
      <c r="K6" s="95"/>
      <c r="L6" s="95"/>
      <c r="M6" s="93"/>
      <c r="N6" s="93"/>
      <c r="O6" s="93"/>
      <c r="P6" s="93"/>
      <c r="Q6" s="92"/>
      <c r="R6" s="94"/>
      <c r="S6" s="95"/>
      <c r="T6" s="95"/>
      <c r="U6" s="95"/>
      <c r="V6" s="95"/>
      <c r="W6" s="93"/>
      <c r="X6" s="93"/>
      <c r="Y6" s="92"/>
      <c r="Z6" s="94"/>
      <c r="AA6" s="95"/>
      <c r="AB6" s="95"/>
      <c r="AC6" s="135"/>
      <c r="AD6" s="135"/>
      <c r="AE6" s="135"/>
      <c r="AF6" s="90"/>
    </row>
    <row r="7" spans="1:32" ht="15.75" customHeight="1" thickBot="1" x14ac:dyDescent="0.35">
      <c r="A7" s="135"/>
      <c r="B7" s="135"/>
      <c r="C7" s="135"/>
      <c r="D7" s="135"/>
      <c r="E7" s="92" t="s">
        <v>9</v>
      </c>
      <c r="F7" s="201" t="str">
        <f>IF('INPUT DATA'!E14="","",'INPUT DATA'!E14)</f>
        <v/>
      </c>
      <c r="G7" s="202"/>
      <c r="H7" s="202"/>
      <c r="I7" s="202"/>
      <c r="J7" s="202"/>
      <c r="K7" s="202"/>
      <c r="L7" s="202"/>
      <c r="M7" s="202"/>
      <c r="N7" s="202"/>
      <c r="O7" s="202"/>
      <c r="P7" s="202"/>
      <c r="Q7" s="202"/>
      <c r="R7" s="202"/>
      <c r="S7" s="202"/>
      <c r="T7" s="202"/>
      <c r="U7" s="202"/>
      <c r="V7" s="203"/>
      <c r="W7" s="93"/>
      <c r="X7" s="93"/>
      <c r="Y7" s="92" t="s">
        <v>10</v>
      </c>
      <c r="Z7" s="201" t="str">
        <f>IF('INPUT DATA'!E15="","",'INPUT DATA'!E15)</f>
        <v/>
      </c>
      <c r="AA7" s="202"/>
      <c r="AB7" s="203"/>
      <c r="AC7" s="135"/>
      <c r="AD7" s="135"/>
      <c r="AE7" s="135"/>
      <c r="AF7" s="90"/>
    </row>
    <row r="8" spans="1:32" ht="13.8" customHeight="1" thickBot="1" x14ac:dyDescent="0.3">
      <c r="A8" s="135"/>
      <c r="B8" s="13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90"/>
    </row>
    <row r="9" spans="1:32" ht="15.75" customHeight="1" thickBot="1" x14ac:dyDescent="0.35">
      <c r="A9" s="135"/>
      <c r="B9" s="217"/>
      <c r="C9" s="218"/>
      <c r="D9" s="218"/>
      <c r="E9" s="218"/>
      <c r="F9" s="218"/>
      <c r="G9" s="218"/>
      <c r="H9" s="218"/>
      <c r="I9" s="218"/>
      <c r="J9" s="218"/>
      <c r="K9" s="218"/>
      <c r="L9" s="218"/>
      <c r="M9" s="218"/>
      <c r="N9" s="218"/>
      <c r="O9" s="218"/>
      <c r="P9" s="218"/>
      <c r="Q9" s="218"/>
      <c r="R9" s="218"/>
      <c r="S9" s="218"/>
      <c r="T9" s="218"/>
      <c r="U9" s="218"/>
      <c r="V9" s="218"/>
      <c r="W9" s="218"/>
      <c r="X9" s="218"/>
      <c r="Y9" s="218"/>
      <c r="Z9" s="218"/>
      <c r="AA9" s="218"/>
      <c r="AB9" s="218"/>
      <c r="AC9" s="218"/>
      <c r="AD9" s="219"/>
      <c r="AE9" s="135"/>
      <c r="AF9" s="91"/>
    </row>
    <row r="10" spans="1:32" ht="14.4" customHeight="1" thickBot="1" x14ac:dyDescent="0.3">
      <c r="A10" s="135"/>
      <c r="B10" s="220" t="s">
        <v>20</v>
      </c>
      <c r="C10" s="221"/>
      <c r="D10" s="221"/>
      <c r="E10" s="222"/>
      <c r="F10" s="235" t="s">
        <v>15</v>
      </c>
      <c r="G10" s="215"/>
      <c r="H10" s="215"/>
      <c r="I10" s="216"/>
      <c r="J10" s="224" t="str">
        <f>IF('INPUT DATA'!E25="","",'INPUT DATA'!E25)</f>
        <v/>
      </c>
      <c r="K10" s="215"/>
      <c r="L10" s="215"/>
      <c r="M10" s="216"/>
      <c r="N10" s="244" t="s">
        <v>21</v>
      </c>
      <c r="O10" s="221"/>
      <c r="P10" s="222"/>
      <c r="Q10" s="224" t="str">
        <f>IF('INPUT DATA'!E23="","",'INPUT DATA'!E23)</f>
        <v/>
      </c>
      <c r="R10" s="221"/>
      <c r="S10" s="221"/>
      <c r="T10" s="221"/>
      <c r="U10" s="221"/>
      <c r="V10" s="221"/>
      <c r="W10" s="221"/>
      <c r="X10" s="222"/>
      <c r="Y10" s="228" t="s">
        <v>14</v>
      </c>
      <c r="Z10" s="221"/>
      <c r="AA10" s="224" t="s">
        <v>22</v>
      </c>
      <c r="AB10" s="221"/>
      <c r="AC10" s="221"/>
      <c r="AD10" s="222"/>
      <c r="AE10" s="135"/>
      <c r="AF10" s="90"/>
    </row>
    <row r="11" spans="1:32" ht="14.4" customHeight="1" thickBot="1" x14ac:dyDescent="0.3">
      <c r="A11" s="135"/>
      <c r="B11" s="223"/>
      <c r="C11" s="221"/>
      <c r="D11" s="221"/>
      <c r="E11" s="222"/>
      <c r="F11" s="240" t="s">
        <v>16</v>
      </c>
      <c r="G11" s="202"/>
      <c r="H11" s="202"/>
      <c r="I11" s="203"/>
      <c r="J11" s="227" t="str">
        <f>IF('INPUT DATA'!E26="","",'INPUT DATA'!E26)</f>
        <v/>
      </c>
      <c r="K11" s="202"/>
      <c r="L11" s="202"/>
      <c r="M11" s="203"/>
      <c r="N11" s="214"/>
      <c r="O11" s="215"/>
      <c r="P11" s="216"/>
      <c r="Q11" s="214"/>
      <c r="R11" s="215"/>
      <c r="S11" s="215"/>
      <c r="T11" s="215"/>
      <c r="U11" s="215"/>
      <c r="V11" s="215"/>
      <c r="W11" s="215"/>
      <c r="X11" s="216"/>
      <c r="Y11" s="214"/>
      <c r="Z11" s="215"/>
      <c r="AA11" s="214"/>
      <c r="AB11" s="215"/>
      <c r="AC11" s="215"/>
      <c r="AD11" s="216"/>
      <c r="AE11" s="135"/>
      <c r="AF11" s="90"/>
    </row>
    <row r="12" spans="1:32" ht="13.2" customHeight="1" x14ac:dyDescent="0.25">
      <c r="A12" s="135"/>
      <c r="B12" s="223"/>
      <c r="C12" s="221"/>
      <c r="D12" s="221"/>
      <c r="E12" s="222"/>
      <c r="F12" s="238" t="s">
        <v>23</v>
      </c>
      <c r="G12" s="212"/>
      <c r="H12" s="212"/>
      <c r="I12" s="212"/>
      <c r="J12" s="212"/>
      <c r="K12" s="212"/>
      <c r="L12" s="212"/>
      <c r="M12" s="213"/>
      <c r="N12" s="206" t="s">
        <v>24</v>
      </c>
      <c r="O12" s="212"/>
      <c r="P12" s="212"/>
      <c r="Q12" s="212"/>
      <c r="R12" s="212"/>
      <c r="S12" s="213"/>
      <c r="T12" s="206" t="s">
        <v>25</v>
      </c>
      <c r="U12" s="212"/>
      <c r="V12" s="212"/>
      <c r="W12" s="212"/>
      <c r="X12" s="212"/>
      <c r="Y12" s="212"/>
      <c r="Z12" s="212"/>
      <c r="AA12" s="213"/>
      <c r="AB12" s="206" t="s">
        <v>26</v>
      </c>
      <c r="AC12" s="206" t="s">
        <v>27</v>
      </c>
      <c r="AD12" s="206" t="s">
        <v>28</v>
      </c>
      <c r="AE12" s="135"/>
      <c r="AF12" s="90"/>
    </row>
    <row r="13" spans="1:32" ht="13.8" customHeight="1" thickBot="1" x14ac:dyDescent="0.3">
      <c r="A13" s="135"/>
      <c r="B13" s="223"/>
      <c r="C13" s="221"/>
      <c r="D13" s="221"/>
      <c r="E13" s="222"/>
      <c r="F13" s="214"/>
      <c r="G13" s="215"/>
      <c r="H13" s="215"/>
      <c r="I13" s="215"/>
      <c r="J13" s="215"/>
      <c r="K13" s="215"/>
      <c r="L13" s="215"/>
      <c r="M13" s="216"/>
      <c r="N13" s="214"/>
      <c r="O13" s="215"/>
      <c r="P13" s="215"/>
      <c r="Q13" s="215"/>
      <c r="R13" s="215"/>
      <c r="S13" s="216"/>
      <c r="T13" s="214"/>
      <c r="U13" s="215"/>
      <c r="V13" s="215"/>
      <c r="W13" s="215"/>
      <c r="X13" s="215"/>
      <c r="Y13" s="215"/>
      <c r="Z13" s="215"/>
      <c r="AA13" s="216"/>
      <c r="AB13" s="207"/>
      <c r="AC13" s="207"/>
      <c r="AD13" s="207"/>
      <c r="AE13" s="135"/>
      <c r="AF13" s="90"/>
    </row>
    <row r="14" spans="1:32" ht="13.8" customHeight="1" thickBot="1" x14ac:dyDescent="0.3">
      <c r="A14" s="135"/>
      <c r="B14" s="223"/>
      <c r="C14" s="221"/>
      <c r="D14" s="221"/>
      <c r="E14" s="222"/>
      <c r="F14" s="75">
        <v>1</v>
      </c>
      <c r="G14" s="76">
        <v>2</v>
      </c>
      <c r="H14" s="76">
        <v>3</v>
      </c>
      <c r="I14" s="76">
        <v>4</v>
      </c>
      <c r="J14" s="103">
        <v>5</v>
      </c>
      <c r="K14" s="77" t="s">
        <v>29</v>
      </c>
      <c r="L14" s="77" t="s">
        <v>30</v>
      </c>
      <c r="M14" s="77" t="s">
        <v>31</v>
      </c>
      <c r="N14" s="75">
        <v>1</v>
      </c>
      <c r="O14" s="76">
        <v>2</v>
      </c>
      <c r="P14" s="103">
        <v>3</v>
      </c>
      <c r="Q14" s="77" t="s">
        <v>29</v>
      </c>
      <c r="R14" s="77" t="s">
        <v>30</v>
      </c>
      <c r="S14" s="77" t="s">
        <v>31</v>
      </c>
      <c r="T14" s="75" t="s">
        <v>32</v>
      </c>
      <c r="U14" s="76" t="s">
        <v>33</v>
      </c>
      <c r="V14" s="103" t="s">
        <v>34</v>
      </c>
      <c r="W14" s="78" t="s">
        <v>35</v>
      </c>
      <c r="X14" s="79" t="s">
        <v>36</v>
      </c>
      <c r="Y14" s="80" t="s">
        <v>37</v>
      </c>
      <c r="Z14" s="77" t="s">
        <v>30</v>
      </c>
      <c r="AA14" s="77" t="s">
        <v>31</v>
      </c>
      <c r="AB14" s="207"/>
      <c r="AC14" s="207"/>
      <c r="AD14" s="207"/>
      <c r="AE14" s="135"/>
      <c r="AF14" s="90"/>
    </row>
    <row r="15" spans="1:32" ht="14.4" customHeight="1" thickBot="1" x14ac:dyDescent="0.3">
      <c r="A15" s="135"/>
      <c r="B15" s="231" t="s">
        <v>38</v>
      </c>
      <c r="C15" s="202"/>
      <c r="D15" s="202"/>
      <c r="E15" s="203"/>
      <c r="F15" s="175"/>
      <c r="G15" s="176"/>
      <c r="H15" s="176"/>
      <c r="I15" s="176"/>
      <c r="J15" s="177"/>
      <c r="K15" s="63" t="str">
        <f>IF(COUNT(F15:J15)=0,"",SUM(F15:J15))</f>
        <v/>
      </c>
      <c r="L15" s="71">
        <v>100</v>
      </c>
      <c r="M15" s="72">
        <v>0.2</v>
      </c>
      <c r="N15" s="175"/>
      <c r="O15" s="176"/>
      <c r="P15" s="177"/>
      <c r="Q15" s="63" t="str">
        <f>IF(COUNT(N15:P15)=0,"",SUM(N15:P15))</f>
        <v/>
      </c>
      <c r="R15" s="73">
        <v>100</v>
      </c>
      <c r="S15" s="74">
        <v>0.6</v>
      </c>
      <c r="T15" s="175"/>
      <c r="U15" s="176"/>
      <c r="V15" s="177"/>
      <c r="W15" s="84">
        <v>30</v>
      </c>
      <c r="X15" s="85">
        <v>30</v>
      </c>
      <c r="Y15" s="86">
        <v>40</v>
      </c>
      <c r="Z15" s="73">
        <v>100</v>
      </c>
      <c r="AA15" s="74">
        <v>0.2</v>
      </c>
      <c r="AB15" s="208"/>
      <c r="AC15" s="208"/>
      <c r="AD15" s="208"/>
      <c r="AE15" s="135"/>
      <c r="AF15" s="90"/>
    </row>
    <row r="16" spans="1:32" ht="14.4" customHeight="1" thickBot="1" x14ac:dyDescent="0.3">
      <c r="A16" s="135"/>
      <c r="B16" s="232" t="s">
        <v>2</v>
      </c>
      <c r="C16" s="233"/>
      <c r="D16" s="233"/>
      <c r="E16" s="233"/>
      <c r="F16" s="233"/>
      <c r="G16" s="233"/>
      <c r="H16" s="233"/>
      <c r="I16" s="233"/>
      <c r="J16" s="233"/>
      <c r="K16" s="233"/>
      <c r="L16" s="233"/>
      <c r="M16" s="233"/>
      <c r="N16" s="233"/>
      <c r="O16" s="233"/>
      <c r="P16" s="233"/>
      <c r="Q16" s="233"/>
      <c r="R16" s="233"/>
      <c r="S16" s="233"/>
      <c r="T16" s="233"/>
      <c r="U16" s="233"/>
      <c r="V16" s="233"/>
      <c r="W16" s="233"/>
      <c r="X16" s="233"/>
      <c r="Y16" s="233"/>
      <c r="Z16" s="233"/>
      <c r="AA16" s="233"/>
      <c r="AB16" s="233"/>
      <c r="AC16" s="233"/>
      <c r="AD16" s="234"/>
      <c r="AE16" s="135"/>
      <c r="AF16" s="90"/>
    </row>
    <row r="17" spans="1:32" ht="14.4" customHeight="1" thickBot="1" x14ac:dyDescent="0.3">
      <c r="A17" s="135"/>
      <c r="B17" s="241" t="s">
        <v>5</v>
      </c>
      <c r="C17" s="233"/>
      <c r="D17" s="233"/>
      <c r="E17" s="233"/>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5"/>
      <c r="AF17" s="90"/>
    </row>
    <row r="18" spans="1:32" ht="15" customHeight="1" x14ac:dyDescent="0.25">
      <c r="A18" s="135"/>
      <c r="B18" s="64">
        <v>1</v>
      </c>
      <c r="C18" s="211" t="str">
        <f>IF('INPUT DATA'!K11="","",'INPUT DATA'!K11)</f>
        <v/>
      </c>
      <c r="D18" s="205"/>
      <c r="E18" s="205"/>
      <c r="F18" s="120"/>
      <c r="G18" s="121"/>
      <c r="H18" s="121"/>
      <c r="I18" s="121"/>
      <c r="J18" s="122"/>
      <c r="K18" s="142" t="str">
        <f t="shared" ref="K18:K81" si="0">IF(COUNT($F18:$J18)=0,"",SUM($F18:$J18))</f>
        <v/>
      </c>
      <c r="L18" s="142" t="str">
        <f t="shared" ref="L18" si="1">IF(COUNT(F18:J18)=0,"",IFERROR(K18/$K$15*$L$15,""))</f>
        <v/>
      </c>
      <c r="M18" s="145" t="str">
        <f t="shared" ref="M18" si="2">IF(L18="","",L18*$M$15)</f>
        <v/>
      </c>
      <c r="N18" s="120"/>
      <c r="O18" s="121"/>
      <c r="P18" s="122"/>
      <c r="Q18" s="142" t="str">
        <f t="shared" ref="Q18" si="3">IF(COUNT(N18:P18)=0,"",SUM(N18:P18))</f>
        <v/>
      </c>
      <c r="R18" s="142" t="str">
        <f t="shared" ref="R18" si="4">IF(COUNT(N18:P18)=0,"",IFERROR(Q18/$Q$15*$R$15,""))</f>
        <v/>
      </c>
      <c r="S18" s="142" t="str">
        <f t="shared" ref="S18" si="5">IF(R18="","",R18*$S$15)</f>
        <v/>
      </c>
      <c r="T18" s="120"/>
      <c r="U18" s="121"/>
      <c r="V18" s="122"/>
      <c r="W18" s="142" t="str">
        <f t="shared" ref="W18" si="6">IF(T18="","",IFERROR(T18/$T$15*$W$15,""))</f>
        <v/>
      </c>
      <c r="X18" s="142" t="str">
        <f t="shared" ref="X18" si="7">IF(U18="","",IFERROR(U18/$U$15*$X$15,""))</f>
        <v/>
      </c>
      <c r="Y18" s="142" t="str">
        <f t="shared" ref="Y18" si="8">IF(V18="","",IFERROR(V18/$V$15*$Y$15,""))</f>
        <v/>
      </c>
      <c r="Z18" s="149" t="str">
        <f t="shared" ref="Z18" si="9">IF(COUNT(T18:V18)=0,"",SUM(W18:Y18))</f>
        <v/>
      </c>
      <c r="AA18" s="142" t="str">
        <f t="shared" ref="AA18" si="10">IF(Z18="","",Z18*$AA$15)</f>
        <v/>
      </c>
      <c r="AB18" s="151" t="str">
        <f t="shared" ref="AB18" si="11">IF(COUNT(F18:J18,N18:P18,T18:V18)=0,"",SUM(M18,S18,AA18))</f>
        <v/>
      </c>
      <c r="AC18" s="157" t="str">
        <f>IF(AB18="","",IFERROR(INDEX(HELPER!$D$8:$D$48,IF(AB18&gt;=HELPER!$B$8,1,MATCH(AB18,HELPER!$B$8:$B$48,-1)+1)),""))</f>
        <v/>
      </c>
      <c r="AD18" s="154" t="str">
        <f>IF(AC18="","",IFERROR(VLOOKUP(AC18,HELPER!$F$8:$G$48,2,FALSE),""))</f>
        <v/>
      </c>
      <c r="AE18" s="135"/>
      <c r="AF18" s="90"/>
    </row>
    <row r="19" spans="1:32" ht="15" customHeight="1" x14ac:dyDescent="0.25">
      <c r="A19" s="135"/>
      <c r="B19" s="65">
        <v>2</v>
      </c>
      <c r="C19" s="211" t="str">
        <f>IF('INPUT DATA'!K12="","",'INPUT DATA'!K12)</f>
        <v/>
      </c>
      <c r="D19" s="205"/>
      <c r="E19" s="205"/>
      <c r="F19" s="123"/>
      <c r="G19" s="119"/>
      <c r="H19" s="119"/>
      <c r="I19" s="119"/>
      <c r="J19" s="124"/>
      <c r="K19" s="143" t="str">
        <f t="shared" si="0"/>
        <v/>
      </c>
      <c r="L19" s="143" t="str">
        <f t="shared" ref="L19:L67" si="12">IF(COUNT(F19:J19)=0,"",IFERROR(K19/$K$15*$L$15,""))</f>
        <v/>
      </c>
      <c r="M19" s="146" t="str">
        <f t="shared" ref="M19:M67" si="13">IF(L19="","",L19*$M$15)</f>
        <v/>
      </c>
      <c r="N19" s="123"/>
      <c r="O19" s="119"/>
      <c r="P19" s="124"/>
      <c r="Q19" s="143" t="str">
        <f t="shared" ref="Q19:Q67" si="14">IF(COUNT(N19:P19)=0,"",SUM(N19:P19))</f>
        <v/>
      </c>
      <c r="R19" s="143" t="str">
        <f t="shared" ref="R19:R67" si="15">IF(COUNT(N19:P19)=0,"",IFERROR(Q19/$Q$15*$R$15,""))</f>
        <v/>
      </c>
      <c r="S19" s="143" t="str">
        <f t="shared" ref="S19:S67" si="16">IF(R19="","",R19*$S$15)</f>
        <v/>
      </c>
      <c r="T19" s="123"/>
      <c r="U19" s="119"/>
      <c r="V19" s="124"/>
      <c r="W19" s="143" t="str">
        <f t="shared" ref="W19:W67" si="17">IF(T19="","",IFERROR(T19/$T$15*$W$15,""))</f>
        <v/>
      </c>
      <c r="X19" s="143" t="str">
        <f t="shared" ref="X19:X67" si="18">IF(U19="","",IFERROR(U19/$U$15*$X$15,""))</f>
        <v/>
      </c>
      <c r="Y19" s="143" t="str">
        <f t="shared" ref="Y19:Y67" si="19">IF(V19="","",IFERROR(V19/$V$15*$Y$15,""))</f>
        <v/>
      </c>
      <c r="Z19" s="150" t="str">
        <f t="shared" ref="Z19:Z67" si="20">IF(COUNT(T19:V19)=0,"",SUM(W19:Y19))</f>
        <v/>
      </c>
      <c r="AA19" s="143" t="str">
        <f t="shared" ref="AA19:AA67" si="21">IF(Z19="","",Z19*$AA$15)</f>
        <v/>
      </c>
      <c r="AB19" s="152" t="str">
        <f t="shared" ref="AB19:AB67" si="22">IF(COUNT(F19:J19,N19:P19,T19:V19)=0,"",SUM(M19,S19,AA19))</f>
        <v/>
      </c>
      <c r="AC19" s="158" t="str">
        <f>IF(AB19="","",IFERROR(INDEX(HELPER!$D$8:$D$48,IF(AB19&gt;=HELPER!$B$8,1,MATCH(AB19,HELPER!$B$8:$B$48,-1)+1)),""))</f>
        <v/>
      </c>
      <c r="AD19" s="155" t="str">
        <f>IF(AC19="","",IFERROR(VLOOKUP(AC19,HELPER!$F$8:$G$48,2,FALSE),""))</f>
        <v/>
      </c>
      <c r="AE19" s="135"/>
      <c r="AF19" s="90"/>
    </row>
    <row r="20" spans="1:32" ht="15" customHeight="1" x14ac:dyDescent="0.25">
      <c r="A20" s="135"/>
      <c r="B20" s="65">
        <v>3</v>
      </c>
      <c r="C20" s="211" t="str">
        <f>IF('INPUT DATA'!K13="","",'INPUT DATA'!K13)</f>
        <v/>
      </c>
      <c r="D20" s="205"/>
      <c r="E20" s="205"/>
      <c r="F20" s="123"/>
      <c r="G20" s="119"/>
      <c r="H20" s="119"/>
      <c r="I20" s="119"/>
      <c r="J20" s="124"/>
      <c r="K20" s="143" t="str">
        <f t="shared" si="0"/>
        <v/>
      </c>
      <c r="L20" s="143" t="str">
        <f t="shared" si="12"/>
        <v/>
      </c>
      <c r="M20" s="146" t="str">
        <f t="shared" si="13"/>
        <v/>
      </c>
      <c r="N20" s="123"/>
      <c r="O20" s="119"/>
      <c r="P20" s="124"/>
      <c r="Q20" s="143" t="str">
        <f t="shared" si="14"/>
        <v/>
      </c>
      <c r="R20" s="143" t="str">
        <f t="shared" si="15"/>
        <v/>
      </c>
      <c r="S20" s="143" t="str">
        <f t="shared" si="16"/>
        <v/>
      </c>
      <c r="T20" s="123"/>
      <c r="U20" s="119"/>
      <c r="V20" s="124"/>
      <c r="W20" s="143" t="str">
        <f t="shared" si="17"/>
        <v/>
      </c>
      <c r="X20" s="143" t="str">
        <f t="shared" si="18"/>
        <v/>
      </c>
      <c r="Y20" s="143" t="str">
        <f t="shared" si="19"/>
        <v/>
      </c>
      <c r="Z20" s="150" t="str">
        <f t="shared" si="20"/>
        <v/>
      </c>
      <c r="AA20" s="143" t="str">
        <f t="shared" si="21"/>
        <v/>
      </c>
      <c r="AB20" s="152" t="str">
        <f t="shared" si="22"/>
        <v/>
      </c>
      <c r="AC20" s="158" t="str">
        <f>IF(AB20="","",IFERROR(INDEX(HELPER!$D$8:$D$48,IF(AB20&gt;=HELPER!$B$8,1,MATCH(AB20,HELPER!$B$8:$B$48,-1)+1)),""))</f>
        <v/>
      </c>
      <c r="AD20" s="155" t="str">
        <f>IF(AC20="","",IFERROR(VLOOKUP(AC20,HELPER!$F$8:$G$48,2,FALSE),""))</f>
        <v/>
      </c>
      <c r="AE20" s="135"/>
      <c r="AF20" s="90"/>
    </row>
    <row r="21" spans="1:32" ht="15" customHeight="1" x14ac:dyDescent="0.25">
      <c r="A21" s="135"/>
      <c r="B21" s="65">
        <v>4</v>
      </c>
      <c r="C21" s="211" t="str">
        <f>IF('INPUT DATA'!K14="","",'INPUT DATA'!K14)</f>
        <v/>
      </c>
      <c r="D21" s="205"/>
      <c r="E21" s="205"/>
      <c r="F21" s="123"/>
      <c r="G21" s="119"/>
      <c r="H21" s="119"/>
      <c r="I21" s="119"/>
      <c r="J21" s="124"/>
      <c r="K21" s="143" t="str">
        <f t="shared" si="0"/>
        <v/>
      </c>
      <c r="L21" s="143" t="str">
        <f t="shared" si="12"/>
        <v/>
      </c>
      <c r="M21" s="146" t="str">
        <f t="shared" si="13"/>
        <v/>
      </c>
      <c r="N21" s="123"/>
      <c r="O21" s="119"/>
      <c r="P21" s="124"/>
      <c r="Q21" s="143" t="str">
        <f t="shared" si="14"/>
        <v/>
      </c>
      <c r="R21" s="143" t="str">
        <f t="shared" si="15"/>
        <v/>
      </c>
      <c r="S21" s="143" t="str">
        <f t="shared" si="16"/>
        <v/>
      </c>
      <c r="T21" s="123"/>
      <c r="U21" s="119"/>
      <c r="V21" s="124"/>
      <c r="W21" s="143" t="str">
        <f t="shared" si="17"/>
        <v/>
      </c>
      <c r="X21" s="143" t="str">
        <f t="shared" si="18"/>
        <v/>
      </c>
      <c r="Y21" s="143" t="str">
        <f t="shared" si="19"/>
        <v/>
      </c>
      <c r="Z21" s="150" t="str">
        <f t="shared" si="20"/>
        <v/>
      </c>
      <c r="AA21" s="143" t="str">
        <f t="shared" si="21"/>
        <v/>
      </c>
      <c r="AB21" s="152" t="str">
        <f t="shared" si="22"/>
        <v/>
      </c>
      <c r="AC21" s="158" t="str">
        <f>IF(AB21="","",IFERROR(INDEX(HELPER!$D$8:$D$48,IF(AB21&gt;=HELPER!$B$8,1,MATCH(AB21,HELPER!$B$8:$B$48,-1)+1)),""))</f>
        <v/>
      </c>
      <c r="AD21" s="155" t="str">
        <f>IF(AC21="","",IFERROR(VLOOKUP(AC21,HELPER!$F$8:$G$48,2,FALSE),""))</f>
        <v/>
      </c>
      <c r="AE21" s="135"/>
      <c r="AF21" s="90"/>
    </row>
    <row r="22" spans="1:32" ht="15" customHeight="1" x14ac:dyDescent="0.25">
      <c r="A22" s="135"/>
      <c r="B22" s="65">
        <v>5</v>
      </c>
      <c r="C22" s="204" t="str">
        <f>IF('INPUT DATA'!K15="","",'INPUT DATA'!K15)</f>
        <v/>
      </c>
      <c r="D22" s="205"/>
      <c r="E22" s="205"/>
      <c r="F22" s="123"/>
      <c r="G22" s="119"/>
      <c r="H22" s="119"/>
      <c r="I22" s="119"/>
      <c r="J22" s="124"/>
      <c r="K22" s="143" t="str">
        <f t="shared" si="0"/>
        <v/>
      </c>
      <c r="L22" s="143" t="str">
        <f t="shared" si="12"/>
        <v/>
      </c>
      <c r="M22" s="146" t="str">
        <f t="shared" si="13"/>
        <v/>
      </c>
      <c r="N22" s="123"/>
      <c r="O22" s="119"/>
      <c r="P22" s="124"/>
      <c r="Q22" s="143" t="str">
        <f t="shared" si="14"/>
        <v/>
      </c>
      <c r="R22" s="143" t="str">
        <f t="shared" si="15"/>
        <v/>
      </c>
      <c r="S22" s="143" t="str">
        <f t="shared" si="16"/>
        <v/>
      </c>
      <c r="T22" s="123"/>
      <c r="U22" s="119"/>
      <c r="V22" s="124"/>
      <c r="W22" s="143" t="str">
        <f t="shared" si="17"/>
        <v/>
      </c>
      <c r="X22" s="143" t="str">
        <f t="shared" si="18"/>
        <v/>
      </c>
      <c r="Y22" s="143" t="str">
        <f t="shared" si="19"/>
        <v/>
      </c>
      <c r="Z22" s="150" t="str">
        <f t="shared" si="20"/>
        <v/>
      </c>
      <c r="AA22" s="143" t="str">
        <f t="shared" si="21"/>
        <v/>
      </c>
      <c r="AB22" s="152" t="str">
        <f t="shared" si="22"/>
        <v/>
      </c>
      <c r="AC22" s="158" t="str">
        <f>IF(AB22="","",IFERROR(INDEX(HELPER!$D$8:$D$48,IF(AB22&gt;=HELPER!$B$8,1,MATCH(AB22,HELPER!$B$8:$B$48,-1)+1)),""))</f>
        <v/>
      </c>
      <c r="AD22" s="155" t="str">
        <f>IF(AC22="","",IFERROR(VLOOKUP(AC22,HELPER!$F$8:$G$48,2,FALSE),""))</f>
        <v/>
      </c>
      <c r="AE22" s="135"/>
      <c r="AF22" s="90"/>
    </row>
    <row r="23" spans="1:32" ht="15" customHeight="1" x14ac:dyDescent="0.25">
      <c r="A23" s="135"/>
      <c r="B23" s="65">
        <v>6</v>
      </c>
      <c r="C23" s="204" t="str">
        <f>IF('INPUT DATA'!K16="","",'INPUT DATA'!K16)</f>
        <v/>
      </c>
      <c r="D23" s="205"/>
      <c r="E23" s="205"/>
      <c r="F23" s="123"/>
      <c r="G23" s="119"/>
      <c r="H23" s="119"/>
      <c r="I23" s="119"/>
      <c r="J23" s="124"/>
      <c r="K23" s="143" t="str">
        <f t="shared" si="0"/>
        <v/>
      </c>
      <c r="L23" s="143" t="str">
        <f t="shared" si="12"/>
        <v/>
      </c>
      <c r="M23" s="146" t="str">
        <f t="shared" si="13"/>
        <v/>
      </c>
      <c r="N23" s="123"/>
      <c r="O23" s="119"/>
      <c r="P23" s="124"/>
      <c r="Q23" s="143" t="str">
        <f t="shared" si="14"/>
        <v/>
      </c>
      <c r="R23" s="143" t="str">
        <f t="shared" si="15"/>
        <v/>
      </c>
      <c r="S23" s="143" t="str">
        <f t="shared" si="16"/>
        <v/>
      </c>
      <c r="T23" s="123"/>
      <c r="U23" s="119"/>
      <c r="V23" s="124"/>
      <c r="W23" s="143" t="str">
        <f t="shared" si="17"/>
        <v/>
      </c>
      <c r="X23" s="143" t="str">
        <f t="shared" si="18"/>
        <v/>
      </c>
      <c r="Y23" s="143" t="str">
        <f t="shared" si="19"/>
        <v/>
      </c>
      <c r="Z23" s="150" t="str">
        <f t="shared" si="20"/>
        <v/>
      </c>
      <c r="AA23" s="143" t="str">
        <f t="shared" si="21"/>
        <v/>
      </c>
      <c r="AB23" s="152" t="str">
        <f t="shared" si="22"/>
        <v/>
      </c>
      <c r="AC23" s="158" t="str">
        <f>IF(AB23="","",IFERROR(INDEX(HELPER!$D$8:$D$48,IF(AB23&gt;=HELPER!$B$8,1,MATCH(AB23,HELPER!$B$8:$B$48,-1)+1)),""))</f>
        <v/>
      </c>
      <c r="AD23" s="155" t="str">
        <f>IF(AC23="","",IFERROR(VLOOKUP(AC23,HELPER!$F$8:$G$48,2,FALSE),""))</f>
        <v/>
      </c>
      <c r="AE23" s="135"/>
      <c r="AF23" s="90"/>
    </row>
    <row r="24" spans="1:32" ht="15" customHeight="1" x14ac:dyDescent="0.25">
      <c r="A24" s="135"/>
      <c r="B24" s="65">
        <v>7</v>
      </c>
      <c r="C24" s="204" t="str">
        <f>IF('INPUT DATA'!K17="","",'INPUT DATA'!K17)</f>
        <v/>
      </c>
      <c r="D24" s="205"/>
      <c r="E24" s="205"/>
      <c r="F24" s="123"/>
      <c r="G24" s="119"/>
      <c r="H24" s="119"/>
      <c r="I24" s="119"/>
      <c r="J24" s="124"/>
      <c r="K24" s="143" t="str">
        <f t="shared" si="0"/>
        <v/>
      </c>
      <c r="L24" s="143" t="str">
        <f t="shared" si="12"/>
        <v/>
      </c>
      <c r="M24" s="146" t="str">
        <f t="shared" si="13"/>
        <v/>
      </c>
      <c r="N24" s="123"/>
      <c r="O24" s="119"/>
      <c r="P24" s="124"/>
      <c r="Q24" s="143" t="str">
        <f t="shared" si="14"/>
        <v/>
      </c>
      <c r="R24" s="143" t="str">
        <f t="shared" si="15"/>
        <v/>
      </c>
      <c r="S24" s="143" t="str">
        <f t="shared" si="16"/>
        <v/>
      </c>
      <c r="T24" s="123"/>
      <c r="U24" s="119"/>
      <c r="V24" s="124"/>
      <c r="W24" s="143" t="str">
        <f t="shared" si="17"/>
        <v/>
      </c>
      <c r="X24" s="143" t="str">
        <f t="shared" si="18"/>
        <v/>
      </c>
      <c r="Y24" s="143" t="str">
        <f t="shared" si="19"/>
        <v/>
      </c>
      <c r="Z24" s="150" t="str">
        <f t="shared" si="20"/>
        <v/>
      </c>
      <c r="AA24" s="143" t="str">
        <f t="shared" si="21"/>
        <v/>
      </c>
      <c r="AB24" s="152" t="str">
        <f t="shared" si="22"/>
        <v/>
      </c>
      <c r="AC24" s="158" t="str">
        <f>IF(AB24="","",IFERROR(INDEX(HELPER!$D$8:$D$48,IF(AB24&gt;=HELPER!$B$8,1,MATCH(AB24,HELPER!$B$8:$B$48,-1)+1)),""))</f>
        <v/>
      </c>
      <c r="AD24" s="155" t="str">
        <f>IF(AC24="","",IFERROR(VLOOKUP(AC24,HELPER!$F$8:$G$48,2,FALSE),""))</f>
        <v/>
      </c>
      <c r="AE24" s="135"/>
      <c r="AF24" s="90"/>
    </row>
    <row r="25" spans="1:32" ht="15" customHeight="1" x14ac:dyDescent="0.25">
      <c r="A25" s="135"/>
      <c r="B25" s="65">
        <v>8</v>
      </c>
      <c r="C25" s="204" t="str">
        <f>IF('INPUT DATA'!K18="","",'INPUT DATA'!K18)</f>
        <v/>
      </c>
      <c r="D25" s="205"/>
      <c r="E25" s="205"/>
      <c r="F25" s="123"/>
      <c r="G25" s="119"/>
      <c r="H25" s="119"/>
      <c r="I25" s="119"/>
      <c r="J25" s="124"/>
      <c r="K25" s="143" t="str">
        <f t="shared" si="0"/>
        <v/>
      </c>
      <c r="L25" s="143" t="str">
        <f t="shared" si="12"/>
        <v/>
      </c>
      <c r="M25" s="146" t="str">
        <f t="shared" si="13"/>
        <v/>
      </c>
      <c r="N25" s="123"/>
      <c r="O25" s="119"/>
      <c r="P25" s="124"/>
      <c r="Q25" s="143" t="str">
        <f t="shared" si="14"/>
        <v/>
      </c>
      <c r="R25" s="143" t="str">
        <f t="shared" si="15"/>
        <v/>
      </c>
      <c r="S25" s="143" t="str">
        <f t="shared" si="16"/>
        <v/>
      </c>
      <c r="T25" s="123"/>
      <c r="U25" s="119"/>
      <c r="V25" s="124"/>
      <c r="W25" s="143" t="str">
        <f t="shared" si="17"/>
        <v/>
      </c>
      <c r="X25" s="143" t="str">
        <f t="shared" si="18"/>
        <v/>
      </c>
      <c r="Y25" s="143" t="str">
        <f t="shared" si="19"/>
        <v/>
      </c>
      <c r="Z25" s="150" t="str">
        <f t="shared" si="20"/>
        <v/>
      </c>
      <c r="AA25" s="143" t="str">
        <f t="shared" si="21"/>
        <v/>
      </c>
      <c r="AB25" s="152" t="str">
        <f t="shared" si="22"/>
        <v/>
      </c>
      <c r="AC25" s="158" t="str">
        <f>IF(AB25="","",IFERROR(INDEX(HELPER!$D$8:$D$48,IF(AB25&gt;=HELPER!$B$8,1,MATCH(AB25,HELPER!$B$8:$B$48,-1)+1)),""))</f>
        <v/>
      </c>
      <c r="AD25" s="155" t="str">
        <f>IF(AC25="","",IFERROR(VLOOKUP(AC25,HELPER!$F$8:$G$48,2,FALSE),""))</f>
        <v/>
      </c>
      <c r="AE25" s="135"/>
      <c r="AF25" s="90"/>
    </row>
    <row r="26" spans="1:32" ht="15" customHeight="1" x14ac:dyDescent="0.25">
      <c r="A26" s="135"/>
      <c r="B26" s="65">
        <v>9</v>
      </c>
      <c r="C26" s="204" t="str">
        <f>IF('INPUT DATA'!K19="","",'INPUT DATA'!K19)</f>
        <v/>
      </c>
      <c r="D26" s="205"/>
      <c r="E26" s="205"/>
      <c r="F26" s="123"/>
      <c r="G26" s="119"/>
      <c r="H26" s="119"/>
      <c r="I26" s="119"/>
      <c r="J26" s="124"/>
      <c r="K26" s="143" t="str">
        <f t="shared" si="0"/>
        <v/>
      </c>
      <c r="L26" s="143" t="str">
        <f t="shared" si="12"/>
        <v/>
      </c>
      <c r="M26" s="146" t="str">
        <f t="shared" si="13"/>
        <v/>
      </c>
      <c r="N26" s="123"/>
      <c r="O26" s="119"/>
      <c r="P26" s="124"/>
      <c r="Q26" s="143" t="str">
        <f t="shared" si="14"/>
        <v/>
      </c>
      <c r="R26" s="143" t="str">
        <f t="shared" si="15"/>
        <v/>
      </c>
      <c r="S26" s="143" t="str">
        <f t="shared" si="16"/>
        <v/>
      </c>
      <c r="T26" s="123"/>
      <c r="U26" s="119"/>
      <c r="V26" s="124"/>
      <c r="W26" s="143" t="str">
        <f t="shared" si="17"/>
        <v/>
      </c>
      <c r="X26" s="143" t="str">
        <f t="shared" si="18"/>
        <v/>
      </c>
      <c r="Y26" s="143" t="str">
        <f t="shared" si="19"/>
        <v/>
      </c>
      <c r="Z26" s="150" t="str">
        <f t="shared" si="20"/>
        <v/>
      </c>
      <c r="AA26" s="143" t="str">
        <f t="shared" si="21"/>
        <v/>
      </c>
      <c r="AB26" s="152" t="str">
        <f t="shared" si="22"/>
        <v/>
      </c>
      <c r="AC26" s="158" t="str">
        <f>IF(AB26="","",IFERROR(INDEX(HELPER!$D$8:$D$48,IF(AB26&gt;=HELPER!$B$8,1,MATCH(AB26,HELPER!$B$8:$B$48,-1)+1)),""))</f>
        <v/>
      </c>
      <c r="AD26" s="155" t="str">
        <f>IF(AC26="","",IFERROR(VLOOKUP(AC26,HELPER!$F$8:$G$48,2,FALSE),""))</f>
        <v/>
      </c>
      <c r="AE26" s="135"/>
      <c r="AF26" s="90"/>
    </row>
    <row r="27" spans="1:32" ht="15" customHeight="1" x14ac:dyDescent="0.25">
      <c r="A27" s="135"/>
      <c r="B27" s="65">
        <v>10</v>
      </c>
      <c r="C27" s="204" t="str">
        <f>IF('INPUT DATA'!K20="","",'INPUT DATA'!K20)</f>
        <v/>
      </c>
      <c r="D27" s="205"/>
      <c r="E27" s="205"/>
      <c r="F27" s="123"/>
      <c r="G27" s="119"/>
      <c r="H27" s="119"/>
      <c r="I27" s="119"/>
      <c r="J27" s="124"/>
      <c r="K27" s="143" t="str">
        <f t="shared" si="0"/>
        <v/>
      </c>
      <c r="L27" s="143" t="str">
        <f t="shared" si="12"/>
        <v/>
      </c>
      <c r="M27" s="146" t="str">
        <f t="shared" si="13"/>
        <v/>
      </c>
      <c r="N27" s="123"/>
      <c r="O27" s="119"/>
      <c r="P27" s="124"/>
      <c r="Q27" s="143" t="str">
        <f t="shared" si="14"/>
        <v/>
      </c>
      <c r="R27" s="143" t="str">
        <f t="shared" si="15"/>
        <v/>
      </c>
      <c r="S27" s="143" t="str">
        <f t="shared" si="16"/>
        <v/>
      </c>
      <c r="T27" s="123"/>
      <c r="U27" s="119"/>
      <c r="V27" s="124"/>
      <c r="W27" s="143" t="str">
        <f t="shared" si="17"/>
        <v/>
      </c>
      <c r="X27" s="143" t="str">
        <f t="shared" si="18"/>
        <v/>
      </c>
      <c r="Y27" s="143" t="str">
        <f t="shared" si="19"/>
        <v/>
      </c>
      <c r="Z27" s="150" t="str">
        <f t="shared" si="20"/>
        <v/>
      </c>
      <c r="AA27" s="143" t="str">
        <f t="shared" si="21"/>
        <v/>
      </c>
      <c r="AB27" s="152" t="str">
        <f t="shared" si="22"/>
        <v/>
      </c>
      <c r="AC27" s="158" t="str">
        <f>IF(AB27="","",IFERROR(INDEX(HELPER!$D$8:$D$48,IF(AB27&gt;=HELPER!$B$8,1,MATCH(AB27,HELPER!$B$8:$B$48,-1)+1)),""))</f>
        <v/>
      </c>
      <c r="AD27" s="155" t="str">
        <f>IF(AC27="","",IFERROR(VLOOKUP(AC27,HELPER!$F$8:$G$48,2,FALSE),""))</f>
        <v/>
      </c>
      <c r="AE27" s="135"/>
      <c r="AF27" s="90"/>
    </row>
    <row r="28" spans="1:32" ht="15" customHeight="1" x14ac:dyDescent="0.25">
      <c r="A28" s="135"/>
      <c r="B28" s="65">
        <v>11</v>
      </c>
      <c r="C28" s="204" t="str">
        <f>IF('INPUT DATA'!K21="","",'INPUT DATA'!K21)</f>
        <v/>
      </c>
      <c r="D28" s="205"/>
      <c r="E28" s="205"/>
      <c r="F28" s="123"/>
      <c r="G28" s="119"/>
      <c r="H28" s="119"/>
      <c r="I28" s="119"/>
      <c r="J28" s="124"/>
      <c r="K28" s="143" t="str">
        <f t="shared" si="0"/>
        <v/>
      </c>
      <c r="L28" s="143" t="str">
        <f t="shared" si="12"/>
        <v/>
      </c>
      <c r="M28" s="146" t="str">
        <f t="shared" si="13"/>
        <v/>
      </c>
      <c r="N28" s="123"/>
      <c r="O28" s="119"/>
      <c r="P28" s="124"/>
      <c r="Q28" s="143" t="str">
        <f t="shared" si="14"/>
        <v/>
      </c>
      <c r="R28" s="143" t="str">
        <f t="shared" si="15"/>
        <v/>
      </c>
      <c r="S28" s="143" t="str">
        <f t="shared" si="16"/>
        <v/>
      </c>
      <c r="T28" s="123"/>
      <c r="U28" s="119"/>
      <c r="V28" s="124"/>
      <c r="W28" s="143" t="str">
        <f t="shared" si="17"/>
        <v/>
      </c>
      <c r="X28" s="143" t="str">
        <f t="shared" si="18"/>
        <v/>
      </c>
      <c r="Y28" s="143" t="str">
        <f t="shared" si="19"/>
        <v/>
      </c>
      <c r="Z28" s="150" t="str">
        <f t="shared" si="20"/>
        <v/>
      </c>
      <c r="AA28" s="143" t="str">
        <f t="shared" si="21"/>
        <v/>
      </c>
      <c r="AB28" s="152" t="str">
        <f t="shared" si="22"/>
        <v/>
      </c>
      <c r="AC28" s="158" t="str">
        <f>IF(AB28="","",IFERROR(INDEX(HELPER!$D$8:$D$48,IF(AB28&gt;=HELPER!$B$8,1,MATCH(AB28,HELPER!$B$8:$B$48,-1)+1)),""))</f>
        <v/>
      </c>
      <c r="AD28" s="155" t="str">
        <f>IF(AC28="","",IFERROR(VLOOKUP(AC28,HELPER!$F$8:$G$48,2,FALSE),""))</f>
        <v/>
      </c>
      <c r="AE28" s="135"/>
      <c r="AF28" s="90"/>
    </row>
    <row r="29" spans="1:32" ht="15" customHeight="1" x14ac:dyDescent="0.25">
      <c r="A29" s="135"/>
      <c r="B29" s="65">
        <v>12</v>
      </c>
      <c r="C29" s="204" t="str">
        <f>IF('INPUT DATA'!K22="","",'INPUT DATA'!K22)</f>
        <v/>
      </c>
      <c r="D29" s="205"/>
      <c r="E29" s="205"/>
      <c r="F29" s="123"/>
      <c r="G29" s="119"/>
      <c r="H29" s="119"/>
      <c r="I29" s="119"/>
      <c r="J29" s="124"/>
      <c r="K29" s="143" t="str">
        <f t="shared" si="0"/>
        <v/>
      </c>
      <c r="L29" s="143" t="str">
        <f t="shared" si="12"/>
        <v/>
      </c>
      <c r="M29" s="146" t="str">
        <f t="shared" si="13"/>
        <v/>
      </c>
      <c r="N29" s="123"/>
      <c r="O29" s="119"/>
      <c r="P29" s="124"/>
      <c r="Q29" s="143" t="str">
        <f t="shared" si="14"/>
        <v/>
      </c>
      <c r="R29" s="143" t="str">
        <f t="shared" si="15"/>
        <v/>
      </c>
      <c r="S29" s="143" t="str">
        <f t="shared" si="16"/>
        <v/>
      </c>
      <c r="T29" s="123"/>
      <c r="U29" s="119"/>
      <c r="V29" s="124"/>
      <c r="W29" s="143" t="str">
        <f t="shared" si="17"/>
        <v/>
      </c>
      <c r="X29" s="143" t="str">
        <f t="shared" si="18"/>
        <v/>
      </c>
      <c r="Y29" s="143" t="str">
        <f t="shared" si="19"/>
        <v/>
      </c>
      <c r="Z29" s="150" t="str">
        <f t="shared" si="20"/>
        <v/>
      </c>
      <c r="AA29" s="143" t="str">
        <f t="shared" si="21"/>
        <v/>
      </c>
      <c r="AB29" s="152" t="str">
        <f t="shared" si="22"/>
        <v/>
      </c>
      <c r="AC29" s="158" t="str">
        <f>IF(AB29="","",IFERROR(INDEX(HELPER!$D$8:$D$48,IF(AB29&gt;=HELPER!$B$8,1,MATCH(AB29,HELPER!$B$8:$B$48,-1)+1)),""))</f>
        <v/>
      </c>
      <c r="AD29" s="155" t="str">
        <f>IF(AC29="","",IFERROR(VLOOKUP(AC29,HELPER!$F$8:$G$48,2,FALSE),""))</f>
        <v/>
      </c>
      <c r="AE29" s="135"/>
      <c r="AF29" s="90"/>
    </row>
    <row r="30" spans="1:32" ht="15" customHeight="1" x14ac:dyDescent="0.25">
      <c r="A30" s="135"/>
      <c r="B30" s="65">
        <v>13</v>
      </c>
      <c r="C30" s="204" t="str">
        <f>IF('INPUT DATA'!K23="","",'INPUT DATA'!K23)</f>
        <v/>
      </c>
      <c r="D30" s="205"/>
      <c r="E30" s="205"/>
      <c r="F30" s="123"/>
      <c r="G30" s="119"/>
      <c r="H30" s="119"/>
      <c r="I30" s="119"/>
      <c r="J30" s="124"/>
      <c r="K30" s="143" t="str">
        <f t="shared" si="0"/>
        <v/>
      </c>
      <c r="L30" s="143" t="str">
        <f t="shared" si="12"/>
        <v/>
      </c>
      <c r="M30" s="146" t="str">
        <f t="shared" si="13"/>
        <v/>
      </c>
      <c r="N30" s="123"/>
      <c r="O30" s="119"/>
      <c r="P30" s="124"/>
      <c r="Q30" s="143" t="str">
        <f t="shared" si="14"/>
        <v/>
      </c>
      <c r="R30" s="143" t="str">
        <f t="shared" si="15"/>
        <v/>
      </c>
      <c r="S30" s="143" t="str">
        <f t="shared" si="16"/>
        <v/>
      </c>
      <c r="T30" s="123"/>
      <c r="U30" s="119"/>
      <c r="V30" s="124"/>
      <c r="W30" s="143" t="str">
        <f t="shared" si="17"/>
        <v/>
      </c>
      <c r="X30" s="143" t="str">
        <f t="shared" si="18"/>
        <v/>
      </c>
      <c r="Y30" s="143" t="str">
        <f t="shared" si="19"/>
        <v/>
      </c>
      <c r="Z30" s="150" t="str">
        <f t="shared" si="20"/>
        <v/>
      </c>
      <c r="AA30" s="143" t="str">
        <f t="shared" si="21"/>
        <v/>
      </c>
      <c r="AB30" s="152" t="str">
        <f t="shared" si="22"/>
        <v/>
      </c>
      <c r="AC30" s="158" t="str">
        <f>IF(AB30="","",IFERROR(INDEX(HELPER!$D$8:$D$48,IF(AB30&gt;=HELPER!$B$8,1,MATCH(AB30,HELPER!$B$8:$B$48,-1)+1)),""))</f>
        <v/>
      </c>
      <c r="AD30" s="155" t="str">
        <f>IF(AC30="","",IFERROR(VLOOKUP(AC30,HELPER!$F$8:$G$48,2,FALSE),""))</f>
        <v/>
      </c>
      <c r="AE30" s="135"/>
      <c r="AF30" s="90"/>
    </row>
    <row r="31" spans="1:32" ht="15" customHeight="1" x14ac:dyDescent="0.25">
      <c r="A31" s="135"/>
      <c r="B31" s="65">
        <v>14</v>
      </c>
      <c r="C31" s="204" t="str">
        <f>IF('INPUT DATA'!K24="","",'INPUT DATA'!K24)</f>
        <v/>
      </c>
      <c r="D31" s="205"/>
      <c r="E31" s="205"/>
      <c r="F31" s="123"/>
      <c r="G31" s="119"/>
      <c r="H31" s="119"/>
      <c r="I31" s="119"/>
      <c r="J31" s="124"/>
      <c r="K31" s="143" t="str">
        <f t="shared" si="0"/>
        <v/>
      </c>
      <c r="L31" s="143" t="str">
        <f t="shared" si="12"/>
        <v/>
      </c>
      <c r="M31" s="146" t="str">
        <f t="shared" si="13"/>
        <v/>
      </c>
      <c r="N31" s="123"/>
      <c r="O31" s="119"/>
      <c r="P31" s="124"/>
      <c r="Q31" s="143" t="str">
        <f t="shared" si="14"/>
        <v/>
      </c>
      <c r="R31" s="143" t="str">
        <f t="shared" si="15"/>
        <v/>
      </c>
      <c r="S31" s="143" t="str">
        <f t="shared" si="16"/>
        <v/>
      </c>
      <c r="T31" s="123"/>
      <c r="U31" s="119"/>
      <c r="V31" s="124"/>
      <c r="W31" s="143" t="str">
        <f t="shared" si="17"/>
        <v/>
      </c>
      <c r="X31" s="143" t="str">
        <f t="shared" si="18"/>
        <v/>
      </c>
      <c r="Y31" s="143" t="str">
        <f t="shared" si="19"/>
        <v/>
      </c>
      <c r="Z31" s="150" t="str">
        <f t="shared" si="20"/>
        <v/>
      </c>
      <c r="AA31" s="143" t="str">
        <f t="shared" si="21"/>
        <v/>
      </c>
      <c r="AB31" s="152" t="str">
        <f t="shared" si="22"/>
        <v/>
      </c>
      <c r="AC31" s="158" t="str">
        <f>IF(AB31="","",IFERROR(INDEX(HELPER!$D$8:$D$48,IF(AB31&gt;=HELPER!$B$8,1,MATCH(AB31,HELPER!$B$8:$B$48,-1)+1)),""))</f>
        <v/>
      </c>
      <c r="AD31" s="155" t="str">
        <f>IF(AC31="","",IFERROR(VLOOKUP(AC31,HELPER!$F$8:$G$48,2,FALSE),""))</f>
        <v/>
      </c>
      <c r="AE31" s="135"/>
      <c r="AF31" s="90"/>
    </row>
    <row r="32" spans="1:32" ht="15" customHeight="1" x14ac:dyDescent="0.25">
      <c r="A32" s="135"/>
      <c r="B32" s="65">
        <v>15</v>
      </c>
      <c r="C32" s="204" t="str">
        <f>IF('INPUT DATA'!K25="","",'INPUT DATA'!K25)</f>
        <v/>
      </c>
      <c r="D32" s="205"/>
      <c r="E32" s="205"/>
      <c r="F32" s="123"/>
      <c r="G32" s="119"/>
      <c r="H32" s="119"/>
      <c r="I32" s="119"/>
      <c r="J32" s="124"/>
      <c r="K32" s="143" t="str">
        <f t="shared" si="0"/>
        <v/>
      </c>
      <c r="L32" s="143" t="str">
        <f t="shared" si="12"/>
        <v/>
      </c>
      <c r="M32" s="146" t="str">
        <f t="shared" si="13"/>
        <v/>
      </c>
      <c r="N32" s="123"/>
      <c r="O32" s="119"/>
      <c r="P32" s="124"/>
      <c r="Q32" s="143" t="str">
        <f t="shared" si="14"/>
        <v/>
      </c>
      <c r="R32" s="143" t="str">
        <f t="shared" si="15"/>
        <v/>
      </c>
      <c r="S32" s="143" t="str">
        <f t="shared" si="16"/>
        <v/>
      </c>
      <c r="T32" s="123"/>
      <c r="U32" s="119"/>
      <c r="V32" s="124"/>
      <c r="W32" s="143" t="str">
        <f t="shared" si="17"/>
        <v/>
      </c>
      <c r="X32" s="143" t="str">
        <f t="shared" si="18"/>
        <v/>
      </c>
      <c r="Y32" s="143" t="str">
        <f t="shared" si="19"/>
        <v/>
      </c>
      <c r="Z32" s="150" t="str">
        <f t="shared" si="20"/>
        <v/>
      </c>
      <c r="AA32" s="143" t="str">
        <f t="shared" si="21"/>
        <v/>
      </c>
      <c r="AB32" s="152" t="str">
        <f t="shared" si="22"/>
        <v/>
      </c>
      <c r="AC32" s="158" t="str">
        <f>IF(AB32="","",IFERROR(INDEX(HELPER!$D$8:$D$48,IF(AB32&gt;=HELPER!$B$8,1,MATCH(AB32,HELPER!$B$8:$B$48,-1)+1)),""))</f>
        <v/>
      </c>
      <c r="AD32" s="155" t="str">
        <f>IF(AC32="","",IFERROR(VLOOKUP(AC32,HELPER!$F$8:$G$48,2,FALSE),""))</f>
        <v/>
      </c>
      <c r="AE32" s="135"/>
      <c r="AF32" s="90"/>
    </row>
    <row r="33" spans="1:32" ht="15" customHeight="1" x14ac:dyDescent="0.25">
      <c r="A33" s="135"/>
      <c r="B33" s="65">
        <v>16</v>
      </c>
      <c r="C33" s="204" t="str">
        <f>IF('INPUT DATA'!K26="","",'INPUT DATA'!K26)</f>
        <v/>
      </c>
      <c r="D33" s="205"/>
      <c r="E33" s="205"/>
      <c r="F33" s="123"/>
      <c r="G33" s="119"/>
      <c r="H33" s="119"/>
      <c r="I33" s="119"/>
      <c r="J33" s="124"/>
      <c r="K33" s="143" t="str">
        <f t="shared" si="0"/>
        <v/>
      </c>
      <c r="L33" s="143" t="str">
        <f t="shared" si="12"/>
        <v/>
      </c>
      <c r="M33" s="146" t="str">
        <f t="shared" si="13"/>
        <v/>
      </c>
      <c r="N33" s="123"/>
      <c r="O33" s="119"/>
      <c r="P33" s="124"/>
      <c r="Q33" s="143" t="str">
        <f t="shared" si="14"/>
        <v/>
      </c>
      <c r="R33" s="143" t="str">
        <f t="shared" si="15"/>
        <v/>
      </c>
      <c r="S33" s="143" t="str">
        <f t="shared" si="16"/>
        <v/>
      </c>
      <c r="T33" s="123"/>
      <c r="U33" s="119"/>
      <c r="V33" s="124"/>
      <c r="W33" s="143" t="str">
        <f t="shared" si="17"/>
        <v/>
      </c>
      <c r="X33" s="143" t="str">
        <f t="shared" si="18"/>
        <v/>
      </c>
      <c r="Y33" s="143" t="str">
        <f t="shared" si="19"/>
        <v/>
      </c>
      <c r="Z33" s="150" t="str">
        <f t="shared" si="20"/>
        <v/>
      </c>
      <c r="AA33" s="143" t="str">
        <f t="shared" si="21"/>
        <v/>
      </c>
      <c r="AB33" s="152" t="str">
        <f t="shared" si="22"/>
        <v/>
      </c>
      <c r="AC33" s="158" t="str">
        <f>IF(AB33="","",IFERROR(INDEX(HELPER!$D$8:$D$48,IF(AB33&gt;=HELPER!$B$8,1,MATCH(AB33,HELPER!$B$8:$B$48,-1)+1)),""))</f>
        <v/>
      </c>
      <c r="AD33" s="155" t="str">
        <f>IF(AC33="","",IFERROR(VLOOKUP(AC33,HELPER!$F$8:$G$48,2,FALSE),""))</f>
        <v/>
      </c>
      <c r="AE33" s="135"/>
      <c r="AF33" s="90"/>
    </row>
    <row r="34" spans="1:32" ht="15" customHeight="1" x14ac:dyDescent="0.25">
      <c r="A34" s="135"/>
      <c r="B34" s="65">
        <v>17</v>
      </c>
      <c r="C34" s="204" t="str">
        <f>IF('INPUT DATA'!K27="","",'INPUT DATA'!K27)</f>
        <v/>
      </c>
      <c r="D34" s="205"/>
      <c r="E34" s="205"/>
      <c r="F34" s="123"/>
      <c r="G34" s="119"/>
      <c r="H34" s="119"/>
      <c r="I34" s="119"/>
      <c r="J34" s="124"/>
      <c r="K34" s="143" t="str">
        <f t="shared" si="0"/>
        <v/>
      </c>
      <c r="L34" s="143" t="str">
        <f t="shared" si="12"/>
        <v/>
      </c>
      <c r="M34" s="146" t="str">
        <f t="shared" si="13"/>
        <v/>
      </c>
      <c r="N34" s="123"/>
      <c r="O34" s="119"/>
      <c r="P34" s="124"/>
      <c r="Q34" s="143" t="str">
        <f t="shared" si="14"/>
        <v/>
      </c>
      <c r="R34" s="143" t="str">
        <f t="shared" si="15"/>
        <v/>
      </c>
      <c r="S34" s="143" t="str">
        <f t="shared" si="16"/>
        <v/>
      </c>
      <c r="T34" s="123"/>
      <c r="U34" s="119"/>
      <c r="V34" s="124"/>
      <c r="W34" s="143" t="str">
        <f t="shared" si="17"/>
        <v/>
      </c>
      <c r="X34" s="143" t="str">
        <f t="shared" si="18"/>
        <v/>
      </c>
      <c r="Y34" s="143" t="str">
        <f t="shared" si="19"/>
        <v/>
      </c>
      <c r="Z34" s="150" t="str">
        <f t="shared" si="20"/>
        <v/>
      </c>
      <c r="AA34" s="143" t="str">
        <f t="shared" si="21"/>
        <v/>
      </c>
      <c r="AB34" s="152" t="str">
        <f t="shared" si="22"/>
        <v/>
      </c>
      <c r="AC34" s="158" t="str">
        <f>IF(AB34="","",IFERROR(INDEX(HELPER!$D$8:$D$48,IF(AB34&gt;=HELPER!$B$8,1,MATCH(AB34,HELPER!$B$8:$B$48,-1)+1)),""))</f>
        <v/>
      </c>
      <c r="AD34" s="155" t="str">
        <f>IF(AC34="","",IFERROR(VLOOKUP(AC34,HELPER!$F$8:$G$48,2,FALSE),""))</f>
        <v/>
      </c>
      <c r="AE34" s="135"/>
      <c r="AF34" s="90"/>
    </row>
    <row r="35" spans="1:32" ht="15" customHeight="1" x14ac:dyDescent="0.25">
      <c r="A35" s="135"/>
      <c r="B35" s="65">
        <v>18</v>
      </c>
      <c r="C35" s="204" t="str">
        <f>IF('INPUT DATA'!K28="","",'INPUT DATA'!K28)</f>
        <v/>
      </c>
      <c r="D35" s="205"/>
      <c r="E35" s="205"/>
      <c r="F35" s="123"/>
      <c r="G35" s="119"/>
      <c r="H35" s="119"/>
      <c r="I35" s="119"/>
      <c r="J35" s="124"/>
      <c r="K35" s="143" t="str">
        <f t="shared" si="0"/>
        <v/>
      </c>
      <c r="L35" s="143" t="str">
        <f t="shared" si="12"/>
        <v/>
      </c>
      <c r="M35" s="146" t="str">
        <f t="shared" si="13"/>
        <v/>
      </c>
      <c r="N35" s="123"/>
      <c r="O35" s="119"/>
      <c r="P35" s="124"/>
      <c r="Q35" s="143" t="str">
        <f t="shared" si="14"/>
        <v/>
      </c>
      <c r="R35" s="143" t="str">
        <f t="shared" si="15"/>
        <v/>
      </c>
      <c r="S35" s="143" t="str">
        <f t="shared" si="16"/>
        <v/>
      </c>
      <c r="T35" s="123"/>
      <c r="U35" s="119"/>
      <c r="V35" s="124"/>
      <c r="W35" s="143" t="str">
        <f t="shared" si="17"/>
        <v/>
      </c>
      <c r="X35" s="143" t="str">
        <f t="shared" si="18"/>
        <v/>
      </c>
      <c r="Y35" s="143" t="str">
        <f t="shared" si="19"/>
        <v/>
      </c>
      <c r="Z35" s="150" t="str">
        <f t="shared" si="20"/>
        <v/>
      </c>
      <c r="AA35" s="143" t="str">
        <f t="shared" si="21"/>
        <v/>
      </c>
      <c r="AB35" s="152" t="str">
        <f t="shared" si="22"/>
        <v/>
      </c>
      <c r="AC35" s="158" t="str">
        <f>IF(AB35="","",IFERROR(INDEX(HELPER!$D$8:$D$48,IF(AB35&gt;=HELPER!$B$8,1,MATCH(AB35,HELPER!$B$8:$B$48,-1)+1)),""))</f>
        <v/>
      </c>
      <c r="AD35" s="155" t="str">
        <f>IF(AC35="","",IFERROR(VLOOKUP(AC35,HELPER!$F$8:$G$48,2,FALSE),""))</f>
        <v/>
      </c>
      <c r="AE35" s="135"/>
      <c r="AF35" s="90"/>
    </row>
    <row r="36" spans="1:32" ht="15" customHeight="1" x14ac:dyDescent="0.25">
      <c r="A36" s="135"/>
      <c r="B36" s="65">
        <v>19</v>
      </c>
      <c r="C36" s="204" t="str">
        <f>IF('INPUT DATA'!K29="","",'INPUT DATA'!K29)</f>
        <v/>
      </c>
      <c r="D36" s="205"/>
      <c r="E36" s="205"/>
      <c r="F36" s="123"/>
      <c r="G36" s="119"/>
      <c r="H36" s="119"/>
      <c r="I36" s="119"/>
      <c r="J36" s="124"/>
      <c r="K36" s="143" t="str">
        <f t="shared" si="0"/>
        <v/>
      </c>
      <c r="L36" s="143" t="str">
        <f t="shared" si="12"/>
        <v/>
      </c>
      <c r="M36" s="146" t="str">
        <f t="shared" si="13"/>
        <v/>
      </c>
      <c r="N36" s="123"/>
      <c r="O36" s="119"/>
      <c r="P36" s="124"/>
      <c r="Q36" s="143" t="str">
        <f t="shared" si="14"/>
        <v/>
      </c>
      <c r="R36" s="143" t="str">
        <f t="shared" si="15"/>
        <v/>
      </c>
      <c r="S36" s="143" t="str">
        <f t="shared" si="16"/>
        <v/>
      </c>
      <c r="T36" s="123"/>
      <c r="U36" s="119"/>
      <c r="V36" s="124"/>
      <c r="W36" s="143" t="str">
        <f t="shared" si="17"/>
        <v/>
      </c>
      <c r="X36" s="143" t="str">
        <f t="shared" si="18"/>
        <v/>
      </c>
      <c r="Y36" s="143" t="str">
        <f t="shared" si="19"/>
        <v/>
      </c>
      <c r="Z36" s="150" t="str">
        <f t="shared" si="20"/>
        <v/>
      </c>
      <c r="AA36" s="143" t="str">
        <f t="shared" si="21"/>
        <v/>
      </c>
      <c r="AB36" s="152" t="str">
        <f t="shared" si="22"/>
        <v/>
      </c>
      <c r="AC36" s="158" t="str">
        <f>IF(AB36="","",IFERROR(INDEX(HELPER!$D$8:$D$48,IF(AB36&gt;=HELPER!$B$8,1,MATCH(AB36,HELPER!$B$8:$B$48,-1)+1)),""))</f>
        <v/>
      </c>
      <c r="AD36" s="155" t="str">
        <f>IF(AC36="","",IFERROR(VLOOKUP(AC36,HELPER!$F$8:$G$48,2,FALSE),""))</f>
        <v/>
      </c>
      <c r="AE36" s="135"/>
      <c r="AF36" s="90"/>
    </row>
    <row r="37" spans="1:32" ht="15" customHeight="1" x14ac:dyDescent="0.25">
      <c r="A37" s="135"/>
      <c r="B37" s="66">
        <v>20</v>
      </c>
      <c r="C37" s="204" t="str">
        <f>IF('INPUT DATA'!K30="","",'INPUT DATA'!K30)</f>
        <v/>
      </c>
      <c r="D37" s="205"/>
      <c r="E37" s="205"/>
      <c r="F37" s="123"/>
      <c r="G37" s="119"/>
      <c r="H37" s="119"/>
      <c r="I37" s="119"/>
      <c r="J37" s="124"/>
      <c r="K37" s="143" t="str">
        <f t="shared" si="0"/>
        <v/>
      </c>
      <c r="L37" s="143" t="str">
        <f t="shared" si="12"/>
        <v/>
      </c>
      <c r="M37" s="146" t="str">
        <f t="shared" si="13"/>
        <v/>
      </c>
      <c r="N37" s="123"/>
      <c r="O37" s="119"/>
      <c r="P37" s="124"/>
      <c r="Q37" s="143" t="str">
        <f t="shared" si="14"/>
        <v/>
      </c>
      <c r="R37" s="143" t="str">
        <f t="shared" si="15"/>
        <v/>
      </c>
      <c r="S37" s="143" t="str">
        <f t="shared" si="16"/>
        <v/>
      </c>
      <c r="T37" s="123"/>
      <c r="U37" s="119"/>
      <c r="V37" s="124"/>
      <c r="W37" s="143" t="str">
        <f t="shared" si="17"/>
        <v/>
      </c>
      <c r="X37" s="143" t="str">
        <f t="shared" si="18"/>
        <v/>
      </c>
      <c r="Y37" s="143" t="str">
        <f t="shared" si="19"/>
        <v/>
      </c>
      <c r="Z37" s="150" t="str">
        <f t="shared" si="20"/>
        <v/>
      </c>
      <c r="AA37" s="143" t="str">
        <f t="shared" si="21"/>
        <v/>
      </c>
      <c r="AB37" s="152" t="str">
        <f t="shared" si="22"/>
        <v/>
      </c>
      <c r="AC37" s="158" t="str">
        <f>IF(AB37="","",IFERROR(INDEX(HELPER!$D$8:$D$48,IF(AB37&gt;=HELPER!$B$8,1,MATCH(AB37,HELPER!$B$8:$B$48,-1)+1)),""))</f>
        <v/>
      </c>
      <c r="AD37" s="155" t="str">
        <f>IF(AC37="","",IFERROR(VLOOKUP(AC37,HELPER!$F$8:$G$48,2,FALSE),""))</f>
        <v/>
      </c>
      <c r="AE37" s="135"/>
      <c r="AF37" s="90"/>
    </row>
    <row r="38" spans="1:32" ht="15" customHeight="1" x14ac:dyDescent="0.25">
      <c r="A38" s="135"/>
      <c r="B38" s="66">
        <v>21</v>
      </c>
      <c r="C38" s="204" t="str">
        <f>IF('INPUT DATA'!K31="","",'INPUT DATA'!K31)</f>
        <v/>
      </c>
      <c r="D38" s="205"/>
      <c r="E38" s="205"/>
      <c r="F38" s="123"/>
      <c r="G38" s="119"/>
      <c r="H38" s="119"/>
      <c r="I38" s="119"/>
      <c r="J38" s="124"/>
      <c r="K38" s="143" t="str">
        <f t="shared" si="0"/>
        <v/>
      </c>
      <c r="L38" s="143" t="str">
        <f t="shared" si="12"/>
        <v/>
      </c>
      <c r="M38" s="146" t="str">
        <f t="shared" si="13"/>
        <v/>
      </c>
      <c r="N38" s="123"/>
      <c r="O38" s="119"/>
      <c r="P38" s="124"/>
      <c r="Q38" s="143" t="str">
        <f t="shared" si="14"/>
        <v/>
      </c>
      <c r="R38" s="143" t="str">
        <f t="shared" si="15"/>
        <v/>
      </c>
      <c r="S38" s="143" t="str">
        <f t="shared" si="16"/>
        <v/>
      </c>
      <c r="T38" s="123"/>
      <c r="U38" s="119"/>
      <c r="V38" s="124"/>
      <c r="W38" s="143" t="str">
        <f t="shared" si="17"/>
        <v/>
      </c>
      <c r="X38" s="143" t="str">
        <f t="shared" si="18"/>
        <v/>
      </c>
      <c r="Y38" s="143" t="str">
        <f t="shared" si="19"/>
        <v/>
      </c>
      <c r="Z38" s="150" t="str">
        <f t="shared" si="20"/>
        <v/>
      </c>
      <c r="AA38" s="143" t="str">
        <f t="shared" si="21"/>
        <v/>
      </c>
      <c r="AB38" s="152" t="str">
        <f t="shared" si="22"/>
        <v/>
      </c>
      <c r="AC38" s="158" t="str">
        <f>IF(AB38="","",IFERROR(INDEX(HELPER!$D$8:$D$48,IF(AB38&gt;=HELPER!$B$8,1,MATCH(AB38,HELPER!$B$8:$B$48,-1)+1)),""))</f>
        <v/>
      </c>
      <c r="AD38" s="155" t="str">
        <f>IF(AC38="","",IFERROR(VLOOKUP(AC38,HELPER!$F$8:$G$48,2,FALSE),""))</f>
        <v/>
      </c>
      <c r="AE38" s="135"/>
      <c r="AF38" s="90"/>
    </row>
    <row r="39" spans="1:32" ht="15" customHeight="1" x14ac:dyDescent="0.25">
      <c r="A39" s="135"/>
      <c r="B39" s="66">
        <v>22</v>
      </c>
      <c r="C39" s="204" t="str">
        <f>IF('INPUT DATA'!K32="","",'INPUT DATA'!K32)</f>
        <v/>
      </c>
      <c r="D39" s="205"/>
      <c r="E39" s="205"/>
      <c r="F39" s="123"/>
      <c r="G39" s="119"/>
      <c r="H39" s="119"/>
      <c r="I39" s="119"/>
      <c r="J39" s="124"/>
      <c r="K39" s="143" t="str">
        <f t="shared" si="0"/>
        <v/>
      </c>
      <c r="L39" s="143" t="str">
        <f t="shared" si="12"/>
        <v/>
      </c>
      <c r="M39" s="146" t="str">
        <f t="shared" si="13"/>
        <v/>
      </c>
      <c r="N39" s="123"/>
      <c r="O39" s="119"/>
      <c r="P39" s="124"/>
      <c r="Q39" s="143" t="str">
        <f t="shared" si="14"/>
        <v/>
      </c>
      <c r="R39" s="143" t="str">
        <f t="shared" si="15"/>
        <v/>
      </c>
      <c r="S39" s="143" t="str">
        <f t="shared" si="16"/>
        <v/>
      </c>
      <c r="T39" s="123"/>
      <c r="U39" s="119"/>
      <c r="V39" s="124"/>
      <c r="W39" s="143" t="str">
        <f t="shared" si="17"/>
        <v/>
      </c>
      <c r="X39" s="143" t="str">
        <f t="shared" si="18"/>
        <v/>
      </c>
      <c r="Y39" s="143" t="str">
        <f t="shared" si="19"/>
        <v/>
      </c>
      <c r="Z39" s="150" t="str">
        <f t="shared" si="20"/>
        <v/>
      </c>
      <c r="AA39" s="143" t="str">
        <f t="shared" si="21"/>
        <v/>
      </c>
      <c r="AB39" s="152" t="str">
        <f t="shared" si="22"/>
        <v/>
      </c>
      <c r="AC39" s="158" t="str">
        <f>IF(AB39="","",IFERROR(INDEX(HELPER!$D$8:$D$48,IF(AB39&gt;=HELPER!$B$8,1,MATCH(AB39,HELPER!$B$8:$B$48,-1)+1)),""))</f>
        <v/>
      </c>
      <c r="AD39" s="155" t="str">
        <f>IF(AC39="","",IFERROR(VLOOKUP(AC39,HELPER!$F$8:$G$48,2,FALSE),""))</f>
        <v/>
      </c>
      <c r="AE39" s="135"/>
      <c r="AF39" s="90"/>
    </row>
    <row r="40" spans="1:32" ht="15" customHeight="1" x14ac:dyDescent="0.25">
      <c r="A40" s="135"/>
      <c r="B40" s="66">
        <v>23</v>
      </c>
      <c r="C40" s="204" t="str">
        <f>IF('INPUT DATA'!K33="","",'INPUT DATA'!K33)</f>
        <v/>
      </c>
      <c r="D40" s="205"/>
      <c r="E40" s="205"/>
      <c r="F40" s="123"/>
      <c r="G40" s="119"/>
      <c r="H40" s="119"/>
      <c r="I40" s="119"/>
      <c r="J40" s="124"/>
      <c r="K40" s="143" t="str">
        <f t="shared" si="0"/>
        <v/>
      </c>
      <c r="L40" s="143" t="str">
        <f t="shared" si="12"/>
        <v/>
      </c>
      <c r="M40" s="146" t="str">
        <f t="shared" si="13"/>
        <v/>
      </c>
      <c r="N40" s="123"/>
      <c r="O40" s="119"/>
      <c r="P40" s="124"/>
      <c r="Q40" s="143" t="str">
        <f t="shared" si="14"/>
        <v/>
      </c>
      <c r="R40" s="143" t="str">
        <f t="shared" si="15"/>
        <v/>
      </c>
      <c r="S40" s="143" t="str">
        <f t="shared" si="16"/>
        <v/>
      </c>
      <c r="T40" s="123"/>
      <c r="U40" s="119"/>
      <c r="V40" s="124"/>
      <c r="W40" s="143" t="str">
        <f t="shared" si="17"/>
        <v/>
      </c>
      <c r="X40" s="143" t="str">
        <f t="shared" si="18"/>
        <v/>
      </c>
      <c r="Y40" s="143" t="str">
        <f t="shared" si="19"/>
        <v/>
      </c>
      <c r="Z40" s="150" t="str">
        <f t="shared" si="20"/>
        <v/>
      </c>
      <c r="AA40" s="143" t="str">
        <f t="shared" si="21"/>
        <v/>
      </c>
      <c r="AB40" s="152" t="str">
        <f t="shared" si="22"/>
        <v/>
      </c>
      <c r="AC40" s="158" t="str">
        <f>IF(AB40="","",IFERROR(INDEX(HELPER!$D$8:$D$48,IF(AB40&gt;=HELPER!$B$8,1,MATCH(AB40,HELPER!$B$8:$B$48,-1)+1)),""))</f>
        <v/>
      </c>
      <c r="AD40" s="155" t="str">
        <f>IF(AC40="","",IFERROR(VLOOKUP(AC40,HELPER!$F$8:$G$48,2,FALSE),""))</f>
        <v/>
      </c>
      <c r="AE40" s="135"/>
      <c r="AF40" s="90"/>
    </row>
    <row r="41" spans="1:32" ht="15" customHeight="1" x14ac:dyDescent="0.25">
      <c r="A41" s="135"/>
      <c r="B41" s="66">
        <v>24</v>
      </c>
      <c r="C41" s="204" t="str">
        <f>IF('INPUT DATA'!K34="","",'INPUT DATA'!K34)</f>
        <v/>
      </c>
      <c r="D41" s="205"/>
      <c r="E41" s="205"/>
      <c r="F41" s="123"/>
      <c r="G41" s="119"/>
      <c r="H41" s="119"/>
      <c r="I41" s="119"/>
      <c r="J41" s="124"/>
      <c r="K41" s="143" t="str">
        <f t="shared" si="0"/>
        <v/>
      </c>
      <c r="L41" s="143" t="str">
        <f t="shared" si="12"/>
        <v/>
      </c>
      <c r="M41" s="146" t="str">
        <f t="shared" si="13"/>
        <v/>
      </c>
      <c r="N41" s="123"/>
      <c r="O41" s="119"/>
      <c r="P41" s="124"/>
      <c r="Q41" s="143" t="str">
        <f t="shared" si="14"/>
        <v/>
      </c>
      <c r="R41" s="143" t="str">
        <f t="shared" si="15"/>
        <v/>
      </c>
      <c r="S41" s="143" t="str">
        <f t="shared" si="16"/>
        <v/>
      </c>
      <c r="T41" s="123"/>
      <c r="U41" s="119"/>
      <c r="V41" s="124"/>
      <c r="W41" s="143" t="str">
        <f t="shared" si="17"/>
        <v/>
      </c>
      <c r="X41" s="143" t="str">
        <f t="shared" si="18"/>
        <v/>
      </c>
      <c r="Y41" s="143" t="str">
        <f t="shared" si="19"/>
        <v/>
      </c>
      <c r="Z41" s="150" t="str">
        <f t="shared" si="20"/>
        <v/>
      </c>
      <c r="AA41" s="143" t="str">
        <f t="shared" si="21"/>
        <v/>
      </c>
      <c r="AB41" s="152" t="str">
        <f t="shared" si="22"/>
        <v/>
      </c>
      <c r="AC41" s="158" t="str">
        <f>IF(AB41="","",IFERROR(INDEX(HELPER!$D$8:$D$48,IF(AB41&gt;=HELPER!$B$8,1,MATCH(AB41,HELPER!$B$8:$B$48,-1)+1)),""))</f>
        <v/>
      </c>
      <c r="AD41" s="155" t="str">
        <f>IF(AC41="","",IFERROR(VLOOKUP(AC41,HELPER!$F$8:$G$48,2,FALSE),""))</f>
        <v/>
      </c>
      <c r="AE41" s="135"/>
      <c r="AF41" s="90"/>
    </row>
    <row r="42" spans="1:32" ht="15" customHeight="1" x14ac:dyDescent="0.25">
      <c r="A42" s="135"/>
      <c r="B42" s="66">
        <v>25</v>
      </c>
      <c r="C42" s="204" t="str">
        <f>IF('INPUT DATA'!K35="","",'INPUT DATA'!K35)</f>
        <v/>
      </c>
      <c r="D42" s="205"/>
      <c r="E42" s="205"/>
      <c r="F42" s="123"/>
      <c r="G42" s="119"/>
      <c r="H42" s="119"/>
      <c r="I42" s="119"/>
      <c r="J42" s="124"/>
      <c r="K42" s="143" t="str">
        <f t="shared" si="0"/>
        <v/>
      </c>
      <c r="L42" s="143" t="str">
        <f t="shared" si="12"/>
        <v/>
      </c>
      <c r="M42" s="146" t="str">
        <f t="shared" si="13"/>
        <v/>
      </c>
      <c r="N42" s="123"/>
      <c r="O42" s="119"/>
      <c r="P42" s="124"/>
      <c r="Q42" s="143" t="str">
        <f t="shared" si="14"/>
        <v/>
      </c>
      <c r="R42" s="143" t="str">
        <f t="shared" si="15"/>
        <v/>
      </c>
      <c r="S42" s="143" t="str">
        <f t="shared" si="16"/>
        <v/>
      </c>
      <c r="T42" s="123"/>
      <c r="U42" s="119"/>
      <c r="V42" s="124"/>
      <c r="W42" s="143" t="str">
        <f t="shared" si="17"/>
        <v/>
      </c>
      <c r="X42" s="143" t="str">
        <f t="shared" si="18"/>
        <v/>
      </c>
      <c r="Y42" s="143" t="str">
        <f t="shared" si="19"/>
        <v/>
      </c>
      <c r="Z42" s="150" t="str">
        <f t="shared" si="20"/>
        <v/>
      </c>
      <c r="AA42" s="143" t="str">
        <f t="shared" si="21"/>
        <v/>
      </c>
      <c r="AB42" s="152" t="str">
        <f t="shared" si="22"/>
        <v/>
      </c>
      <c r="AC42" s="158" t="str">
        <f>IF(AB42="","",IFERROR(INDEX(HELPER!$D$8:$D$48,IF(AB42&gt;=HELPER!$B$8,1,MATCH(AB42,HELPER!$B$8:$B$48,-1)+1)),""))</f>
        <v/>
      </c>
      <c r="AD42" s="155" t="str">
        <f>IF(AC42="","",IFERROR(VLOOKUP(AC42,HELPER!$F$8:$G$48,2,FALSE),""))</f>
        <v/>
      </c>
      <c r="AE42" s="135"/>
      <c r="AF42" s="90"/>
    </row>
    <row r="43" spans="1:32" ht="15" customHeight="1" x14ac:dyDescent="0.25">
      <c r="A43" s="135"/>
      <c r="B43" s="66">
        <v>26</v>
      </c>
      <c r="C43" s="204" t="str">
        <f>IF('INPUT DATA'!K36="","",'INPUT DATA'!K36)</f>
        <v/>
      </c>
      <c r="D43" s="205"/>
      <c r="E43" s="205"/>
      <c r="F43" s="123"/>
      <c r="G43" s="119"/>
      <c r="H43" s="119"/>
      <c r="I43" s="119"/>
      <c r="J43" s="124"/>
      <c r="K43" s="143" t="str">
        <f t="shared" si="0"/>
        <v/>
      </c>
      <c r="L43" s="143" t="str">
        <f t="shared" si="12"/>
        <v/>
      </c>
      <c r="M43" s="146" t="str">
        <f t="shared" si="13"/>
        <v/>
      </c>
      <c r="N43" s="123"/>
      <c r="O43" s="119"/>
      <c r="P43" s="124"/>
      <c r="Q43" s="143" t="str">
        <f t="shared" si="14"/>
        <v/>
      </c>
      <c r="R43" s="143" t="str">
        <f t="shared" si="15"/>
        <v/>
      </c>
      <c r="S43" s="143" t="str">
        <f t="shared" si="16"/>
        <v/>
      </c>
      <c r="T43" s="123"/>
      <c r="U43" s="119"/>
      <c r="V43" s="124"/>
      <c r="W43" s="143" t="str">
        <f t="shared" si="17"/>
        <v/>
      </c>
      <c r="X43" s="143" t="str">
        <f t="shared" si="18"/>
        <v/>
      </c>
      <c r="Y43" s="143" t="str">
        <f t="shared" si="19"/>
        <v/>
      </c>
      <c r="Z43" s="150" t="str">
        <f t="shared" si="20"/>
        <v/>
      </c>
      <c r="AA43" s="143" t="str">
        <f t="shared" si="21"/>
        <v/>
      </c>
      <c r="AB43" s="152" t="str">
        <f t="shared" si="22"/>
        <v/>
      </c>
      <c r="AC43" s="158" t="str">
        <f>IF(AB43="","",IFERROR(INDEX(HELPER!$D$8:$D$48,IF(AB43&gt;=HELPER!$B$8,1,MATCH(AB43,HELPER!$B$8:$B$48,-1)+1)),""))</f>
        <v/>
      </c>
      <c r="AD43" s="155" t="str">
        <f>IF(AC43="","",IFERROR(VLOOKUP(AC43,HELPER!$F$8:$G$48,2,FALSE),""))</f>
        <v/>
      </c>
      <c r="AE43" s="135"/>
      <c r="AF43" s="90"/>
    </row>
    <row r="44" spans="1:32" ht="15" customHeight="1" x14ac:dyDescent="0.25">
      <c r="A44" s="135"/>
      <c r="B44" s="66">
        <v>27</v>
      </c>
      <c r="C44" s="204" t="str">
        <f>IF('INPUT DATA'!K37="","",'INPUT DATA'!K37)</f>
        <v/>
      </c>
      <c r="D44" s="205"/>
      <c r="E44" s="205"/>
      <c r="F44" s="123"/>
      <c r="G44" s="119"/>
      <c r="H44" s="119"/>
      <c r="I44" s="119"/>
      <c r="J44" s="124"/>
      <c r="K44" s="143" t="str">
        <f t="shared" si="0"/>
        <v/>
      </c>
      <c r="L44" s="143" t="str">
        <f t="shared" si="12"/>
        <v/>
      </c>
      <c r="M44" s="146" t="str">
        <f t="shared" si="13"/>
        <v/>
      </c>
      <c r="N44" s="123"/>
      <c r="O44" s="119"/>
      <c r="P44" s="124"/>
      <c r="Q44" s="143" t="str">
        <f t="shared" si="14"/>
        <v/>
      </c>
      <c r="R44" s="143" t="str">
        <f t="shared" si="15"/>
        <v/>
      </c>
      <c r="S44" s="143" t="str">
        <f t="shared" si="16"/>
        <v/>
      </c>
      <c r="T44" s="123"/>
      <c r="U44" s="119"/>
      <c r="V44" s="124"/>
      <c r="W44" s="143" t="str">
        <f t="shared" si="17"/>
        <v/>
      </c>
      <c r="X44" s="143" t="str">
        <f t="shared" si="18"/>
        <v/>
      </c>
      <c r="Y44" s="143" t="str">
        <f t="shared" si="19"/>
        <v/>
      </c>
      <c r="Z44" s="150" t="str">
        <f t="shared" si="20"/>
        <v/>
      </c>
      <c r="AA44" s="143" t="str">
        <f t="shared" si="21"/>
        <v/>
      </c>
      <c r="AB44" s="152" t="str">
        <f t="shared" si="22"/>
        <v/>
      </c>
      <c r="AC44" s="158" t="str">
        <f>IF(AB44="","",IFERROR(INDEX(HELPER!$D$8:$D$48,IF(AB44&gt;=HELPER!$B$8,1,MATCH(AB44,HELPER!$B$8:$B$48,-1)+1)),""))</f>
        <v/>
      </c>
      <c r="AD44" s="155" t="str">
        <f>IF(AC44="","",IFERROR(VLOOKUP(AC44,HELPER!$F$8:$G$48,2,FALSE),""))</f>
        <v/>
      </c>
      <c r="AE44" s="135"/>
      <c r="AF44" s="90"/>
    </row>
    <row r="45" spans="1:32" ht="15" customHeight="1" x14ac:dyDescent="0.25">
      <c r="A45" s="135"/>
      <c r="B45" s="66">
        <v>28</v>
      </c>
      <c r="C45" s="204" t="str">
        <f>IF('INPUT DATA'!K38="","",'INPUT DATA'!K38)</f>
        <v/>
      </c>
      <c r="D45" s="205"/>
      <c r="E45" s="205"/>
      <c r="F45" s="123"/>
      <c r="G45" s="119"/>
      <c r="H45" s="119"/>
      <c r="I45" s="119"/>
      <c r="J45" s="124"/>
      <c r="K45" s="143" t="str">
        <f t="shared" si="0"/>
        <v/>
      </c>
      <c r="L45" s="143" t="str">
        <f t="shared" si="12"/>
        <v/>
      </c>
      <c r="M45" s="146" t="str">
        <f t="shared" si="13"/>
        <v/>
      </c>
      <c r="N45" s="123"/>
      <c r="O45" s="119"/>
      <c r="P45" s="124"/>
      <c r="Q45" s="143" t="str">
        <f t="shared" si="14"/>
        <v/>
      </c>
      <c r="R45" s="143" t="str">
        <f t="shared" si="15"/>
        <v/>
      </c>
      <c r="S45" s="143" t="str">
        <f t="shared" si="16"/>
        <v/>
      </c>
      <c r="T45" s="123"/>
      <c r="U45" s="119"/>
      <c r="V45" s="124"/>
      <c r="W45" s="143" t="str">
        <f t="shared" si="17"/>
        <v/>
      </c>
      <c r="X45" s="143" t="str">
        <f t="shared" si="18"/>
        <v/>
      </c>
      <c r="Y45" s="143" t="str">
        <f t="shared" si="19"/>
        <v/>
      </c>
      <c r="Z45" s="150" t="str">
        <f t="shared" si="20"/>
        <v/>
      </c>
      <c r="AA45" s="143" t="str">
        <f t="shared" si="21"/>
        <v/>
      </c>
      <c r="AB45" s="152" t="str">
        <f t="shared" si="22"/>
        <v/>
      </c>
      <c r="AC45" s="158" t="str">
        <f>IF(AB45="","",IFERROR(INDEX(HELPER!$D$8:$D$48,IF(AB45&gt;=HELPER!$B$8,1,MATCH(AB45,HELPER!$B$8:$B$48,-1)+1)),""))</f>
        <v/>
      </c>
      <c r="AD45" s="155" t="str">
        <f>IF(AC45="","",IFERROR(VLOOKUP(AC45,HELPER!$F$8:$G$48,2,FALSE),""))</f>
        <v/>
      </c>
      <c r="AE45" s="135"/>
      <c r="AF45" s="90"/>
    </row>
    <row r="46" spans="1:32" ht="15" customHeight="1" x14ac:dyDescent="0.25">
      <c r="A46" s="135"/>
      <c r="B46" s="66">
        <v>29</v>
      </c>
      <c r="C46" s="204" t="str">
        <f>IF('INPUT DATA'!K39="","",'INPUT DATA'!K39)</f>
        <v/>
      </c>
      <c r="D46" s="205"/>
      <c r="E46" s="205"/>
      <c r="F46" s="123"/>
      <c r="G46" s="119"/>
      <c r="H46" s="119"/>
      <c r="I46" s="119"/>
      <c r="J46" s="124"/>
      <c r="K46" s="143" t="str">
        <f t="shared" si="0"/>
        <v/>
      </c>
      <c r="L46" s="143" t="str">
        <f t="shared" si="12"/>
        <v/>
      </c>
      <c r="M46" s="146" t="str">
        <f t="shared" si="13"/>
        <v/>
      </c>
      <c r="N46" s="123"/>
      <c r="O46" s="119"/>
      <c r="P46" s="124"/>
      <c r="Q46" s="143" t="str">
        <f t="shared" si="14"/>
        <v/>
      </c>
      <c r="R46" s="143" t="str">
        <f t="shared" si="15"/>
        <v/>
      </c>
      <c r="S46" s="143" t="str">
        <f t="shared" si="16"/>
        <v/>
      </c>
      <c r="T46" s="123"/>
      <c r="U46" s="119"/>
      <c r="V46" s="124"/>
      <c r="W46" s="143" t="str">
        <f t="shared" si="17"/>
        <v/>
      </c>
      <c r="X46" s="143" t="str">
        <f t="shared" si="18"/>
        <v/>
      </c>
      <c r="Y46" s="143" t="str">
        <f t="shared" si="19"/>
        <v/>
      </c>
      <c r="Z46" s="150" t="str">
        <f t="shared" si="20"/>
        <v/>
      </c>
      <c r="AA46" s="143" t="str">
        <f t="shared" si="21"/>
        <v/>
      </c>
      <c r="AB46" s="152" t="str">
        <f t="shared" si="22"/>
        <v/>
      </c>
      <c r="AC46" s="158" t="str">
        <f>IF(AB46="","",IFERROR(INDEX(HELPER!$D$8:$D$48,IF(AB46&gt;=HELPER!$B$8,1,MATCH(AB46,HELPER!$B$8:$B$48,-1)+1)),""))</f>
        <v/>
      </c>
      <c r="AD46" s="155" t="str">
        <f>IF(AC46="","",IFERROR(VLOOKUP(AC46,HELPER!$F$8:$G$48,2,FALSE),""))</f>
        <v/>
      </c>
      <c r="AE46" s="135"/>
      <c r="AF46" s="90"/>
    </row>
    <row r="47" spans="1:32" ht="15" customHeight="1" x14ac:dyDescent="0.25">
      <c r="A47" s="135"/>
      <c r="B47" s="66">
        <v>30</v>
      </c>
      <c r="C47" s="204" t="str">
        <f>IF('INPUT DATA'!K40="","",'INPUT DATA'!K40)</f>
        <v/>
      </c>
      <c r="D47" s="205"/>
      <c r="E47" s="205"/>
      <c r="F47" s="123"/>
      <c r="G47" s="119"/>
      <c r="H47" s="119"/>
      <c r="I47" s="119"/>
      <c r="J47" s="124"/>
      <c r="K47" s="143" t="str">
        <f t="shared" si="0"/>
        <v/>
      </c>
      <c r="L47" s="143" t="str">
        <f t="shared" si="12"/>
        <v/>
      </c>
      <c r="M47" s="146" t="str">
        <f t="shared" si="13"/>
        <v/>
      </c>
      <c r="N47" s="123"/>
      <c r="O47" s="119"/>
      <c r="P47" s="124"/>
      <c r="Q47" s="143" t="str">
        <f t="shared" si="14"/>
        <v/>
      </c>
      <c r="R47" s="143" t="str">
        <f t="shared" si="15"/>
        <v/>
      </c>
      <c r="S47" s="143" t="str">
        <f t="shared" si="16"/>
        <v/>
      </c>
      <c r="T47" s="123"/>
      <c r="U47" s="119"/>
      <c r="V47" s="124"/>
      <c r="W47" s="143" t="str">
        <f t="shared" si="17"/>
        <v/>
      </c>
      <c r="X47" s="143" t="str">
        <f t="shared" si="18"/>
        <v/>
      </c>
      <c r="Y47" s="143" t="str">
        <f t="shared" si="19"/>
        <v/>
      </c>
      <c r="Z47" s="150" t="str">
        <f t="shared" si="20"/>
        <v/>
      </c>
      <c r="AA47" s="143" t="str">
        <f t="shared" si="21"/>
        <v/>
      </c>
      <c r="AB47" s="152" t="str">
        <f t="shared" si="22"/>
        <v/>
      </c>
      <c r="AC47" s="158" t="str">
        <f>IF(AB47="","",IFERROR(INDEX(HELPER!$D$8:$D$48,IF(AB47&gt;=HELPER!$B$8,1,MATCH(AB47,HELPER!$B$8:$B$48,-1)+1)),""))</f>
        <v/>
      </c>
      <c r="AD47" s="155" t="str">
        <f>IF(AC47="","",IFERROR(VLOOKUP(AC47,HELPER!$F$8:$G$48,2,FALSE),""))</f>
        <v/>
      </c>
      <c r="AE47" s="135"/>
      <c r="AF47" s="90"/>
    </row>
    <row r="48" spans="1:32" ht="15" customHeight="1" x14ac:dyDescent="0.25">
      <c r="A48" s="135"/>
      <c r="B48" s="66">
        <v>31</v>
      </c>
      <c r="C48" s="204" t="str">
        <f>IF('INPUT DATA'!K41="","",'INPUT DATA'!K41)</f>
        <v/>
      </c>
      <c r="D48" s="205"/>
      <c r="E48" s="205"/>
      <c r="F48" s="123"/>
      <c r="G48" s="119"/>
      <c r="H48" s="119"/>
      <c r="I48" s="119"/>
      <c r="J48" s="124"/>
      <c r="K48" s="143" t="str">
        <f t="shared" si="0"/>
        <v/>
      </c>
      <c r="L48" s="143" t="str">
        <f t="shared" si="12"/>
        <v/>
      </c>
      <c r="M48" s="146" t="str">
        <f t="shared" si="13"/>
        <v/>
      </c>
      <c r="N48" s="123"/>
      <c r="O48" s="119"/>
      <c r="P48" s="124"/>
      <c r="Q48" s="143" t="str">
        <f t="shared" si="14"/>
        <v/>
      </c>
      <c r="R48" s="143" t="str">
        <f t="shared" si="15"/>
        <v/>
      </c>
      <c r="S48" s="143" t="str">
        <f t="shared" si="16"/>
        <v/>
      </c>
      <c r="T48" s="123"/>
      <c r="U48" s="119"/>
      <c r="V48" s="124"/>
      <c r="W48" s="143" t="str">
        <f t="shared" si="17"/>
        <v/>
      </c>
      <c r="X48" s="143" t="str">
        <f t="shared" si="18"/>
        <v/>
      </c>
      <c r="Y48" s="143" t="str">
        <f t="shared" si="19"/>
        <v/>
      </c>
      <c r="Z48" s="150" t="str">
        <f t="shared" si="20"/>
        <v/>
      </c>
      <c r="AA48" s="143" t="str">
        <f t="shared" si="21"/>
        <v/>
      </c>
      <c r="AB48" s="152" t="str">
        <f t="shared" si="22"/>
        <v/>
      </c>
      <c r="AC48" s="158" t="str">
        <f>IF(AB48="","",IFERROR(INDEX(HELPER!$D$8:$D$48,IF(AB48&gt;=HELPER!$B$8,1,MATCH(AB48,HELPER!$B$8:$B$48,-1)+1)),""))</f>
        <v/>
      </c>
      <c r="AD48" s="155" t="str">
        <f>IF(AC48="","",IFERROR(VLOOKUP(AC48,HELPER!$F$8:$G$48,2,FALSE),""))</f>
        <v/>
      </c>
      <c r="AE48" s="135"/>
      <c r="AF48" s="90"/>
    </row>
    <row r="49" spans="1:32" ht="15" customHeight="1" x14ac:dyDescent="0.25">
      <c r="A49" s="135"/>
      <c r="B49" s="66">
        <v>32</v>
      </c>
      <c r="C49" s="204" t="str">
        <f>IF('INPUT DATA'!K42="","",'INPUT DATA'!K42)</f>
        <v/>
      </c>
      <c r="D49" s="205"/>
      <c r="E49" s="205"/>
      <c r="F49" s="123"/>
      <c r="G49" s="119"/>
      <c r="H49" s="119"/>
      <c r="I49" s="119"/>
      <c r="J49" s="124"/>
      <c r="K49" s="143" t="str">
        <f t="shared" si="0"/>
        <v/>
      </c>
      <c r="L49" s="143" t="str">
        <f t="shared" si="12"/>
        <v/>
      </c>
      <c r="M49" s="146" t="str">
        <f t="shared" si="13"/>
        <v/>
      </c>
      <c r="N49" s="123"/>
      <c r="O49" s="119"/>
      <c r="P49" s="124"/>
      <c r="Q49" s="143" t="str">
        <f t="shared" si="14"/>
        <v/>
      </c>
      <c r="R49" s="143" t="str">
        <f t="shared" si="15"/>
        <v/>
      </c>
      <c r="S49" s="143" t="str">
        <f t="shared" si="16"/>
        <v/>
      </c>
      <c r="T49" s="123"/>
      <c r="U49" s="119"/>
      <c r="V49" s="124"/>
      <c r="W49" s="143" t="str">
        <f t="shared" si="17"/>
        <v/>
      </c>
      <c r="X49" s="143" t="str">
        <f t="shared" si="18"/>
        <v/>
      </c>
      <c r="Y49" s="143" t="str">
        <f t="shared" si="19"/>
        <v/>
      </c>
      <c r="Z49" s="150" t="str">
        <f t="shared" si="20"/>
        <v/>
      </c>
      <c r="AA49" s="143" t="str">
        <f t="shared" si="21"/>
        <v/>
      </c>
      <c r="AB49" s="152" t="str">
        <f t="shared" si="22"/>
        <v/>
      </c>
      <c r="AC49" s="158" t="str">
        <f>IF(AB49="","",IFERROR(INDEX(HELPER!$D$8:$D$48,IF(AB49&gt;=HELPER!$B$8,1,MATCH(AB49,HELPER!$B$8:$B$48,-1)+1)),""))</f>
        <v/>
      </c>
      <c r="AD49" s="155" t="str">
        <f>IF(AC49="","",IFERROR(VLOOKUP(AC49,HELPER!$F$8:$G$48,2,FALSE),""))</f>
        <v/>
      </c>
      <c r="AE49" s="135"/>
      <c r="AF49" s="90"/>
    </row>
    <row r="50" spans="1:32" ht="15" customHeight="1" x14ac:dyDescent="0.25">
      <c r="A50" s="135"/>
      <c r="B50" s="66">
        <v>33</v>
      </c>
      <c r="C50" s="204" t="str">
        <f>IF('INPUT DATA'!K43="","",'INPUT DATA'!K43)</f>
        <v/>
      </c>
      <c r="D50" s="205"/>
      <c r="E50" s="205"/>
      <c r="F50" s="123"/>
      <c r="G50" s="119"/>
      <c r="H50" s="119"/>
      <c r="I50" s="119"/>
      <c r="J50" s="124"/>
      <c r="K50" s="143" t="str">
        <f t="shared" si="0"/>
        <v/>
      </c>
      <c r="L50" s="143" t="str">
        <f t="shared" si="12"/>
        <v/>
      </c>
      <c r="M50" s="146" t="str">
        <f t="shared" si="13"/>
        <v/>
      </c>
      <c r="N50" s="123"/>
      <c r="O50" s="119"/>
      <c r="P50" s="124"/>
      <c r="Q50" s="143" t="str">
        <f t="shared" si="14"/>
        <v/>
      </c>
      <c r="R50" s="143" t="str">
        <f t="shared" si="15"/>
        <v/>
      </c>
      <c r="S50" s="143" t="str">
        <f t="shared" si="16"/>
        <v/>
      </c>
      <c r="T50" s="123"/>
      <c r="U50" s="119"/>
      <c r="V50" s="124"/>
      <c r="W50" s="143" t="str">
        <f t="shared" si="17"/>
        <v/>
      </c>
      <c r="X50" s="143" t="str">
        <f t="shared" si="18"/>
        <v/>
      </c>
      <c r="Y50" s="143" t="str">
        <f t="shared" si="19"/>
        <v/>
      </c>
      <c r="Z50" s="150" t="str">
        <f t="shared" si="20"/>
        <v/>
      </c>
      <c r="AA50" s="143" t="str">
        <f t="shared" si="21"/>
        <v/>
      </c>
      <c r="AB50" s="152" t="str">
        <f t="shared" si="22"/>
        <v/>
      </c>
      <c r="AC50" s="158" t="str">
        <f>IF(AB50="","",IFERROR(INDEX(HELPER!$D$8:$D$48,IF(AB50&gt;=HELPER!$B$8,1,MATCH(AB50,HELPER!$B$8:$B$48,-1)+1)),""))</f>
        <v/>
      </c>
      <c r="AD50" s="155" t="str">
        <f>IF(AC50="","",IFERROR(VLOOKUP(AC50,HELPER!$F$8:$G$48,2,FALSE),""))</f>
        <v/>
      </c>
      <c r="AE50" s="135"/>
      <c r="AF50" s="90"/>
    </row>
    <row r="51" spans="1:32" ht="15" customHeight="1" x14ac:dyDescent="0.25">
      <c r="A51" s="135"/>
      <c r="B51" s="66">
        <v>34</v>
      </c>
      <c r="C51" s="204" t="str">
        <f>IF('INPUT DATA'!K44="","",'INPUT DATA'!K44)</f>
        <v/>
      </c>
      <c r="D51" s="205"/>
      <c r="E51" s="205"/>
      <c r="F51" s="123"/>
      <c r="G51" s="119"/>
      <c r="H51" s="119"/>
      <c r="I51" s="119"/>
      <c r="J51" s="124"/>
      <c r="K51" s="143" t="str">
        <f t="shared" si="0"/>
        <v/>
      </c>
      <c r="L51" s="143" t="str">
        <f t="shared" si="12"/>
        <v/>
      </c>
      <c r="M51" s="146" t="str">
        <f t="shared" si="13"/>
        <v/>
      </c>
      <c r="N51" s="123"/>
      <c r="O51" s="119"/>
      <c r="P51" s="124"/>
      <c r="Q51" s="143" t="str">
        <f t="shared" si="14"/>
        <v/>
      </c>
      <c r="R51" s="143" t="str">
        <f t="shared" si="15"/>
        <v/>
      </c>
      <c r="S51" s="143" t="str">
        <f t="shared" si="16"/>
        <v/>
      </c>
      <c r="T51" s="123"/>
      <c r="U51" s="119"/>
      <c r="V51" s="124"/>
      <c r="W51" s="143" t="str">
        <f t="shared" si="17"/>
        <v/>
      </c>
      <c r="X51" s="143" t="str">
        <f t="shared" si="18"/>
        <v/>
      </c>
      <c r="Y51" s="143" t="str">
        <f t="shared" si="19"/>
        <v/>
      </c>
      <c r="Z51" s="150" t="str">
        <f t="shared" si="20"/>
        <v/>
      </c>
      <c r="AA51" s="143" t="str">
        <f t="shared" si="21"/>
        <v/>
      </c>
      <c r="AB51" s="152" t="str">
        <f t="shared" si="22"/>
        <v/>
      </c>
      <c r="AC51" s="158" t="str">
        <f>IF(AB51="","",IFERROR(INDEX(HELPER!$D$8:$D$48,IF(AB51&gt;=HELPER!$B$8,1,MATCH(AB51,HELPER!$B$8:$B$48,-1)+1)),""))</f>
        <v/>
      </c>
      <c r="AD51" s="155" t="str">
        <f>IF(AC51="","",IFERROR(VLOOKUP(AC51,HELPER!$F$8:$G$48,2,FALSE),""))</f>
        <v/>
      </c>
      <c r="AE51" s="135"/>
      <c r="AF51" s="90"/>
    </row>
    <row r="52" spans="1:32" ht="15" customHeight="1" x14ac:dyDescent="0.25">
      <c r="A52" s="135"/>
      <c r="B52" s="66">
        <v>35</v>
      </c>
      <c r="C52" s="204" t="str">
        <f>IF('INPUT DATA'!K45="","",'INPUT DATA'!K45)</f>
        <v/>
      </c>
      <c r="D52" s="205"/>
      <c r="E52" s="205"/>
      <c r="F52" s="123"/>
      <c r="G52" s="119"/>
      <c r="H52" s="119"/>
      <c r="I52" s="119"/>
      <c r="J52" s="124"/>
      <c r="K52" s="143" t="str">
        <f t="shared" si="0"/>
        <v/>
      </c>
      <c r="L52" s="143" t="str">
        <f t="shared" si="12"/>
        <v/>
      </c>
      <c r="M52" s="146" t="str">
        <f t="shared" si="13"/>
        <v/>
      </c>
      <c r="N52" s="123"/>
      <c r="O52" s="119"/>
      <c r="P52" s="124"/>
      <c r="Q52" s="143" t="str">
        <f t="shared" si="14"/>
        <v/>
      </c>
      <c r="R52" s="143" t="str">
        <f t="shared" si="15"/>
        <v/>
      </c>
      <c r="S52" s="143" t="str">
        <f t="shared" si="16"/>
        <v/>
      </c>
      <c r="T52" s="123"/>
      <c r="U52" s="119"/>
      <c r="V52" s="124"/>
      <c r="W52" s="143" t="str">
        <f t="shared" si="17"/>
        <v/>
      </c>
      <c r="X52" s="143" t="str">
        <f t="shared" si="18"/>
        <v/>
      </c>
      <c r="Y52" s="143" t="str">
        <f t="shared" si="19"/>
        <v/>
      </c>
      <c r="Z52" s="150" t="str">
        <f t="shared" si="20"/>
        <v/>
      </c>
      <c r="AA52" s="143" t="str">
        <f t="shared" si="21"/>
        <v/>
      </c>
      <c r="AB52" s="152" t="str">
        <f t="shared" si="22"/>
        <v/>
      </c>
      <c r="AC52" s="158" t="str">
        <f>IF(AB52="","",IFERROR(INDEX(HELPER!$D$8:$D$48,IF(AB52&gt;=HELPER!$B$8,1,MATCH(AB52,HELPER!$B$8:$B$48,-1)+1)),""))</f>
        <v/>
      </c>
      <c r="AD52" s="155" t="str">
        <f>IF(AC52="","",IFERROR(VLOOKUP(AC52,HELPER!$F$8:$G$48,2,FALSE),""))</f>
        <v/>
      </c>
      <c r="AE52" s="135"/>
      <c r="AF52" s="90"/>
    </row>
    <row r="53" spans="1:32" ht="15" customHeight="1" x14ac:dyDescent="0.25">
      <c r="A53" s="135"/>
      <c r="B53" s="66">
        <v>36</v>
      </c>
      <c r="C53" s="204" t="str">
        <f>IF('INPUT DATA'!K46="","",'INPUT DATA'!K46)</f>
        <v/>
      </c>
      <c r="D53" s="205"/>
      <c r="E53" s="205"/>
      <c r="F53" s="123"/>
      <c r="G53" s="119"/>
      <c r="H53" s="119"/>
      <c r="I53" s="119"/>
      <c r="J53" s="124"/>
      <c r="K53" s="143" t="str">
        <f t="shared" si="0"/>
        <v/>
      </c>
      <c r="L53" s="143" t="str">
        <f t="shared" si="12"/>
        <v/>
      </c>
      <c r="M53" s="146" t="str">
        <f t="shared" si="13"/>
        <v/>
      </c>
      <c r="N53" s="123"/>
      <c r="O53" s="119"/>
      <c r="P53" s="124"/>
      <c r="Q53" s="143" t="str">
        <f t="shared" si="14"/>
        <v/>
      </c>
      <c r="R53" s="143" t="str">
        <f t="shared" si="15"/>
        <v/>
      </c>
      <c r="S53" s="143" t="str">
        <f t="shared" si="16"/>
        <v/>
      </c>
      <c r="T53" s="123"/>
      <c r="U53" s="119"/>
      <c r="V53" s="124"/>
      <c r="W53" s="143" t="str">
        <f t="shared" si="17"/>
        <v/>
      </c>
      <c r="X53" s="143" t="str">
        <f t="shared" si="18"/>
        <v/>
      </c>
      <c r="Y53" s="143" t="str">
        <f t="shared" si="19"/>
        <v/>
      </c>
      <c r="Z53" s="150" t="str">
        <f t="shared" si="20"/>
        <v/>
      </c>
      <c r="AA53" s="143" t="str">
        <f t="shared" si="21"/>
        <v/>
      </c>
      <c r="AB53" s="152" t="str">
        <f t="shared" si="22"/>
        <v/>
      </c>
      <c r="AC53" s="158" t="str">
        <f>IF(AB53="","",IFERROR(INDEX(HELPER!$D$8:$D$48,IF(AB53&gt;=HELPER!$B$8,1,MATCH(AB53,HELPER!$B$8:$B$48,-1)+1)),""))</f>
        <v/>
      </c>
      <c r="AD53" s="155" t="str">
        <f>IF(AC53="","",IFERROR(VLOOKUP(AC53,HELPER!$F$8:$G$48,2,FALSE),""))</f>
        <v/>
      </c>
      <c r="AE53" s="135"/>
      <c r="AF53" s="90"/>
    </row>
    <row r="54" spans="1:32" ht="15" customHeight="1" x14ac:dyDescent="0.25">
      <c r="A54" s="135"/>
      <c r="B54" s="66">
        <v>37</v>
      </c>
      <c r="C54" s="204" t="str">
        <f>IF('INPUT DATA'!K47="","",'INPUT DATA'!K47)</f>
        <v/>
      </c>
      <c r="D54" s="205"/>
      <c r="E54" s="205"/>
      <c r="F54" s="123"/>
      <c r="G54" s="119"/>
      <c r="H54" s="119"/>
      <c r="I54" s="119"/>
      <c r="J54" s="124"/>
      <c r="K54" s="143" t="str">
        <f t="shared" si="0"/>
        <v/>
      </c>
      <c r="L54" s="143" t="str">
        <f t="shared" si="12"/>
        <v/>
      </c>
      <c r="M54" s="146" t="str">
        <f t="shared" si="13"/>
        <v/>
      </c>
      <c r="N54" s="123"/>
      <c r="O54" s="119"/>
      <c r="P54" s="124"/>
      <c r="Q54" s="143" t="str">
        <f t="shared" si="14"/>
        <v/>
      </c>
      <c r="R54" s="143" t="str">
        <f t="shared" si="15"/>
        <v/>
      </c>
      <c r="S54" s="143" t="str">
        <f t="shared" si="16"/>
        <v/>
      </c>
      <c r="T54" s="123"/>
      <c r="U54" s="119"/>
      <c r="V54" s="124"/>
      <c r="W54" s="143" t="str">
        <f t="shared" si="17"/>
        <v/>
      </c>
      <c r="X54" s="143" t="str">
        <f t="shared" si="18"/>
        <v/>
      </c>
      <c r="Y54" s="143" t="str">
        <f t="shared" si="19"/>
        <v/>
      </c>
      <c r="Z54" s="150" t="str">
        <f t="shared" si="20"/>
        <v/>
      </c>
      <c r="AA54" s="143" t="str">
        <f t="shared" si="21"/>
        <v/>
      </c>
      <c r="AB54" s="152" t="str">
        <f t="shared" si="22"/>
        <v/>
      </c>
      <c r="AC54" s="158" t="str">
        <f>IF(AB54="","",IFERROR(INDEX(HELPER!$D$8:$D$48,IF(AB54&gt;=HELPER!$B$8,1,MATCH(AB54,HELPER!$B$8:$B$48,-1)+1)),""))</f>
        <v/>
      </c>
      <c r="AD54" s="155" t="str">
        <f>IF(AC54="","",IFERROR(VLOOKUP(AC54,HELPER!$F$8:$G$48,2,FALSE),""))</f>
        <v/>
      </c>
      <c r="AE54" s="135"/>
      <c r="AF54" s="90"/>
    </row>
    <row r="55" spans="1:32" ht="15" customHeight="1" x14ac:dyDescent="0.25">
      <c r="A55" s="135"/>
      <c r="B55" s="66">
        <v>38</v>
      </c>
      <c r="C55" s="204" t="str">
        <f>IF('INPUT DATA'!K48="","",'INPUT DATA'!K48)</f>
        <v/>
      </c>
      <c r="D55" s="205"/>
      <c r="E55" s="205"/>
      <c r="F55" s="123"/>
      <c r="G55" s="119"/>
      <c r="H55" s="119"/>
      <c r="I55" s="119"/>
      <c r="J55" s="124"/>
      <c r="K55" s="143" t="str">
        <f t="shared" si="0"/>
        <v/>
      </c>
      <c r="L55" s="143" t="str">
        <f t="shared" si="12"/>
        <v/>
      </c>
      <c r="M55" s="146" t="str">
        <f t="shared" si="13"/>
        <v/>
      </c>
      <c r="N55" s="123"/>
      <c r="O55" s="119"/>
      <c r="P55" s="124"/>
      <c r="Q55" s="143" t="str">
        <f t="shared" si="14"/>
        <v/>
      </c>
      <c r="R55" s="143" t="str">
        <f t="shared" si="15"/>
        <v/>
      </c>
      <c r="S55" s="143" t="str">
        <f t="shared" si="16"/>
        <v/>
      </c>
      <c r="T55" s="123"/>
      <c r="U55" s="119"/>
      <c r="V55" s="124"/>
      <c r="W55" s="143" t="str">
        <f t="shared" si="17"/>
        <v/>
      </c>
      <c r="X55" s="143" t="str">
        <f t="shared" si="18"/>
        <v/>
      </c>
      <c r="Y55" s="143" t="str">
        <f t="shared" si="19"/>
        <v/>
      </c>
      <c r="Z55" s="150" t="str">
        <f t="shared" si="20"/>
        <v/>
      </c>
      <c r="AA55" s="143" t="str">
        <f t="shared" si="21"/>
        <v/>
      </c>
      <c r="AB55" s="152" t="str">
        <f t="shared" si="22"/>
        <v/>
      </c>
      <c r="AC55" s="158" t="str">
        <f>IF(AB55="","",IFERROR(INDEX(HELPER!$D$8:$D$48,IF(AB55&gt;=HELPER!$B$8,1,MATCH(AB55,HELPER!$B$8:$B$48,-1)+1)),""))</f>
        <v/>
      </c>
      <c r="AD55" s="155" t="str">
        <f>IF(AC55="","",IFERROR(VLOOKUP(AC55,HELPER!$F$8:$G$48,2,FALSE),""))</f>
        <v/>
      </c>
      <c r="AE55" s="135"/>
      <c r="AF55" s="90"/>
    </row>
    <row r="56" spans="1:32" ht="15" customHeight="1" x14ac:dyDescent="0.25">
      <c r="A56" s="135"/>
      <c r="B56" s="66">
        <v>39</v>
      </c>
      <c r="C56" s="204" t="str">
        <f>IF('INPUT DATA'!K49="","",'INPUT DATA'!K49)</f>
        <v/>
      </c>
      <c r="D56" s="205"/>
      <c r="E56" s="205"/>
      <c r="F56" s="123"/>
      <c r="G56" s="119"/>
      <c r="H56" s="119"/>
      <c r="I56" s="119"/>
      <c r="J56" s="124"/>
      <c r="K56" s="143" t="str">
        <f t="shared" si="0"/>
        <v/>
      </c>
      <c r="L56" s="143" t="str">
        <f t="shared" si="12"/>
        <v/>
      </c>
      <c r="M56" s="146" t="str">
        <f t="shared" si="13"/>
        <v/>
      </c>
      <c r="N56" s="123"/>
      <c r="O56" s="119"/>
      <c r="P56" s="124"/>
      <c r="Q56" s="143" t="str">
        <f t="shared" si="14"/>
        <v/>
      </c>
      <c r="R56" s="143" t="str">
        <f t="shared" si="15"/>
        <v/>
      </c>
      <c r="S56" s="143" t="str">
        <f t="shared" si="16"/>
        <v/>
      </c>
      <c r="T56" s="123"/>
      <c r="U56" s="119"/>
      <c r="V56" s="124"/>
      <c r="W56" s="143" t="str">
        <f t="shared" si="17"/>
        <v/>
      </c>
      <c r="X56" s="143" t="str">
        <f t="shared" si="18"/>
        <v/>
      </c>
      <c r="Y56" s="143" t="str">
        <f t="shared" si="19"/>
        <v/>
      </c>
      <c r="Z56" s="150" t="str">
        <f t="shared" si="20"/>
        <v/>
      </c>
      <c r="AA56" s="143" t="str">
        <f t="shared" si="21"/>
        <v/>
      </c>
      <c r="AB56" s="152" t="str">
        <f t="shared" si="22"/>
        <v/>
      </c>
      <c r="AC56" s="158" t="str">
        <f>IF(AB56="","",IFERROR(INDEX(HELPER!$D$8:$D$48,IF(AB56&gt;=HELPER!$B$8,1,MATCH(AB56,HELPER!$B$8:$B$48,-1)+1)),""))</f>
        <v/>
      </c>
      <c r="AD56" s="155" t="str">
        <f>IF(AC56="","",IFERROR(VLOOKUP(AC56,HELPER!$F$8:$G$48,2,FALSE),""))</f>
        <v/>
      </c>
      <c r="AE56" s="135"/>
      <c r="AF56" s="90"/>
    </row>
    <row r="57" spans="1:32" ht="15" customHeight="1" x14ac:dyDescent="0.25">
      <c r="A57" s="135"/>
      <c r="B57" s="66">
        <v>40</v>
      </c>
      <c r="C57" s="204" t="str">
        <f>IF('INPUT DATA'!K50="","",'INPUT DATA'!K50)</f>
        <v/>
      </c>
      <c r="D57" s="205"/>
      <c r="E57" s="205"/>
      <c r="F57" s="123"/>
      <c r="G57" s="119"/>
      <c r="H57" s="119"/>
      <c r="I57" s="119"/>
      <c r="J57" s="124"/>
      <c r="K57" s="143" t="str">
        <f t="shared" si="0"/>
        <v/>
      </c>
      <c r="L57" s="143" t="str">
        <f t="shared" si="12"/>
        <v/>
      </c>
      <c r="M57" s="146" t="str">
        <f t="shared" si="13"/>
        <v/>
      </c>
      <c r="N57" s="123"/>
      <c r="O57" s="119"/>
      <c r="P57" s="124"/>
      <c r="Q57" s="143" t="str">
        <f t="shared" si="14"/>
        <v/>
      </c>
      <c r="R57" s="143" t="str">
        <f t="shared" si="15"/>
        <v/>
      </c>
      <c r="S57" s="143" t="str">
        <f t="shared" si="16"/>
        <v/>
      </c>
      <c r="T57" s="123"/>
      <c r="U57" s="119"/>
      <c r="V57" s="124"/>
      <c r="W57" s="143" t="str">
        <f t="shared" si="17"/>
        <v/>
      </c>
      <c r="X57" s="143" t="str">
        <f t="shared" si="18"/>
        <v/>
      </c>
      <c r="Y57" s="143" t="str">
        <f t="shared" si="19"/>
        <v/>
      </c>
      <c r="Z57" s="150" t="str">
        <f t="shared" si="20"/>
        <v/>
      </c>
      <c r="AA57" s="143" t="str">
        <f t="shared" si="21"/>
        <v/>
      </c>
      <c r="AB57" s="152" t="str">
        <f t="shared" si="22"/>
        <v/>
      </c>
      <c r="AC57" s="158" t="str">
        <f>IF(AB57="","",IFERROR(INDEX(HELPER!$D$8:$D$48,IF(AB57&gt;=HELPER!$B$8,1,MATCH(AB57,HELPER!$B$8:$B$48,-1)+1)),""))</f>
        <v/>
      </c>
      <c r="AD57" s="155" t="str">
        <f>IF(AC57="","",IFERROR(VLOOKUP(AC57,HELPER!$F$8:$G$48,2,FALSE),""))</f>
        <v/>
      </c>
      <c r="AE57" s="135"/>
      <c r="AF57" s="90"/>
    </row>
    <row r="58" spans="1:32" ht="15" customHeight="1" x14ac:dyDescent="0.25">
      <c r="A58" s="135"/>
      <c r="B58" s="66">
        <v>41</v>
      </c>
      <c r="C58" s="204" t="str">
        <f>IF('INPUT DATA'!K51="","",'INPUT DATA'!K51)</f>
        <v/>
      </c>
      <c r="D58" s="205"/>
      <c r="E58" s="205"/>
      <c r="F58" s="123"/>
      <c r="G58" s="119"/>
      <c r="H58" s="119"/>
      <c r="I58" s="119"/>
      <c r="J58" s="124"/>
      <c r="K58" s="143" t="str">
        <f t="shared" si="0"/>
        <v/>
      </c>
      <c r="L58" s="143" t="str">
        <f t="shared" si="12"/>
        <v/>
      </c>
      <c r="M58" s="146" t="str">
        <f t="shared" si="13"/>
        <v/>
      </c>
      <c r="N58" s="123"/>
      <c r="O58" s="119"/>
      <c r="P58" s="124"/>
      <c r="Q58" s="143" t="str">
        <f t="shared" si="14"/>
        <v/>
      </c>
      <c r="R58" s="143" t="str">
        <f t="shared" si="15"/>
        <v/>
      </c>
      <c r="S58" s="143" t="str">
        <f t="shared" si="16"/>
        <v/>
      </c>
      <c r="T58" s="123"/>
      <c r="U58" s="119"/>
      <c r="V58" s="124"/>
      <c r="W58" s="143" t="str">
        <f t="shared" si="17"/>
        <v/>
      </c>
      <c r="X58" s="143" t="str">
        <f t="shared" si="18"/>
        <v/>
      </c>
      <c r="Y58" s="143" t="str">
        <f t="shared" si="19"/>
        <v/>
      </c>
      <c r="Z58" s="150" t="str">
        <f t="shared" si="20"/>
        <v/>
      </c>
      <c r="AA58" s="143" t="str">
        <f t="shared" si="21"/>
        <v/>
      </c>
      <c r="AB58" s="152" t="str">
        <f t="shared" si="22"/>
        <v/>
      </c>
      <c r="AC58" s="158" t="str">
        <f>IF(AB58="","",IFERROR(INDEX(HELPER!$D$8:$D$48,IF(AB58&gt;=HELPER!$B$8,1,MATCH(AB58,HELPER!$B$8:$B$48,-1)+1)),""))</f>
        <v/>
      </c>
      <c r="AD58" s="155" t="str">
        <f>IF(AC58="","",IFERROR(VLOOKUP(AC58,HELPER!$F$8:$G$48,2,FALSE),""))</f>
        <v/>
      </c>
      <c r="AE58" s="135"/>
      <c r="AF58" s="90"/>
    </row>
    <row r="59" spans="1:32" ht="15" customHeight="1" x14ac:dyDescent="0.25">
      <c r="A59" s="135"/>
      <c r="B59" s="66">
        <v>42</v>
      </c>
      <c r="C59" s="204" t="str">
        <f>IF('INPUT DATA'!K52="","",'INPUT DATA'!K52)</f>
        <v/>
      </c>
      <c r="D59" s="205"/>
      <c r="E59" s="205"/>
      <c r="F59" s="123"/>
      <c r="G59" s="119"/>
      <c r="H59" s="119"/>
      <c r="I59" s="119"/>
      <c r="J59" s="124"/>
      <c r="K59" s="143" t="str">
        <f t="shared" si="0"/>
        <v/>
      </c>
      <c r="L59" s="143" t="str">
        <f t="shared" si="12"/>
        <v/>
      </c>
      <c r="M59" s="146" t="str">
        <f t="shared" si="13"/>
        <v/>
      </c>
      <c r="N59" s="123"/>
      <c r="O59" s="119"/>
      <c r="P59" s="124"/>
      <c r="Q59" s="143" t="str">
        <f t="shared" si="14"/>
        <v/>
      </c>
      <c r="R59" s="143" t="str">
        <f t="shared" si="15"/>
        <v/>
      </c>
      <c r="S59" s="143" t="str">
        <f t="shared" si="16"/>
        <v/>
      </c>
      <c r="T59" s="123"/>
      <c r="U59" s="119"/>
      <c r="V59" s="124"/>
      <c r="W59" s="143" t="str">
        <f t="shared" si="17"/>
        <v/>
      </c>
      <c r="X59" s="143" t="str">
        <f t="shared" si="18"/>
        <v/>
      </c>
      <c r="Y59" s="143" t="str">
        <f t="shared" si="19"/>
        <v/>
      </c>
      <c r="Z59" s="150" t="str">
        <f t="shared" si="20"/>
        <v/>
      </c>
      <c r="AA59" s="143" t="str">
        <f t="shared" si="21"/>
        <v/>
      </c>
      <c r="AB59" s="152" t="str">
        <f t="shared" si="22"/>
        <v/>
      </c>
      <c r="AC59" s="158" t="str">
        <f>IF(AB59="","",IFERROR(INDEX(HELPER!$D$8:$D$48,IF(AB59&gt;=HELPER!$B$8,1,MATCH(AB59,HELPER!$B$8:$B$48,-1)+1)),""))</f>
        <v/>
      </c>
      <c r="AD59" s="155" t="str">
        <f>IF(AC59="","",IFERROR(VLOOKUP(AC59,HELPER!$F$8:$G$48,2,FALSE),""))</f>
        <v/>
      </c>
      <c r="AE59" s="135"/>
      <c r="AF59" s="90"/>
    </row>
    <row r="60" spans="1:32" ht="15" customHeight="1" x14ac:dyDescent="0.25">
      <c r="A60" s="135"/>
      <c r="B60" s="66">
        <v>43</v>
      </c>
      <c r="C60" s="204" t="str">
        <f>IF('INPUT DATA'!K53="","",'INPUT DATA'!K53)</f>
        <v/>
      </c>
      <c r="D60" s="205"/>
      <c r="E60" s="205"/>
      <c r="F60" s="123"/>
      <c r="G60" s="119"/>
      <c r="H60" s="119"/>
      <c r="I60" s="119"/>
      <c r="J60" s="124"/>
      <c r="K60" s="143" t="str">
        <f t="shared" si="0"/>
        <v/>
      </c>
      <c r="L60" s="143" t="str">
        <f t="shared" si="12"/>
        <v/>
      </c>
      <c r="M60" s="146" t="str">
        <f t="shared" si="13"/>
        <v/>
      </c>
      <c r="N60" s="123"/>
      <c r="O60" s="119"/>
      <c r="P60" s="124"/>
      <c r="Q60" s="143" t="str">
        <f t="shared" si="14"/>
        <v/>
      </c>
      <c r="R60" s="143" t="str">
        <f t="shared" si="15"/>
        <v/>
      </c>
      <c r="S60" s="143" t="str">
        <f t="shared" si="16"/>
        <v/>
      </c>
      <c r="T60" s="123"/>
      <c r="U60" s="119"/>
      <c r="V60" s="124"/>
      <c r="W60" s="143" t="str">
        <f t="shared" si="17"/>
        <v/>
      </c>
      <c r="X60" s="143" t="str">
        <f t="shared" si="18"/>
        <v/>
      </c>
      <c r="Y60" s="143" t="str">
        <f t="shared" si="19"/>
        <v/>
      </c>
      <c r="Z60" s="150" t="str">
        <f t="shared" si="20"/>
        <v/>
      </c>
      <c r="AA60" s="143" t="str">
        <f t="shared" si="21"/>
        <v/>
      </c>
      <c r="AB60" s="152" t="str">
        <f t="shared" si="22"/>
        <v/>
      </c>
      <c r="AC60" s="158" t="str">
        <f>IF(AB60="","",IFERROR(INDEX(HELPER!$D$8:$D$48,IF(AB60&gt;=HELPER!$B$8,1,MATCH(AB60,HELPER!$B$8:$B$48,-1)+1)),""))</f>
        <v/>
      </c>
      <c r="AD60" s="155" t="str">
        <f>IF(AC60="","",IFERROR(VLOOKUP(AC60,HELPER!$F$8:$G$48,2,FALSE),""))</f>
        <v/>
      </c>
      <c r="AE60" s="135"/>
      <c r="AF60" s="90"/>
    </row>
    <row r="61" spans="1:32" ht="15" customHeight="1" x14ac:dyDescent="0.25">
      <c r="A61" s="135"/>
      <c r="B61" s="66">
        <v>44</v>
      </c>
      <c r="C61" s="204" t="str">
        <f>IF('INPUT DATA'!K54="","",'INPUT DATA'!K54)</f>
        <v/>
      </c>
      <c r="D61" s="205"/>
      <c r="E61" s="205"/>
      <c r="F61" s="123"/>
      <c r="G61" s="119"/>
      <c r="H61" s="119"/>
      <c r="I61" s="119"/>
      <c r="J61" s="124"/>
      <c r="K61" s="143" t="str">
        <f t="shared" si="0"/>
        <v/>
      </c>
      <c r="L61" s="143" t="str">
        <f t="shared" si="12"/>
        <v/>
      </c>
      <c r="M61" s="146" t="str">
        <f t="shared" si="13"/>
        <v/>
      </c>
      <c r="N61" s="123"/>
      <c r="O61" s="119"/>
      <c r="P61" s="124"/>
      <c r="Q61" s="143" t="str">
        <f t="shared" si="14"/>
        <v/>
      </c>
      <c r="R61" s="143" t="str">
        <f t="shared" si="15"/>
        <v/>
      </c>
      <c r="S61" s="143" t="str">
        <f t="shared" si="16"/>
        <v/>
      </c>
      <c r="T61" s="123"/>
      <c r="U61" s="119"/>
      <c r="V61" s="124"/>
      <c r="W61" s="143" t="str">
        <f t="shared" si="17"/>
        <v/>
      </c>
      <c r="X61" s="143" t="str">
        <f t="shared" si="18"/>
        <v/>
      </c>
      <c r="Y61" s="143" t="str">
        <f t="shared" si="19"/>
        <v/>
      </c>
      <c r="Z61" s="150" t="str">
        <f t="shared" si="20"/>
        <v/>
      </c>
      <c r="AA61" s="143" t="str">
        <f t="shared" si="21"/>
        <v/>
      </c>
      <c r="AB61" s="152" t="str">
        <f t="shared" si="22"/>
        <v/>
      </c>
      <c r="AC61" s="158" t="str">
        <f>IF(AB61="","",IFERROR(INDEX(HELPER!$D$8:$D$48,IF(AB61&gt;=HELPER!$B$8,1,MATCH(AB61,HELPER!$B$8:$B$48,-1)+1)),""))</f>
        <v/>
      </c>
      <c r="AD61" s="155" t="str">
        <f>IF(AC61="","",IFERROR(VLOOKUP(AC61,HELPER!$F$8:$G$48,2,FALSE),""))</f>
        <v/>
      </c>
      <c r="AE61" s="135"/>
      <c r="AF61" s="90"/>
    </row>
    <row r="62" spans="1:32" ht="15" customHeight="1" x14ac:dyDescent="0.25">
      <c r="A62" s="135"/>
      <c r="B62" s="66">
        <v>45</v>
      </c>
      <c r="C62" s="204" t="str">
        <f>IF('INPUT DATA'!K55="","",'INPUT DATA'!K55)</f>
        <v/>
      </c>
      <c r="D62" s="205"/>
      <c r="E62" s="205"/>
      <c r="F62" s="123"/>
      <c r="G62" s="119"/>
      <c r="H62" s="119"/>
      <c r="I62" s="119"/>
      <c r="J62" s="124"/>
      <c r="K62" s="143" t="str">
        <f t="shared" si="0"/>
        <v/>
      </c>
      <c r="L62" s="143" t="str">
        <f t="shared" si="12"/>
        <v/>
      </c>
      <c r="M62" s="146" t="str">
        <f t="shared" si="13"/>
        <v/>
      </c>
      <c r="N62" s="123"/>
      <c r="O62" s="119"/>
      <c r="P62" s="124"/>
      <c r="Q62" s="143" t="str">
        <f t="shared" si="14"/>
        <v/>
      </c>
      <c r="R62" s="143" t="str">
        <f t="shared" si="15"/>
        <v/>
      </c>
      <c r="S62" s="143" t="str">
        <f t="shared" si="16"/>
        <v/>
      </c>
      <c r="T62" s="123"/>
      <c r="U62" s="119"/>
      <c r="V62" s="124"/>
      <c r="W62" s="143" t="str">
        <f t="shared" si="17"/>
        <v/>
      </c>
      <c r="X62" s="143" t="str">
        <f t="shared" si="18"/>
        <v/>
      </c>
      <c r="Y62" s="143" t="str">
        <f t="shared" si="19"/>
        <v/>
      </c>
      <c r="Z62" s="150" t="str">
        <f t="shared" si="20"/>
        <v/>
      </c>
      <c r="AA62" s="143" t="str">
        <f t="shared" si="21"/>
        <v/>
      </c>
      <c r="AB62" s="152" t="str">
        <f t="shared" si="22"/>
        <v/>
      </c>
      <c r="AC62" s="158" t="str">
        <f>IF(AB62="","",IFERROR(INDEX(HELPER!$D$8:$D$48,IF(AB62&gt;=HELPER!$B$8,1,MATCH(AB62,HELPER!$B$8:$B$48,-1)+1)),""))</f>
        <v/>
      </c>
      <c r="AD62" s="155" t="str">
        <f>IF(AC62="","",IFERROR(VLOOKUP(AC62,HELPER!$F$8:$G$48,2,FALSE),""))</f>
        <v/>
      </c>
      <c r="AE62" s="135"/>
      <c r="AF62" s="90"/>
    </row>
    <row r="63" spans="1:32" ht="15" customHeight="1" x14ac:dyDescent="0.25">
      <c r="A63" s="135"/>
      <c r="B63" s="66">
        <v>46</v>
      </c>
      <c r="C63" s="204" t="str">
        <f>IF('INPUT DATA'!K56="","",'INPUT DATA'!K56)</f>
        <v/>
      </c>
      <c r="D63" s="205"/>
      <c r="E63" s="205"/>
      <c r="F63" s="123"/>
      <c r="G63" s="119"/>
      <c r="H63" s="119"/>
      <c r="I63" s="119"/>
      <c r="J63" s="124"/>
      <c r="K63" s="143" t="str">
        <f t="shared" si="0"/>
        <v/>
      </c>
      <c r="L63" s="143" t="str">
        <f t="shared" si="12"/>
        <v/>
      </c>
      <c r="M63" s="146" t="str">
        <f t="shared" si="13"/>
        <v/>
      </c>
      <c r="N63" s="123"/>
      <c r="O63" s="119"/>
      <c r="P63" s="124"/>
      <c r="Q63" s="143" t="str">
        <f t="shared" si="14"/>
        <v/>
      </c>
      <c r="R63" s="143" t="str">
        <f t="shared" si="15"/>
        <v/>
      </c>
      <c r="S63" s="143" t="str">
        <f t="shared" si="16"/>
        <v/>
      </c>
      <c r="T63" s="123"/>
      <c r="U63" s="119"/>
      <c r="V63" s="124"/>
      <c r="W63" s="143" t="str">
        <f t="shared" si="17"/>
        <v/>
      </c>
      <c r="X63" s="143" t="str">
        <f t="shared" si="18"/>
        <v/>
      </c>
      <c r="Y63" s="143" t="str">
        <f t="shared" si="19"/>
        <v/>
      </c>
      <c r="Z63" s="150" t="str">
        <f t="shared" si="20"/>
        <v/>
      </c>
      <c r="AA63" s="143" t="str">
        <f t="shared" si="21"/>
        <v/>
      </c>
      <c r="AB63" s="152" t="str">
        <f t="shared" si="22"/>
        <v/>
      </c>
      <c r="AC63" s="158" t="str">
        <f>IF(AB63="","",IFERROR(INDEX(HELPER!$D$8:$D$48,IF(AB63&gt;=HELPER!$B$8,1,MATCH(AB63,HELPER!$B$8:$B$48,-1)+1)),""))</f>
        <v/>
      </c>
      <c r="AD63" s="155" t="str">
        <f>IF(AC63="","",IFERROR(VLOOKUP(AC63,HELPER!$F$8:$G$48,2,FALSE),""))</f>
        <v/>
      </c>
      <c r="AE63" s="135"/>
      <c r="AF63" s="90"/>
    </row>
    <row r="64" spans="1:32" ht="15" customHeight="1" x14ac:dyDescent="0.25">
      <c r="A64" s="135"/>
      <c r="B64" s="66">
        <v>47</v>
      </c>
      <c r="C64" s="204" t="str">
        <f>IF('INPUT DATA'!K57="","",'INPUT DATA'!K57)</f>
        <v/>
      </c>
      <c r="D64" s="205"/>
      <c r="E64" s="205"/>
      <c r="F64" s="123"/>
      <c r="G64" s="119"/>
      <c r="H64" s="119"/>
      <c r="I64" s="119"/>
      <c r="J64" s="124"/>
      <c r="K64" s="143" t="str">
        <f t="shared" si="0"/>
        <v/>
      </c>
      <c r="L64" s="143" t="str">
        <f t="shared" si="12"/>
        <v/>
      </c>
      <c r="M64" s="146" t="str">
        <f t="shared" si="13"/>
        <v/>
      </c>
      <c r="N64" s="123"/>
      <c r="O64" s="119"/>
      <c r="P64" s="124"/>
      <c r="Q64" s="143" t="str">
        <f t="shared" si="14"/>
        <v/>
      </c>
      <c r="R64" s="143" t="str">
        <f t="shared" si="15"/>
        <v/>
      </c>
      <c r="S64" s="143" t="str">
        <f t="shared" si="16"/>
        <v/>
      </c>
      <c r="T64" s="123"/>
      <c r="U64" s="119"/>
      <c r="V64" s="124"/>
      <c r="W64" s="143" t="str">
        <f t="shared" si="17"/>
        <v/>
      </c>
      <c r="X64" s="143" t="str">
        <f t="shared" si="18"/>
        <v/>
      </c>
      <c r="Y64" s="143" t="str">
        <f t="shared" si="19"/>
        <v/>
      </c>
      <c r="Z64" s="150" t="str">
        <f t="shared" si="20"/>
        <v/>
      </c>
      <c r="AA64" s="143" t="str">
        <f t="shared" si="21"/>
        <v/>
      </c>
      <c r="AB64" s="152" t="str">
        <f t="shared" si="22"/>
        <v/>
      </c>
      <c r="AC64" s="158" t="str">
        <f>IF(AB64="","",IFERROR(INDEX(HELPER!$D$8:$D$48,IF(AB64&gt;=HELPER!$B$8,1,MATCH(AB64,HELPER!$B$8:$B$48,-1)+1)),""))</f>
        <v/>
      </c>
      <c r="AD64" s="155" t="str">
        <f>IF(AC64="","",IFERROR(VLOOKUP(AC64,HELPER!$F$8:$G$48,2,FALSE),""))</f>
        <v/>
      </c>
      <c r="AE64" s="135"/>
      <c r="AF64" s="90"/>
    </row>
    <row r="65" spans="1:32" ht="15" customHeight="1" x14ac:dyDescent="0.25">
      <c r="A65" s="135"/>
      <c r="B65" s="66">
        <v>48</v>
      </c>
      <c r="C65" s="204" t="str">
        <f>IF('INPUT DATA'!K58="","",'INPUT DATA'!K58)</f>
        <v/>
      </c>
      <c r="D65" s="205"/>
      <c r="E65" s="205"/>
      <c r="F65" s="123"/>
      <c r="G65" s="119"/>
      <c r="H65" s="119"/>
      <c r="I65" s="119"/>
      <c r="J65" s="124"/>
      <c r="K65" s="143" t="str">
        <f t="shared" si="0"/>
        <v/>
      </c>
      <c r="L65" s="143" t="str">
        <f t="shared" si="12"/>
        <v/>
      </c>
      <c r="M65" s="146" t="str">
        <f t="shared" si="13"/>
        <v/>
      </c>
      <c r="N65" s="123"/>
      <c r="O65" s="119"/>
      <c r="P65" s="124"/>
      <c r="Q65" s="143" t="str">
        <f t="shared" si="14"/>
        <v/>
      </c>
      <c r="R65" s="143" t="str">
        <f t="shared" si="15"/>
        <v/>
      </c>
      <c r="S65" s="143" t="str">
        <f t="shared" si="16"/>
        <v/>
      </c>
      <c r="T65" s="123"/>
      <c r="U65" s="119"/>
      <c r="V65" s="124"/>
      <c r="W65" s="143" t="str">
        <f t="shared" si="17"/>
        <v/>
      </c>
      <c r="X65" s="143" t="str">
        <f t="shared" si="18"/>
        <v/>
      </c>
      <c r="Y65" s="143" t="str">
        <f t="shared" si="19"/>
        <v/>
      </c>
      <c r="Z65" s="150" t="str">
        <f t="shared" si="20"/>
        <v/>
      </c>
      <c r="AA65" s="143" t="str">
        <f t="shared" si="21"/>
        <v/>
      </c>
      <c r="AB65" s="152" t="str">
        <f t="shared" si="22"/>
        <v/>
      </c>
      <c r="AC65" s="158" t="str">
        <f>IF(AB65="","",IFERROR(INDEX(HELPER!$D$8:$D$48,IF(AB65&gt;=HELPER!$B$8,1,MATCH(AB65,HELPER!$B$8:$B$48,-1)+1)),""))</f>
        <v/>
      </c>
      <c r="AD65" s="155" t="str">
        <f>IF(AC65="","",IFERROR(VLOOKUP(AC65,HELPER!$F$8:$G$48,2,FALSE),""))</f>
        <v/>
      </c>
      <c r="AE65" s="135"/>
      <c r="AF65" s="90"/>
    </row>
    <row r="66" spans="1:32" ht="15" customHeight="1" x14ac:dyDescent="0.25">
      <c r="A66" s="135"/>
      <c r="B66" s="66">
        <v>49</v>
      </c>
      <c r="C66" s="204" t="str">
        <f>IF('INPUT DATA'!K59="","",'INPUT DATA'!K59)</f>
        <v/>
      </c>
      <c r="D66" s="205"/>
      <c r="E66" s="205"/>
      <c r="F66" s="123"/>
      <c r="G66" s="119"/>
      <c r="H66" s="119"/>
      <c r="I66" s="119"/>
      <c r="J66" s="124"/>
      <c r="K66" s="143" t="str">
        <f t="shared" si="0"/>
        <v/>
      </c>
      <c r="L66" s="143" t="str">
        <f t="shared" si="12"/>
        <v/>
      </c>
      <c r="M66" s="146" t="str">
        <f t="shared" si="13"/>
        <v/>
      </c>
      <c r="N66" s="123"/>
      <c r="O66" s="119"/>
      <c r="P66" s="124"/>
      <c r="Q66" s="143" t="str">
        <f t="shared" si="14"/>
        <v/>
      </c>
      <c r="R66" s="143" t="str">
        <f t="shared" si="15"/>
        <v/>
      </c>
      <c r="S66" s="143" t="str">
        <f t="shared" si="16"/>
        <v/>
      </c>
      <c r="T66" s="123"/>
      <c r="U66" s="119"/>
      <c r="V66" s="124"/>
      <c r="W66" s="143" t="str">
        <f t="shared" si="17"/>
        <v/>
      </c>
      <c r="X66" s="143" t="str">
        <f t="shared" si="18"/>
        <v/>
      </c>
      <c r="Y66" s="143" t="str">
        <f t="shared" si="19"/>
        <v/>
      </c>
      <c r="Z66" s="150" t="str">
        <f t="shared" si="20"/>
        <v/>
      </c>
      <c r="AA66" s="143" t="str">
        <f t="shared" si="21"/>
        <v/>
      </c>
      <c r="AB66" s="152" t="str">
        <f t="shared" si="22"/>
        <v/>
      </c>
      <c r="AC66" s="158" t="str">
        <f>IF(AB66="","",IFERROR(INDEX(HELPER!$D$8:$D$48,IF(AB66&gt;=HELPER!$B$8,1,MATCH(AB66,HELPER!$B$8:$B$48,-1)+1)),""))</f>
        <v/>
      </c>
      <c r="AD66" s="155" t="str">
        <f>IF(AC66="","",IFERROR(VLOOKUP(AC66,HELPER!$F$8:$G$48,2,FALSE),""))</f>
        <v/>
      </c>
      <c r="AE66" s="135"/>
      <c r="AF66" s="90"/>
    </row>
    <row r="67" spans="1:32" ht="15" customHeight="1" thickBot="1" x14ac:dyDescent="0.3">
      <c r="A67" s="135"/>
      <c r="B67" s="66">
        <v>50</v>
      </c>
      <c r="C67" s="204" t="str">
        <f>IF('INPUT DATA'!K60="","",'INPUT DATA'!K60)</f>
        <v/>
      </c>
      <c r="D67" s="205"/>
      <c r="E67" s="205"/>
      <c r="F67" s="125"/>
      <c r="G67" s="126"/>
      <c r="H67" s="126"/>
      <c r="I67" s="126"/>
      <c r="J67" s="127"/>
      <c r="K67" s="144" t="str">
        <f t="shared" si="0"/>
        <v/>
      </c>
      <c r="L67" s="144" t="str">
        <f t="shared" si="12"/>
        <v/>
      </c>
      <c r="M67" s="147" t="str">
        <f t="shared" si="13"/>
        <v/>
      </c>
      <c r="N67" s="125"/>
      <c r="O67" s="126"/>
      <c r="P67" s="127"/>
      <c r="Q67" s="144" t="str">
        <f t="shared" si="14"/>
        <v/>
      </c>
      <c r="R67" s="144" t="str">
        <f t="shared" si="15"/>
        <v/>
      </c>
      <c r="S67" s="144" t="str">
        <f t="shared" si="16"/>
        <v/>
      </c>
      <c r="T67" s="125"/>
      <c r="U67" s="126"/>
      <c r="V67" s="127"/>
      <c r="W67" s="144" t="str">
        <f t="shared" si="17"/>
        <v/>
      </c>
      <c r="X67" s="144" t="str">
        <f t="shared" si="18"/>
        <v/>
      </c>
      <c r="Y67" s="144" t="str">
        <f t="shared" si="19"/>
        <v/>
      </c>
      <c r="Z67" s="148" t="str">
        <f t="shared" si="20"/>
        <v/>
      </c>
      <c r="AA67" s="144" t="str">
        <f t="shared" si="21"/>
        <v/>
      </c>
      <c r="AB67" s="153" t="str">
        <f t="shared" si="22"/>
        <v/>
      </c>
      <c r="AC67" s="159" t="str">
        <f>IF(AB67="","",IFERROR(INDEX(HELPER!$D$8:$D$48,IF(AB67&gt;=HELPER!$B$8,1,MATCH(AB67,HELPER!$B$8:$B$48,-1)+1)),""))</f>
        <v/>
      </c>
      <c r="AD67" s="156" t="str">
        <f>IF(AC67="","",IFERROR(VLOOKUP(AC67,HELPER!$F$8:$G$48,2,FALSE),""))</f>
        <v/>
      </c>
      <c r="AE67" s="135"/>
      <c r="AF67" s="90"/>
    </row>
    <row r="68" spans="1:32" ht="14.4" customHeight="1" thickBot="1" x14ac:dyDescent="0.3">
      <c r="A68" s="135"/>
      <c r="B68" s="245" t="s">
        <v>6</v>
      </c>
      <c r="C68" s="242"/>
      <c r="D68" s="242"/>
      <c r="E68" s="242"/>
      <c r="F68" s="246"/>
      <c r="G68" s="246"/>
      <c r="H68" s="246"/>
      <c r="I68" s="246"/>
      <c r="J68" s="246"/>
      <c r="K68" s="246"/>
      <c r="L68" s="246"/>
      <c r="M68" s="246"/>
      <c r="N68" s="246"/>
      <c r="O68" s="246"/>
      <c r="P68" s="246"/>
      <c r="Q68" s="246"/>
      <c r="R68" s="246"/>
      <c r="S68" s="246"/>
      <c r="T68" s="246"/>
      <c r="U68" s="246"/>
      <c r="V68" s="246"/>
      <c r="W68" s="246"/>
      <c r="X68" s="246"/>
      <c r="Y68" s="246"/>
      <c r="Z68" s="246"/>
      <c r="AA68" s="246"/>
      <c r="AB68" s="246"/>
      <c r="AC68" s="246"/>
      <c r="AD68" s="247"/>
      <c r="AE68" s="135"/>
      <c r="AF68" s="90"/>
    </row>
    <row r="69" spans="1:32" ht="15" customHeight="1" x14ac:dyDescent="0.25">
      <c r="A69" s="135"/>
      <c r="B69" s="110">
        <v>1</v>
      </c>
      <c r="C69" s="236" t="str">
        <f>IF('INPUT DATA'!N11="","",'INPUT DATA'!N11)</f>
        <v/>
      </c>
      <c r="D69" s="237"/>
      <c r="E69" s="237"/>
      <c r="F69" s="120"/>
      <c r="G69" s="121"/>
      <c r="H69" s="121"/>
      <c r="I69" s="121"/>
      <c r="J69" s="122"/>
      <c r="K69" s="142" t="str">
        <f t="shared" si="0"/>
        <v/>
      </c>
      <c r="L69" s="142" t="str">
        <f t="shared" ref="L69:L118" si="23">IF(COUNT(F69:J69)=0,"",IFERROR(K69/$K$15*$L$15,""))</f>
        <v/>
      </c>
      <c r="M69" s="145" t="str">
        <f t="shared" ref="M69:M118" si="24">IF(L69="","",L69*$M$15)</f>
        <v/>
      </c>
      <c r="N69" s="120"/>
      <c r="O69" s="121"/>
      <c r="P69" s="122"/>
      <c r="Q69" s="142" t="str">
        <f t="shared" ref="Q69:Q118" si="25">IF(COUNT(N69:P69)=0,"",SUM(N69:P69))</f>
        <v/>
      </c>
      <c r="R69" s="142" t="str">
        <f t="shared" ref="R69:R118" si="26">IF(COUNT(N69:P69)=0,"",IFERROR(Q69/$Q$15*$R$15,""))</f>
        <v/>
      </c>
      <c r="S69" s="142" t="str">
        <f t="shared" ref="S69:S118" si="27">IF(R69="","",R69*$S$15)</f>
        <v/>
      </c>
      <c r="T69" s="120"/>
      <c r="U69" s="121"/>
      <c r="V69" s="122"/>
      <c r="W69" s="142" t="str">
        <f t="shared" ref="W69:W118" si="28">IF(T69="","",IFERROR(T69/$T$15*$W$15,""))</f>
        <v/>
      </c>
      <c r="X69" s="142" t="str">
        <f t="shared" ref="X69:X118" si="29">IF(U69="","",IFERROR(U69/$U$15*$X$15,""))</f>
        <v/>
      </c>
      <c r="Y69" s="142" t="str">
        <f t="shared" ref="Y69:Y118" si="30">IF(V69="","",IFERROR(V69/$V$15*$Y$15,""))</f>
        <v/>
      </c>
      <c r="Z69" s="149" t="str">
        <f t="shared" ref="Z69:Z118" si="31">IF(COUNT(T69:V69)=0,"",SUM(W69:Y69))</f>
        <v/>
      </c>
      <c r="AA69" s="142" t="str">
        <f t="shared" ref="AA69:AA118" si="32">IF(Z69="","",Z69*$AA$15)</f>
        <v/>
      </c>
      <c r="AB69" s="151" t="str">
        <f t="shared" ref="AB69:AB118" si="33">IF(COUNT(F69:J69,N69:P69,T69:V69)=0,"",SUM(M69,S69,AA69))</f>
        <v/>
      </c>
      <c r="AC69" s="157" t="str">
        <f>IF(AB69="","",IFERROR(INDEX(HELPER!$D$8:$D$48,IF(AB69&gt;=HELPER!$B$8,1,MATCH(AB69,HELPER!$B$8:$B$48,-1)+1)),""))</f>
        <v/>
      </c>
      <c r="AD69" s="154" t="str">
        <f>IF(AC69="","",IFERROR(VLOOKUP(AC69,HELPER!$F$8:$G$48,2,FALSE),""))</f>
        <v/>
      </c>
      <c r="AE69" s="135"/>
      <c r="AF69" s="90"/>
    </row>
    <row r="70" spans="1:32" ht="15" customHeight="1" x14ac:dyDescent="0.25">
      <c r="A70" s="135"/>
      <c r="B70" s="111">
        <v>2</v>
      </c>
      <c r="C70" s="209" t="str">
        <f>IF('INPUT DATA'!N12="","",'INPUT DATA'!N12)</f>
        <v/>
      </c>
      <c r="D70" s="210"/>
      <c r="E70" s="210"/>
      <c r="F70" s="123"/>
      <c r="G70" s="119"/>
      <c r="H70" s="119"/>
      <c r="I70" s="119"/>
      <c r="J70" s="124"/>
      <c r="K70" s="143" t="str">
        <f t="shared" si="0"/>
        <v/>
      </c>
      <c r="L70" s="143" t="str">
        <f t="shared" si="23"/>
        <v/>
      </c>
      <c r="M70" s="146" t="str">
        <f t="shared" si="24"/>
        <v/>
      </c>
      <c r="N70" s="123"/>
      <c r="O70" s="119"/>
      <c r="P70" s="124"/>
      <c r="Q70" s="143" t="str">
        <f t="shared" si="25"/>
        <v/>
      </c>
      <c r="R70" s="143" t="str">
        <f t="shared" si="26"/>
        <v/>
      </c>
      <c r="S70" s="143" t="str">
        <f t="shared" si="27"/>
        <v/>
      </c>
      <c r="T70" s="123"/>
      <c r="U70" s="119"/>
      <c r="V70" s="124"/>
      <c r="W70" s="143" t="str">
        <f t="shared" si="28"/>
        <v/>
      </c>
      <c r="X70" s="143" t="str">
        <f t="shared" si="29"/>
        <v/>
      </c>
      <c r="Y70" s="143" t="str">
        <f t="shared" si="30"/>
        <v/>
      </c>
      <c r="Z70" s="150" t="str">
        <f t="shared" si="31"/>
        <v/>
      </c>
      <c r="AA70" s="143" t="str">
        <f t="shared" si="32"/>
        <v/>
      </c>
      <c r="AB70" s="152" t="str">
        <f t="shared" si="33"/>
        <v/>
      </c>
      <c r="AC70" s="158" t="str">
        <f>IF(AB70="","",IFERROR(INDEX(HELPER!$D$8:$D$48,IF(AB70&gt;=HELPER!$B$8,1,MATCH(AB70,HELPER!$B$8:$B$48,-1)+1)),""))</f>
        <v/>
      </c>
      <c r="AD70" s="155" t="str">
        <f>IF(AC70="","",IFERROR(VLOOKUP(AC70,HELPER!$F$8:$G$48,2,FALSE),""))</f>
        <v/>
      </c>
      <c r="AE70" s="135"/>
      <c r="AF70" s="90"/>
    </row>
    <row r="71" spans="1:32" ht="15" customHeight="1" x14ac:dyDescent="0.25">
      <c r="A71" s="135"/>
      <c r="B71" s="111">
        <v>3</v>
      </c>
      <c r="C71" s="209" t="str">
        <f>IF('INPUT DATA'!N13="","",'INPUT DATA'!N13)</f>
        <v/>
      </c>
      <c r="D71" s="210"/>
      <c r="E71" s="210"/>
      <c r="F71" s="123"/>
      <c r="G71" s="119"/>
      <c r="H71" s="119"/>
      <c r="I71" s="119"/>
      <c r="J71" s="124"/>
      <c r="K71" s="143" t="str">
        <f t="shared" si="0"/>
        <v/>
      </c>
      <c r="L71" s="143" t="str">
        <f t="shared" si="23"/>
        <v/>
      </c>
      <c r="M71" s="146" t="str">
        <f t="shared" si="24"/>
        <v/>
      </c>
      <c r="N71" s="123"/>
      <c r="O71" s="119"/>
      <c r="P71" s="124"/>
      <c r="Q71" s="143" t="str">
        <f t="shared" si="25"/>
        <v/>
      </c>
      <c r="R71" s="143" t="str">
        <f t="shared" si="26"/>
        <v/>
      </c>
      <c r="S71" s="143" t="str">
        <f t="shared" si="27"/>
        <v/>
      </c>
      <c r="T71" s="123"/>
      <c r="U71" s="119"/>
      <c r="V71" s="124"/>
      <c r="W71" s="143" t="str">
        <f t="shared" si="28"/>
        <v/>
      </c>
      <c r="X71" s="143" t="str">
        <f t="shared" si="29"/>
        <v/>
      </c>
      <c r="Y71" s="143" t="str">
        <f t="shared" si="30"/>
        <v/>
      </c>
      <c r="Z71" s="150" t="str">
        <f t="shared" si="31"/>
        <v/>
      </c>
      <c r="AA71" s="143" t="str">
        <f t="shared" si="32"/>
        <v/>
      </c>
      <c r="AB71" s="152" t="str">
        <f t="shared" si="33"/>
        <v/>
      </c>
      <c r="AC71" s="158" t="str">
        <f>IF(AB71="","",IFERROR(INDEX(HELPER!$D$8:$D$48,IF(AB71&gt;=HELPER!$B$8,1,MATCH(AB71,HELPER!$B$8:$B$48,-1)+1)),""))</f>
        <v/>
      </c>
      <c r="AD71" s="155" t="str">
        <f>IF(AC71="","",IFERROR(VLOOKUP(AC71,HELPER!$F$8:$G$48,2,FALSE),""))</f>
        <v/>
      </c>
      <c r="AE71" s="135"/>
      <c r="AF71" s="90"/>
    </row>
    <row r="72" spans="1:32" ht="15" customHeight="1" x14ac:dyDescent="0.25">
      <c r="A72" s="135"/>
      <c r="B72" s="111">
        <v>4</v>
      </c>
      <c r="C72" s="209" t="str">
        <f>IF('INPUT DATA'!N14="","",'INPUT DATA'!N14)</f>
        <v/>
      </c>
      <c r="D72" s="210"/>
      <c r="E72" s="210"/>
      <c r="F72" s="123"/>
      <c r="G72" s="119"/>
      <c r="H72" s="119"/>
      <c r="I72" s="119"/>
      <c r="J72" s="124"/>
      <c r="K72" s="143" t="str">
        <f t="shared" si="0"/>
        <v/>
      </c>
      <c r="L72" s="143" t="str">
        <f t="shared" si="23"/>
        <v/>
      </c>
      <c r="M72" s="146" t="str">
        <f t="shared" si="24"/>
        <v/>
      </c>
      <c r="N72" s="123"/>
      <c r="O72" s="119"/>
      <c r="P72" s="124"/>
      <c r="Q72" s="143" t="str">
        <f t="shared" si="25"/>
        <v/>
      </c>
      <c r="R72" s="143" t="str">
        <f t="shared" si="26"/>
        <v/>
      </c>
      <c r="S72" s="143" t="str">
        <f t="shared" si="27"/>
        <v/>
      </c>
      <c r="T72" s="123"/>
      <c r="U72" s="119"/>
      <c r="V72" s="124"/>
      <c r="W72" s="143" t="str">
        <f t="shared" si="28"/>
        <v/>
      </c>
      <c r="X72" s="143" t="str">
        <f t="shared" si="29"/>
        <v/>
      </c>
      <c r="Y72" s="143" t="str">
        <f t="shared" si="30"/>
        <v/>
      </c>
      <c r="Z72" s="150" t="str">
        <f t="shared" si="31"/>
        <v/>
      </c>
      <c r="AA72" s="143" t="str">
        <f t="shared" si="32"/>
        <v/>
      </c>
      <c r="AB72" s="152" t="str">
        <f t="shared" si="33"/>
        <v/>
      </c>
      <c r="AC72" s="158" t="str">
        <f>IF(AB72="","",IFERROR(INDEX(HELPER!$D$8:$D$48,IF(AB72&gt;=HELPER!$B$8,1,MATCH(AB72,HELPER!$B$8:$B$48,-1)+1)),""))</f>
        <v/>
      </c>
      <c r="AD72" s="155" t="str">
        <f>IF(AC72="","",IFERROR(VLOOKUP(AC72,HELPER!$F$8:$G$48,2,FALSE),""))</f>
        <v/>
      </c>
      <c r="AE72" s="135"/>
      <c r="AF72" s="90"/>
    </row>
    <row r="73" spans="1:32" ht="15" customHeight="1" x14ac:dyDescent="0.25">
      <c r="A73" s="135"/>
      <c r="B73" s="111">
        <v>5</v>
      </c>
      <c r="C73" s="209" t="str">
        <f>IF('INPUT DATA'!N15="","",'INPUT DATA'!N15)</f>
        <v/>
      </c>
      <c r="D73" s="210"/>
      <c r="E73" s="210"/>
      <c r="F73" s="123"/>
      <c r="G73" s="119"/>
      <c r="H73" s="119"/>
      <c r="I73" s="119"/>
      <c r="J73" s="124"/>
      <c r="K73" s="143" t="str">
        <f t="shared" si="0"/>
        <v/>
      </c>
      <c r="L73" s="143" t="str">
        <f t="shared" si="23"/>
        <v/>
      </c>
      <c r="M73" s="146" t="str">
        <f t="shared" si="24"/>
        <v/>
      </c>
      <c r="N73" s="123"/>
      <c r="O73" s="119"/>
      <c r="P73" s="124"/>
      <c r="Q73" s="143" t="str">
        <f t="shared" si="25"/>
        <v/>
      </c>
      <c r="R73" s="143" t="str">
        <f t="shared" si="26"/>
        <v/>
      </c>
      <c r="S73" s="143" t="str">
        <f t="shared" si="27"/>
        <v/>
      </c>
      <c r="T73" s="123"/>
      <c r="U73" s="119"/>
      <c r="V73" s="124"/>
      <c r="W73" s="143" t="str">
        <f t="shared" si="28"/>
        <v/>
      </c>
      <c r="X73" s="143" t="str">
        <f t="shared" si="29"/>
        <v/>
      </c>
      <c r="Y73" s="143" t="str">
        <f t="shared" si="30"/>
        <v/>
      </c>
      <c r="Z73" s="150" t="str">
        <f t="shared" si="31"/>
        <v/>
      </c>
      <c r="AA73" s="143" t="str">
        <f t="shared" si="32"/>
        <v/>
      </c>
      <c r="AB73" s="152" t="str">
        <f t="shared" si="33"/>
        <v/>
      </c>
      <c r="AC73" s="158" t="str">
        <f>IF(AB73="","",IFERROR(INDEX(HELPER!$D$8:$D$48,IF(AB73&gt;=HELPER!$B$8,1,MATCH(AB73,HELPER!$B$8:$B$48,-1)+1)),""))</f>
        <v/>
      </c>
      <c r="AD73" s="155" t="str">
        <f>IF(AC73="","",IFERROR(VLOOKUP(AC73,HELPER!$F$8:$G$48,2,FALSE),""))</f>
        <v/>
      </c>
      <c r="AE73" s="135"/>
      <c r="AF73" s="90"/>
    </row>
    <row r="74" spans="1:32" ht="15" customHeight="1" x14ac:dyDescent="0.25">
      <c r="A74" s="135"/>
      <c r="B74" s="111">
        <v>6</v>
      </c>
      <c r="C74" s="209" t="str">
        <f>IF('INPUT DATA'!N16="","",'INPUT DATA'!N16)</f>
        <v/>
      </c>
      <c r="D74" s="210"/>
      <c r="E74" s="210"/>
      <c r="F74" s="123"/>
      <c r="G74" s="119"/>
      <c r="H74" s="119"/>
      <c r="I74" s="119"/>
      <c r="J74" s="124"/>
      <c r="K74" s="143" t="str">
        <f t="shared" si="0"/>
        <v/>
      </c>
      <c r="L74" s="143" t="str">
        <f t="shared" si="23"/>
        <v/>
      </c>
      <c r="M74" s="146" t="str">
        <f t="shared" si="24"/>
        <v/>
      </c>
      <c r="N74" s="123"/>
      <c r="O74" s="119"/>
      <c r="P74" s="124"/>
      <c r="Q74" s="143" t="str">
        <f t="shared" si="25"/>
        <v/>
      </c>
      <c r="R74" s="143" t="str">
        <f t="shared" si="26"/>
        <v/>
      </c>
      <c r="S74" s="143" t="str">
        <f t="shared" si="27"/>
        <v/>
      </c>
      <c r="T74" s="123"/>
      <c r="U74" s="119"/>
      <c r="V74" s="124"/>
      <c r="W74" s="143" t="str">
        <f t="shared" si="28"/>
        <v/>
      </c>
      <c r="X74" s="143" t="str">
        <f t="shared" si="29"/>
        <v/>
      </c>
      <c r="Y74" s="143" t="str">
        <f t="shared" si="30"/>
        <v/>
      </c>
      <c r="Z74" s="150" t="str">
        <f t="shared" si="31"/>
        <v/>
      </c>
      <c r="AA74" s="143" t="str">
        <f t="shared" si="32"/>
        <v/>
      </c>
      <c r="AB74" s="152" t="str">
        <f t="shared" si="33"/>
        <v/>
      </c>
      <c r="AC74" s="158" t="str">
        <f>IF(AB74="","",IFERROR(INDEX(HELPER!$D$8:$D$48,IF(AB74&gt;=HELPER!$B$8,1,MATCH(AB74,HELPER!$B$8:$B$48,-1)+1)),""))</f>
        <v/>
      </c>
      <c r="AD74" s="155" t="str">
        <f>IF(AC74="","",IFERROR(VLOOKUP(AC74,HELPER!$F$8:$G$48,2,FALSE),""))</f>
        <v/>
      </c>
      <c r="AE74" s="135"/>
      <c r="AF74" s="90"/>
    </row>
    <row r="75" spans="1:32" ht="15" customHeight="1" x14ac:dyDescent="0.25">
      <c r="A75" s="135"/>
      <c r="B75" s="111">
        <v>7</v>
      </c>
      <c r="C75" s="209" t="str">
        <f>IF('INPUT DATA'!N17="","",'INPUT DATA'!N17)</f>
        <v/>
      </c>
      <c r="D75" s="210"/>
      <c r="E75" s="210"/>
      <c r="F75" s="123"/>
      <c r="G75" s="119"/>
      <c r="H75" s="119"/>
      <c r="I75" s="119"/>
      <c r="J75" s="124"/>
      <c r="K75" s="143" t="str">
        <f t="shared" si="0"/>
        <v/>
      </c>
      <c r="L75" s="143" t="str">
        <f t="shared" si="23"/>
        <v/>
      </c>
      <c r="M75" s="146" t="str">
        <f t="shared" si="24"/>
        <v/>
      </c>
      <c r="N75" s="123"/>
      <c r="O75" s="119"/>
      <c r="P75" s="124"/>
      <c r="Q75" s="143" t="str">
        <f t="shared" si="25"/>
        <v/>
      </c>
      <c r="R75" s="143" t="str">
        <f t="shared" si="26"/>
        <v/>
      </c>
      <c r="S75" s="143" t="str">
        <f t="shared" si="27"/>
        <v/>
      </c>
      <c r="T75" s="123"/>
      <c r="U75" s="119"/>
      <c r="V75" s="124"/>
      <c r="W75" s="143" t="str">
        <f t="shared" si="28"/>
        <v/>
      </c>
      <c r="X75" s="143" t="str">
        <f t="shared" si="29"/>
        <v/>
      </c>
      <c r="Y75" s="143" t="str">
        <f t="shared" si="30"/>
        <v/>
      </c>
      <c r="Z75" s="150" t="str">
        <f t="shared" si="31"/>
        <v/>
      </c>
      <c r="AA75" s="143" t="str">
        <f t="shared" si="32"/>
        <v/>
      </c>
      <c r="AB75" s="152" t="str">
        <f t="shared" si="33"/>
        <v/>
      </c>
      <c r="AC75" s="158" t="str">
        <f>IF(AB75="","",IFERROR(INDEX(HELPER!$D$8:$D$48,IF(AB75&gt;=HELPER!$B$8,1,MATCH(AB75,HELPER!$B$8:$B$48,-1)+1)),""))</f>
        <v/>
      </c>
      <c r="AD75" s="155" t="str">
        <f>IF(AC75="","",IFERROR(VLOOKUP(AC75,HELPER!$F$8:$G$48,2,FALSE),""))</f>
        <v/>
      </c>
      <c r="AE75" s="135"/>
      <c r="AF75" s="90"/>
    </row>
    <row r="76" spans="1:32" ht="15" customHeight="1" x14ac:dyDescent="0.25">
      <c r="A76" s="135"/>
      <c r="B76" s="111">
        <v>8</v>
      </c>
      <c r="C76" s="209" t="str">
        <f>IF('INPUT DATA'!N18="","",'INPUT DATA'!N18)</f>
        <v/>
      </c>
      <c r="D76" s="210"/>
      <c r="E76" s="210"/>
      <c r="F76" s="123"/>
      <c r="G76" s="119"/>
      <c r="H76" s="119"/>
      <c r="I76" s="119"/>
      <c r="J76" s="124"/>
      <c r="K76" s="143" t="str">
        <f t="shared" si="0"/>
        <v/>
      </c>
      <c r="L76" s="143" t="str">
        <f t="shared" si="23"/>
        <v/>
      </c>
      <c r="M76" s="146" t="str">
        <f t="shared" si="24"/>
        <v/>
      </c>
      <c r="N76" s="123"/>
      <c r="O76" s="119"/>
      <c r="P76" s="124"/>
      <c r="Q76" s="143" t="str">
        <f t="shared" si="25"/>
        <v/>
      </c>
      <c r="R76" s="143" t="str">
        <f t="shared" si="26"/>
        <v/>
      </c>
      <c r="S76" s="143" t="str">
        <f t="shared" si="27"/>
        <v/>
      </c>
      <c r="T76" s="123"/>
      <c r="U76" s="119"/>
      <c r="V76" s="124"/>
      <c r="W76" s="143" t="str">
        <f t="shared" si="28"/>
        <v/>
      </c>
      <c r="X76" s="143" t="str">
        <f t="shared" si="29"/>
        <v/>
      </c>
      <c r="Y76" s="143" t="str">
        <f t="shared" si="30"/>
        <v/>
      </c>
      <c r="Z76" s="150" t="str">
        <f t="shared" si="31"/>
        <v/>
      </c>
      <c r="AA76" s="143" t="str">
        <f t="shared" si="32"/>
        <v/>
      </c>
      <c r="AB76" s="152" t="str">
        <f t="shared" si="33"/>
        <v/>
      </c>
      <c r="AC76" s="158" t="str">
        <f>IF(AB76="","",IFERROR(INDEX(HELPER!$D$8:$D$48,IF(AB76&gt;=HELPER!$B$8,1,MATCH(AB76,HELPER!$B$8:$B$48,-1)+1)),""))</f>
        <v/>
      </c>
      <c r="AD76" s="155" t="str">
        <f>IF(AC76="","",IFERROR(VLOOKUP(AC76,HELPER!$F$8:$G$48,2,FALSE),""))</f>
        <v/>
      </c>
      <c r="AE76" s="135"/>
      <c r="AF76" s="90"/>
    </row>
    <row r="77" spans="1:32" ht="15" customHeight="1" x14ac:dyDescent="0.25">
      <c r="A77" s="135"/>
      <c r="B77" s="111">
        <v>9</v>
      </c>
      <c r="C77" s="209" t="str">
        <f>IF('INPUT DATA'!N19="","",'INPUT DATA'!N19)</f>
        <v/>
      </c>
      <c r="D77" s="210"/>
      <c r="E77" s="210"/>
      <c r="F77" s="123"/>
      <c r="G77" s="119"/>
      <c r="H77" s="119"/>
      <c r="I77" s="119"/>
      <c r="J77" s="124"/>
      <c r="K77" s="143" t="str">
        <f t="shared" si="0"/>
        <v/>
      </c>
      <c r="L77" s="143" t="str">
        <f t="shared" si="23"/>
        <v/>
      </c>
      <c r="M77" s="146" t="str">
        <f t="shared" si="24"/>
        <v/>
      </c>
      <c r="N77" s="123"/>
      <c r="O77" s="119"/>
      <c r="P77" s="124"/>
      <c r="Q77" s="143" t="str">
        <f t="shared" si="25"/>
        <v/>
      </c>
      <c r="R77" s="143" t="str">
        <f t="shared" si="26"/>
        <v/>
      </c>
      <c r="S77" s="143" t="str">
        <f t="shared" si="27"/>
        <v/>
      </c>
      <c r="T77" s="123"/>
      <c r="U77" s="119"/>
      <c r="V77" s="124"/>
      <c r="W77" s="143" t="str">
        <f t="shared" si="28"/>
        <v/>
      </c>
      <c r="X77" s="143" t="str">
        <f t="shared" si="29"/>
        <v/>
      </c>
      <c r="Y77" s="143" t="str">
        <f t="shared" si="30"/>
        <v/>
      </c>
      <c r="Z77" s="150" t="str">
        <f t="shared" si="31"/>
        <v/>
      </c>
      <c r="AA77" s="143" t="str">
        <f t="shared" si="32"/>
        <v/>
      </c>
      <c r="AB77" s="152" t="str">
        <f t="shared" si="33"/>
        <v/>
      </c>
      <c r="AC77" s="158" t="str">
        <f>IF(AB77="","",IFERROR(INDEX(HELPER!$D$8:$D$48,IF(AB77&gt;=HELPER!$B$8,1,MATCH(AB77,HELPER!$B$8:$B$48,-1)+1)),""))</f>
        <v/>
      </c>
      <c r="AD77" s="155" t="str">
        <f>IF(AC77="","",IFERROR(VLOOKUP(AC77,HELPER!$F$8:$G$48,2,FALSE),""))</f>
        <v/>
      </c>
      <c r="AE77" s="135"/>
      <c r="AF77" s="90"/>
    </row>
    <row r="78" spans="1:32" ht="15" customHeight="1" x14ac:dyDescent="0.25">
      <c r="A78" s="135"/>
      <c r="B78" s="111">
        <v>10</v>
      </c>
      <c r="C78" s="209" t="str">
        <f>IF('INPUT DATA'!N20="","",'INPUT DATA'!N20)</f>
        <v/>
      </c>
      <c r="D78" s="210"/>
      <c r="E78" s="210"/>
      <c r="F78" s="123"/>
      <c r="G78" s="119"/>
      <c r="H78" s="119"/>
      <c r="I78" s="119"/>
      <c r="J78" s="124"/>
      <c r="K78" s="143" t="str">
        <f t="shared" si="0"/>
        <v/>
      </c>
      <c r="L78" s="143" t="str">
        <f t="shared" si="23"/>
        <v/>
      </c>
      <c r="M78" s="146" t="str">
        <f t="shared" si="24"/>
        <v/>
      </c>
      <c r="N78" s="123"/>
      <c r="O78" s="119"/>
      <c r="P78" s="124"/>
      <c r="Q78" s="143" t="str">
        <f t="shared" si="25"/>
        <v/>
      </c>
      <c r="R78" s="143" t="str">
        <f t="shared" si="26"/>
        <v/>
      </c>
      <c r="S78" s="143" t="str">
        <f t="shared" si="27"/>
        <v/>
      </c>
      <c r="T78" s="123"/>
      <c r="U78" s="119"/>
      <c r="V78" s="124"/>
      <c r="W78" s="143" t="str">
        <f t="shared" si="28"/>
        <v/>
      </c>
      <c r="X78" s="143" t="str">
        <f t="shared" si="29"/>
        <v/>
      </c>
      <c r="Y78" s="143" t="str">
        <f t="shared" si="30"/>
        <v/>
      </c>
      <c r="Z78" s="150" t="str">
        <f t="shared" si="31"/>
        <v/>
      </c>
      <c r="AA78" s="143" t="str">
        <f t="shared" si="32"/>
        <v/>
      </c>
      <c r="AB78" s="152" t="str">
        <f t="shared" si="33"/>
        <v/>
      </c>
      <c r="AC78" s="158" t="str">
        <f>IF(AB78="","",IFERROR(INDEX(HELPER!$D$8:$D$48,IF(AB78&gt;=HELPER!$B$8,1,MATCH(AB78,HELPER!$B$8:$B$48,-1)+1)),""))</f>
        <v/>
      </c>
      <c r="AD78" s="155" t="str">
        <f>IF(AC78="","",IFERROR(VLOOKUP(AC78,HELPER!$F$8:$G$48,2,FALSE),""))</f>
        <v/>
      </c>
      <c r="AE78" s="135"/>
      <c r="AF78" s="90"/>
    </row>
    <row r="79" spans="1:32" ht="15" customHeight="1" x14ac:dyDescent="0.25">
      <c r="A79" s="135"/>
      <c r="B79" s="111">
        <v>11</v>
      </c>
      <c r="C79" s="209" t="str">
        <f>IF('INPUT DATA'!N21="","",'INPUT DATA'!N21)</f>
        <v/>
      </c>
      <c r="D79" s="210"/>
      <c r="E79" s="210"/>
      <c r="F79" s="123"/>
      <c r="G79" s="119"/>
      <c r="H79" s="119"/>
      <c r="I79" s="119"/>
      <c r="J79" s="124"/>
      <c r="K79" s="143" t="str">
        <f t="shared" si="0"/>
        <v/>
      </c>
      <c r="L79" s="143" t="str">
        <f t="shared" si="23"/>
        <v/>
      </c>
      <c r="M79" s="146" t="str">
        <f t="shared" si="24"/>
        <v/>
      </c>
      <c r="N79" s="123"/>
      <c r="O79" s="119"/>
      <c r="P79" s="124"/>
      <c r="Q79" s="143" t="str">
        <f t="shared" si="25"/>
        <v/>
      </c>
      <c r="R79" s="143" t="str">
        <f t="shared" si="26"/>
        <v/>
      </c>
      <c r="S79" s="143" t="str">
        <f t="shared" si="27"/>
        <v/>
      </c>
      <c r="T79" s="123"/>
      <c r="U79" s="119"/>
      <c r="V79" s="124"/>
      <c r="W79" s="143" t="str">
        <f t="shared" si="28"/>
        <v/>
      </c>
      <c r="X79" s="143" t="str">
        <f t="shared" si="29"/>
        <v/>
      </c>
      <c r="Y79" s="143" t="str">
        <f t="shared" si="30"/>
        <v/>
      </c>
      <c r="Z79" s="150" t="str">
        <f t="shared" si="31"/>
        <v/>
      </c>
      <c r="AA79" s="143" t="str">
        <f t="shared" si="32"/>
        <v/>
      </c>
      <c r="AB79" s="152" t="str">
        <f t="shared" si="33"/>
        <v/>
      </c>
      <c r="AC79" s="158" t="str">
        <f>IF(AB79="","",IFERROR(INDEX(HELPER!$D$8:$D$48,IF(AB79&gt;=HELPER!$B$8,1,MATCH(AB79,HELPER!$B$8:$B$48,-1)+1)),""))</f>
        <v/>
      </c>
      <c r="AD79" s="155" t="str">
        <f>IF(AC79="","",IFERROR(VLOOKUP(AC79,HELPER!$F$8:$G$48,2,FALSE),""))</f>
        <v/>
      </c>
      <c r="AE79" s="135"/>
      <c r="AF79" s="90"/>
    </row>
    <row r="80" spans="1:32" ht="15" customHeight="1" x14ac:dyDescent="0.25">
      <c r="A80" s="135"/>
      <c r="B80" s="111">
        <v>12</v>
      </c>
      <c r="C80" s="209" t="str">
        <f>IF('INPUT DATA'!N22="","",'INPUT DATA'!N22)</f>
        <v/>
      </c>
      <c r="D80" s="210"/>
      <c r="E80" s="210"/>
      <c r="F80" s="123"/>
      <c r="G80" s="119"/>
      <c r="H80" s="119"/>
      <c r="I80" s="119"/>
      <c r="J80" s="124"/>
      <c r="K80" s="143" t="str">
        <f t="shared" si="0"/>
        <v/>
      </c>
      <c r="L80" s="143" t="str">
        <f t="shared" si="23"/>
        <v/>
      </c>
      <c r="M80" s="146" t="str">
        <f t="shared" si="24"/>
        <v/>
      </c>
      <c r="N80" s="123"/>
      <c r="O80" s="119"/>
      <c r="P80" s="124"/>
      <c r="Q80" s="143" t="str">
        <f t="shared" si="25"/>
        <v/>
      </c>
      <c r="R80" s="143" t="str">
        <f t="shared" si="26"/>
        <v/>
      </c>
      <c r="S80" s="143" t="str">
        <f t="shared" si="27"/>
        <v/>
      </c>
      <c r="T80" s="123"/>
      <c r="U80" s="119"/>
      <c r="V80" s="124"/>
      <c r="W80" s="143" t="str">
        <f t="shared" si="28"/>
        <v/>
      </c>
      <c r="X80" s="143" t="str">
        <f t="shared" si="29"/>
        <v/>
      </c>
      <c r="Y80" s="143" t="str">
        <f t="shared" si="30"/>
        <v/>
      </c>
      <c r="Z80" s="150" t="str">
        <f t="shared" si="31"/>
        <v/>
      </c>
      <c r="AA80" s="143" t="str">
        <f t="shared" si="32"/>
        <v/>
      </c>
      <c r="AB80" s="152" t="str">
        <f t="shared" si="33"/>
        <v/>
      </c>
      <c r="AC80" s="158" t="str">
        <f>IF(AB80="","",IFERROR(INDEX(HELPER!$D$8:$D$48,IF(AB80&gt;=HELPER!$B$8,1,MATCH(AB80,HELPER!$B$8:$B$48,-1)+1)),""))</f>
        <v/>
      </c>
      <c r="AD80" s="155" t="str">
        <f>IF(AC80="","",IFERROR(VLOOKUP(AC80,HELPER!$F$8:$G$48,2,FALSE),""))</f>
        <v/>
      </c>
      <c r="AE80" s="135"/>
      <c r="AF80" s="90"/>
    </row>
    <row r="81" spans="1:32" ht="15" customHeight="1" x14ac:dyDescent="0.25">
      <c r="A81" s="135"/>
      <c r="B81" s="111">
        <v>13</v>
      </c>
      <c r="C81" s="209" t="str">
        <f>IF('INPUT DATA'!N23="","",'INPUT DATA'!N23)</f>
        <v/>
      </c>
      <c r="D81" s="210"/>
      <c r="E81" s="210"/>
      <c r="F81" s="123"/>
      <c r="G81" s="119"/>
      <c r="H81" s="119"/>
      <c r="I81" s="119"/>
      <c r="J81" s="124"/>
      <c r="K81" s="143" t="str">
        <f t="shared" si="0"/>
        <v/>
      </c>
      <c r="L81" s="143" t="str">
        <f t="shared" si="23"/>
        <v/>
      </c>
      <c r="M81" s="146" t="str">
        <f t="shared" si="24"/>
        <v/>
      </c>
      <c r="N81" s="123"/>
      <c r="O81" s="119"/>
      <c r="P81" s="124"/>
      <c r="Q81" s="143" t="str">
        <f t="shared" si="25"/>
        <v/>
      </c>
      <c r="R81" s="143" t="str">
        <f t="shared" si="26"/>
        <v/>
      </c>
      <c r="S81" s="143" t="str">
        <f t="shared" si="27"/>
        <v/>
      </c>
      <c r="T81" s="123"/>
      <c r="U81" s="119"/>
      <c r="V81" s="124"/>
      <c r="W81" s="143" t="str">
        <f t="shared" si="28"/>
        <v/>
      </c>
      <c r="X81" s="143" t="str">
        <f t="shared" si="29"/>
        <v/>
      </c>
      <c r="Y81" s="143" t="str">
        <f t="shared" si="30"/>
        <v/>
      </c>
      <c r="Z81" s="150" t="str">
        <f t="shared" si="31"/>
        <v/>
      </c>
      <c r="AA81" s="143" t="str">
        <f t="shared" si="32"/>
        <v/>
      </c>
      <c r="AB81" s="152" t="str">
        <f t="shared" si="33"/>
        <v/>
      </c>
      <c r="AC81" s="158" t="str">
        <f>IF(AB81="","",IFERROR(INDEX(HELPER!$D$8:$D$48,IF(AB81&gt;=HELPER!$B$8,1,MATCH(AB81,HELPER!$B$8:$B$48,-1)+1)),""))</f>
        <v/>
      </c>
      <c r="AD81" s="155" t="str">
        <f>IF(AC81="","",IFERROR(VLOOKUP(AC81,HELPER!$F$8:$G$48,2,FALSE),""))</f>
        <v/>
      </c>
      <c r="AE81" s="135"/>
      <c r="AF81" s="90"/>
    </row>
    <row r="82" spans="1:32" ht="15" customHeight="1" x14ac:dyDescent="0.25">
      <c r="A82" s="135"/>
      <c r="B82" s="111">
        <v>14</v>
      </c>
      <c r="C82" s="209" t="str">
        <f>IF('INPUT DATA'!N24="","",'INPUT DATA'!N24)</f>
        <v/>
      </c>
      <c r="D82" s="210"/>
      <c r="E82" s="210"/>
      <c r="F82" s="123"/>
      <c r="G82" s="119"/>
      <c r="H82" s="119"/>
      <c r="I82" s="119"/>
      <c r="J82" s="124"/>
      <c r="K82" s="143" t="str">
        <f t="shared" ref="K82:K118" si="34">IF(COUNT($F82:$J82)=0,"",SUM($F82:$J82))</f>
        <v/>
      </c>
      <c r="L82" s="143" t="str">
        <f t="shared" si="23"/>
        <v/>
      </c>
      <c r="M82" s="146" t="str">
        <f t="shared" si="24"/>
        <v/>
      </c>
      <c r="N82" s="123"/>
      <c r="O82" s="119"/>
      <c r="P82" s="124"/>
      <c r="Q82" s="143" t="str">
        <f t="shared" si="25"/>
        <v/>
      </c>
      <c r="R82" s="143" t="str">
        <f t="shared" si="26"/>
        <v/>
      </c>
      <c r="S82" s="143" t="str">
        <f t="shared" si="27"/>
        <v/>
      </c>
      <c r="T82" s="123"/>
      <c r="U82" s="119"/>
      <c r="V82" s="124"/>
      <c r="W82" s="143" t="str">
        <f t="shared" si="28"/>
        <v/>
      </c>
      <c r="X82" s="143" t="str">
        <f t="shared" si="29"/>
        <v/>
      </c>
      <c r="Y82" s="143" t="str">
        <f t="shared" si="30"/>
        <v/>
      </c>
      <c r="Z82" s="150" t="str">
        <f t="shared" si="31"/>
        <v/>
      </c>
      <c r="AA82" s="143" t="str">
        <f t="shared" si="32"/>
        <v/>
      </c>
      <c r="AB82" s="152" t="str">
        <f t="shared" si="33"/>
        <v/>
      </c>
      <c r="AC82" s="158" t="str">
        <f>IF(AB82="","",IFERROR(INDEX(HELPER!$D$8:$D$48,IF(AB82&gt;=HELPER!$B$8,1,MATCH(AB82,HELPER!$B$8:$B$48,-1)+1)),""))</f>
        <v/>
      </c>
      <c r="AD82" s="155" t="str">
        <f>IF(AC82="","",IFERROR(VLOOKUP(AC82,HELPER!$F$8:$G$48,2,FALSE),""))</f>
        <v/>
      </c>
      <c r="AE82" s="135"/>
      <c r="AF82" s="90"/>
    </row>
    <row r="83" spans="1:32" ht="15" customHeight="1" x14ac:dyDescent="0.25">
      <c r="A83" s="135"/>
      <c r="B83" s="111">
        <v>15</v>
      </c>
      <c r="C83" s="209" t="str">
        <f>IF('INPUT DATA'!N25="","",'INPUT DATA'!N25)</f>
        <v/>
      </c>
      <c r="D83" s="210"/>
      <c r="E83" s="210"/>
      <c r="F83" s="123"/>
      <c r="G83" s="119"/>
      <c r="H83" s="119"/>
      <c r="I83" s="119"/>
      <c r="J83" s="124"/>
      <c r="K83" s="143" t="str">
        <f t="shared" si="34"/>
        <v/>
      </c>
      <c r="L83" s="143" t="str">
        <f t="shared" si="23"/>
        <v/>
      </c>
      <c r="M83" s="146" t="str">
        <f t="shared" si="24"/>
        <v/>
      </c>
      <c r="N83" s="123"/>
      <c r="O83" s="119"/>
      <c r="P83" s="124"/>
      <c r="Q83" s="143" t="str">
        <f t="shared" si="25"/>
        <v/>
      </c>
      <c r="R83" s="143" t="str">
        <f t="shared" si="26"/>
        <v/>
      </c>
      <c r="S83" s="143" t="str">
        <f t="shared" si="27"/>
        <v/>
      </c>
      <c r="T83" s="123"/>
      <c r="U83" s="119"/>
      <c r="V83" s="124"/>
      <c r="W83" s="143" t="str">
        <f t="shared" si="28"/>
        <v/>
      </c>
      <c r="X83" s="143" t="str">
        <f t="shared" si="29"/>
        <v/>
      </c>
      <c r="Y83" s="143" t="str">
        <f t="shared" si="30"/>
        <v/>
      </c>
      <c r="Z83" s="150" t="str">
        <f t="shared" si="31"/>
        <v/>
      </c>
      <c r="AA83" s="143" t="str">
        <f t="shared" si="32"/>
        <v/>
      </c>
      <c r="AB83" s="152" t="str">
        <f t="shared" si="33"/>
        <v/>
      </c>
      <c r="AC83" s="158" t="str">
        <f>IF(AB83="","",IFERROR(INDEX(HELPER!$D$8:$D$48,IF(AB83&gt;=HELPER!$B$8,1,MATCH(AB83,HELPER!$B$8:$B$48,-1)+1)),""))</f>
        <v/>
      </c>
      <c r="AD83" s="155" t="str">
        <f>IF(AC83="","",IFERROR(VLOOKUP(AC83,HELPER!$F$8:$G$48,2,FALSE),""))</f>
        <v/>
      </c>
      <c r="AE83" s="135"/>
      <c r="AF83" s="90"/>
    </row>
    <row r="84" spans="1:32" ht="15" customHeight="1" x14ac:dyDescent="0.25">
      <c r="A84" s="135"/>
      <c r="B84" s="111">
        <v>16</v>
      </c>
      <c r="C84" s="209" t="str">
        <f>IF('INPUT DATA'!N26="","",'INPUT DATA'!N26)</f>
        <v/>
      </c>
      <c r="D84" s="210"/>
      <c r="E84" s="210"/>
      <c r="F84" s="123"/>
      <c r="G84" s="119"/>
      <c r="H84" s="119"/>
      <c r="I84" s="119"/>
      <c r="J84" s="124"/>
      <c r="K84" s="143" t="str">
        <f t="shared" si="34"/>
        <v/>
      </c>
      <c r="L84" s="143" t="str">
        <f t="shared" si="23"/>
        <v/>
      </c>
      <c r="M84" s="146" t="str">
        <f t="shared" si="24"/>
        <v/>
      </c>
      <c r="N84" s="123"/>
      <c r="O84" s="119"/>
      <c r="P84" s="124"/>
      <c r="Q84" s="143" t="str">
        <f t="shared" si="25"/>
        <v/>
      </c>
      <c r="R84" s="143" t="str">
        <f t="shared" si="26"/>
        <v/>
      </c>
      <c r="S84" s="143" t="str">
        <f t="shared" si="27"/>
        <v/>
      </c>
      <c r="T84" s="123"/>
      <c r="U84" s="119"/>
      <c r="V84" s="124"/>
      <c r="W84" s="143" t="str">
        <f t="shared" si="28"/>
        <v/>
      </c>
      <c r="X84" s="143" t="str">
        <f t="shared" si="29"/>
        <v/>
      </c>
      <c r="Y84" s="143" t="str">
        <f t="shared" si="30"/>
        <v/>
      </c>
      <c r="Z84" s="150" t="str">
        <f t="shared" si="31"/>
        <v/>
      </c>
      <c r="AA84" s="143" t="str">
        <f t="shared" si="32"/>
        <v/>
      </c>
      <c r="AB84" s="152" t="str">
        <f t="shared" si="33"/>
        <v/>
      </c>
      <c r="AC84" s="158" t="str">
        <f>IF(AB84="","",IFERROR(INDEX(HELPER!$D$8:$D$48,IF(AB84&gt;=HELPER!$B$8,1,MATCH(AB84,HELPER!$B$8:$B$48,-1)+1)),""))</f>
        <v/>
      </c>
      <c r="AD84" s="155" t="str">
        <f>IF(AC84="","",IFERROR(VLOOKUP(AC84,HELPER!$F$8:$G$48,2,FALSE),""))</f>
        <v/>
      </c>
      <c r="AE84" s="135"/>
      <c r="AF84" s="90"/>
    </row>
    <row r="85" spans="1:32" ht="15" customHeight="1" x14ac:dyDescent="0.25">
      <c r="A85" s="135"/>
      <c r="B85" s="111">
        <v>17</v>
      </c>
      <c r="C85" s="209" t="str">
        <f>IF('INPUT DATA'!N27="","",'INPUT DATA'!N27)</f>
        <v/>
      </c>
      <c r="D85" s="210"/>
      <c r="E85" s="210"/>
      <c r="F85" s="123"/>
      <c r="G85" s="119"/>
      <c r="H85" s="119"/>
      <c r="I85" s="119"/>
      <c r="J85" s="124"/>
      <c r="K85" s="143" t="str">
        <f t="shared" si="34"/>
        <v/>
      </c>
      <c r="L85" s="143" t="str">
        <f t="shared" si="23"/>
        <v/>
      </c>
      <c r="M85" s="146" t="str">
        <f t="shared" si="24"/>
        <v/>
      </c>
      <c r="N85" s="123"/>
      <c r="O85" s="119"/>
      <c r="P85" s="124"/>
      <c r="Q85" s="143" t="str">
        <f t="shared" si="25"/>
        <v/>
      </c>
      <c r="R85" s="143" t="str">
        <f t="shared" si="26"/>
        <v/>
      </c>
      <c r="S85" s="143" t="str">
        <f t="shared" si="27"/>
        <v/>
      </c>
      <c r="T85" s="123"/>
      <c r="U85" s="119"/>
      <c r="V85" s="124"/>
      <c r="W85" s="143" t="str">
        <f t="shared" si="28"/>
        <v/>
      </c>
      <c r="X85" s="143" t="str">
        <f t="shared" si="29"/>
        <v/>
      </c>
      <c r="Y85" s="143" t="str">
        <f t="shared" si="30"/>
        <v/>
      </c>
      <c r="Z85" s="150" t="str">
        <f t="shared" si="31"/>
        <v/>
      </c>
      <c r="AA85" s="143" t="str">
        <f t="shared" si="32"/>
        <v/>
      </c>
      <c r="AB85" s="152" t="str">
        <f t="shared" si="33"/>
        <v/>
      </c>
      <c r="AC85" s="158" t="str">
        <f>IF(AB85="","",IFERROR(INDEX(HELPER!$D$8:$D$48,IF(AB85&gt;=HELPER!$B$8,1,MATCH(AB85,HELPER!$B$8:$B$48,-1)+1)),""))</f>
        <v/>
      </c>
      <c r="AD85" s="155" t="str">
        <f>IF(AC85="","",IFERROR(VLOOKUP(AC85,HELPER!$F$8:$G$48,2,FALSE),""))</f>
        <v/>
      </c>
      <c r="AE85" s="135"/>
      <c r="AF85" s="90"/>
    </row>
    <row r="86" spans="1:32" ht="15" customHeight="1" x14ac:dyDescent="0.25">
      <c r="A86" s="135"/>
      <c r="B86" s="111">
        <v>18</v>
      </c>
      <c r="C86" s="209" t="str">
        <f>IF('INPUT DATA'!N28="","",'INPUT DATA'!N28)</f>
        <v/>
      </c>
      <c r="D86" s="210"/>
      <c r="E86" s="210"/>
      <c r="F86" s="123"/>
      <c r="G86" s="119"/>
      <c r="H86" s="119"/>
      <c r="I86" s="119"/>
      <c r="J86" s="124"/>
      <c r="K86" s="143" t="str">
        <f t="shared" si="34"/>
        <v/>
      </c>
      <c r="L86" s="143" t="str">
        <f t="shared" si="23"/>
        <v/>
      </c>
      <c r="M86" s="146" t="str">
        <f t="shared" si="24"/>
        <v/>
      </c>
      <c r="N86" s="123"/>
      <c r="O86" s="119"/>
      <c r="P86" s="124"/>
      <c r="Q86" s="143" t="str">
        <f t="shared" si="25"/>
        <v/>
      </c>
      <c r="R86" s="143" t="str">
        <f t="shared" si="26"/>
        <v/>
      </c>
      <c r="S86" s="143" t="str">
        <f t="shared" si="27"/>
        <v/>
      </c>
      <c r="T86" s="123"/>
      <c r="U86" s="119"/>
      <c r="V86" s="124"/>
      <c r="W86" s="143" t="str">
        <f t="shared" si="28"/>
        <v/>
      </c>
      <c r="X86" s="143" t="str">
        <f t="shared" si="29"/>
        <v/>
      </c>
      <c r="Y86" s="143" t="str">
        <f t="shared" si="30"/>
        <v/>
      </c>
      <c r="Z86" s="150" t="str">
        <f t="shared" si="31"/>
        <v/>
      </c>
      <c r="AA86" s="143" t="str">
        <f t="shared" si="32"/>
        <v/>
      </c>
      <c r="AB86" s="152" t="str">
        <f t="shared" si="33"/>
        <v/>
      </c>
      <c r="AC86" s="158" t="str">
        <f>IF(AB86="","",IFERROR(INDEX(HELPER!$D$8:$D$48,IF(AB86&gt;=HELPER!$B$8,1,MATCH(AB86,HELPER!$B$8:$B$48,-1)+1)),""))</f>
        <v/>
      </c>
      <c r="AD86" s="155" t="str">
        <f>IF(AC86="","",IFERROR(VLOOKUP(AC86,HELPER!$F$8:$G$48,2,FALSE),""))</f>
        <v/>
      </c>
      <c r="AE86" s="135"/>
      <c r="AF86" s="90"/>
    </row>
    <row r="87" spans="1:32" ht="15" customHeight="1" x14ac:dyDescent="0.25">
      <c r="A87" s="135"/>
      <c r="B87" s="111">
        <v>19</v>
      </c>
      <c r="C87" s="209" t="str">
        <f>IF('INPUT DATA'!N29="","",'INPUT DATA'!N29)</f>
        <v/>
      </c>
      <c r="D87" s="210"/>
      <c r="E87" s="210"/>
      <c r="F87" s="123"/>
      <c r="G87" s="119"/>
      <c r="H87" s="119"/>
      <c r="I87" s="119"/>
      <c r="J87" s="124"/>
      <c r="K87" s="143" t="str">
        <f t="shared" si="34"/>
        <v/>
      </c>
      <c r="L87" s="143" t="str">
        <f t="shared" si="23"/>
        <v/>
      </c>
      <c r="M87" s="146" t="str">
        <f t="shared" si="24"/>
        <v/>
      </c>
      <c r="N87" s="123"/>
      <c r="O87" s="119"/>
      <c r="P87" s="124"/>
      <c r="Q87" s="143" t="str">
        <f t="shared" si="25"/>
        <v/>
      </c>
      <c r="R87" s="143" t="str">
        <f t="shared" si="26"/>
        <v/>
      </c>
      <c r="S87" s="143" t="str">
        <f t="shared" si="27"/>
        <v/>
      </c>
      <c r="T87" s="123"/>
      <c r="U87" s="119"/>
      <c r="V87" s="124"/>
      <c r="W87" s="143" t="str">
        <f t="shared" si="28"/>
        <v/>
      </c>
      <c r="X87" s="143" t="str">
        <f t="shared" si="29"/>
        <v/>
      </c>
      <c r="Y87" s="143" t="str">
        <f t="shared" si="30"/>
        <v/>
      </c>
      <c r="Z87" s="150" t="str">
        <f t="shared" si="31"/>
        <v/>
      </c>
      <c r="AA87" s="143" t="str">
        <f t="shared" si="32"/>
        <v/>
      </c>
      <c r="AB87" s="152" t="str">
        <f t="shared" si="33"/>
        <v/>
      </c>
      <c r="AC87" s="158" t="str">
        <f>IF(AB87="","",IFERROR(INDEX(HELPER!$D$8:$D$48,IF(AB87&gt;=HELPER!$B$8,1,MATCH(AB87,HELPER!$B$8:$B$48,-1)+1)),""))</f>
        <v/>
      </c>
      <c r="AD87" s="155" t="str">
        <f>IF(AC87="","",IFERROR(VLOOKUP(AC87,HELPER!$F$8:$G$48,2,FALSE),""))</f>
        <v/>
      </c>
      <c r="AE87" s="135"/>
      <c r="AF87" s="90"/>
    </row>
    <row r="88" spans="1:32" ht="15" customHeight="1" x14ac:dyDescent="0.25">
      <c r="A88" s="135"/>
      <c r="B88" s="112">
        <v>20</v>
      </c>
      <c r="C88" s="209" t="str">
        <f>IF('INPUT DATA'!N30="","",'INPUT DATA'!N30)</f>
        <v/>
      </c>
      <c r="D88" s="210"/>
      <c r="E88" s="210"/>
      <c r="F88" s="123"/>
      <c r="G88" s="119"/>
      <c r="H88" s="119"/>
      <c r="I88" s="119"/>
      <c r="J88" s="124"/>
      <c r="K88" s="143" t="str">
        <f t="shared" si="34"/>
        <v/>
      </c>
      <c r="L88" s="143" t="str">
        <f t="shared" si="23"/>
        <v/>
      </c>
      <c r="M88" s="146" t="str">
        <f t="shared" si="24"/>
        <v/>
      </c>
      <c r="N88" s="123"/>
      <c r="O88" s="119"/>
      <c r="P88" s="124"/>
      <c r="Q88" s="143" t="str">
        <f t="shared" si="25"/>
        <v/>
      </c>
      <c r="R88" s="143" t="str">
        <f t="shared" si="26"/>
        <v/>
      </c>
      <c r="S88" s="143" t="str">
        <f t="shared" si="27"/>
        <v/>
      </c>
      <c r="T88" s="123"/>
      <c r="U88" s="119"/>
      <c r="V88" s="124"/>
      <c r="W88" s="143" t="str">
        <f t="shared" si="28"/>
        <v/>
      </c>
      <c r="X88" s="143" t="str">
        <f t="shared" si="29"/>
        <v/>
      </c>
      <c r="Y88" s="143" t="str">
        <f t="shared" si="30"/>
        <v/>
      </c>
      <c r="Z88" s="150" t="str">
        <f t="shared" si="31"/>
        <v/>
      </c>
      <c r="AA88" s="143" t="str">
        <f t="shared" si="32"/>
        <v/>
      </c>
      <c r="AB88" s="152" t="str">
        <f t="shared" si="33"/>
        <v/>
      </c>
      <c r="AC88" s="158" t="str">
        <f>IF(AB88="","",IFERROR(INDEX(HELPER!$D$8:$D$48,IF(AB88&gt;=HELPER!$B$8,1,MATCH(AB88,HELPER!$B$8:$B$48,-1)+1)),""))</f>
        <v/>
      </c>
      <c r="AD88" s="155" t="str">
        <f>IF(AC88="","",IFERROR(VLOOKUP(AC88,HELPER!$F$8:$G$48,2,FALSE),""))</f>
        <v/>
      </c>
      <c r="AE88" s="135"/>
      <c r="AF88" s="90"/>
    </row>
    <row r="89" spans="1:32" ht="15" customHeight="1" x14ac:dyDescent="0.25">
      <c r="A89" s="135"/>
      <c r="B89" s="112">
        <v>21</v>
      </c>
      <c r="C89" s="209" t="str">
        <f>IF('INPUT DATA'!N31="","",'INPUT DATA'!N31)</f>
        <v/>
      </c>
      <c r="D89" s="210"/>
      <c r="E89" s="210"/>
      <c r="F89" s="123"/>
      <c r="G89" s="119"/>
      <c r="H89" s="119"/>
      <c r="I89" s="119"/>
      <c r="J89" s="124"/>
      <c r="K89" s="143" t="str">
        <f t="shared" si="34"/>
        <v/>
      </c>
      <c r="L89" s="143" t="str">
        <f t="shared" si="23"/>
        <v/>
      </c>
      <c r="M89" s="146" t="str">
        <f t="shared" si="24"/>
        <v/>
      </c>
      <c r="N89" s="123"/>
      <c r="O89" s="119"/>
      <c r="P89" s="124"/>
      <c r="Q89" s="143" t="str">
        <f t="shared" si="25"/>
        <v/>
      </c>
      <c r="R89" s="143" t="str">
        <f t="shared" si="26"/>
        <v/>
      </c>
      <c r="S89" s="143" t="str">
        <f t="shared" si="27"/>
        <v/>
      </c>
      <c r="T89" s="123"/>
      <c r="U89" s="119"/>
      <c r="V89" s="124"/>
      <c r="W89" s="143" t="str">
        <f t="shared" si="28"/>
        <v/>
      </c>
      <c r="X89" s="143" t="str">
        <f t="shared" si="29"/>
        <v/>
      </c>
      <c r="Y89" s="143" t="str">
        <f t="shared" si="30"/>
        <v/>
      </c>
      <c r="Z89" s="150" t="str">
        <f t="shared" si="31"/>
        <v/>
      </c>
      <c r="AA89" s="143" t="str">
        <f t="shared" si="32"/>
        <v/>
      </c>
      <c r="AB89" s="152" t="str">
        <f t="shared" si="33"/>
        <v/>
      </c>
      <c r="AC89" s="158" t="str">
        <f>IF(AB89="","",IFERROR(INDEX(HELPER!$D$8:$D$48,IF(AB89&gt;=HELPER!$B$8,1,MATCH(AB89,HELPER!$B$8:$B$48,-1)+1)),""))</f>
        <v/>
      </c>
      <c r="AD89" s="155" t="str">
        <f>IF(AC89="","",IFERROR(VLOOKUP(AC89,HELPER!$F$8:$G$48,2,FALSE),""))</f>
        <v/>
      </c>
      <c r="AE89" s="135"/>
      <c r="AF89" s="90"/>
    </row>
    <row r="90" spans="1:32" ht="15" customHeight="1" x14ac:dyDescent="0.25">
      <c r="A90" s="135"/>
      <c r="B90" s="112">
        <v>22</v>
      </c>
      <c r="C90" s="209" t="str">
        <f>IF('INPUT DATA'!N32="","",'INPUT DATA'!N32)</f>
        <v/>
      </c>
      <c r="D90" s="210"/>
      <c r="E90" s="210"/>
      <c r="F90" s="123"/>
      <c r="G90" s="119"/>
      <c r="H90" s="119"/>
      <c r="I90" s="119"/>
      <c r="J90" s="124"/>
      <c r="K90" s="143" t="str">
        <f t="shared" si="34"/>
        <v/>
      </c>
      <c r="L90" s="143" t="str">
        <f t="shared" si="23"/>
        <v/>
      </c>
      <c r="M90" s="146" t="str">
        <f t="shared" si="24"/>
        <v/>
      </c>
      <c r="N90" s="123"/>
      <c r="O90" s="119"/>
      <c r="P90" s="124"/>
      <c r="Q90" s="143" t="str">
        <f t="shared" si="25"/>
        <v/>
      </c>
      <c r="R90" s="143" t="str">
        <f t="shared" si="26"/>
        <v/>
      </c>
      <c r="S90" s="143" t="str">
        <f t="shared" si="27"/>
        <v/>
      </c>
      <c r="T90" s="123"/>
      <c r="U90" s="119"/>
      <c r="V90" s="124"/>
      <c r="W90" s="143" t="str">
        <f t="shared" si="28"/>
        <v/>
      </c>
      <c r="X90" s="143" t="str">
        <f t="shared" si="29"/>
        <v/>
      </c>
      <c r="Y90" s="143" t="str">
        <f t="shared" si="30"/>
        <v/>
      </c>
      <c r="Z90" s="150" t="str">
        <f t="shared" si="31"/>
        <v/>
      </c>
      <c r="AA90" s="143" t="str">
        <f t="shared" si="32"/>
        <v/>
      </c>
      <c r="AB90" s="152" t="str">
        <f t="shared" si="33"/>
        <v/>
      </c>
      <c r="AC90" s="158" t="str">
        <f>IF(AB90="","",IFERROR(INDEX(HELPER!$D$8:$D$48,IF(AB90&gt;=HELPER!$B$8,1,MATCH(AB90,HELPER!$B$8:$B$48,-1)+1)),""))</f>
        <v/>
      </c>
      <c r="AD90" s="155" t="str">
        <f>IF(AC90="","",IFERROR(VLOOKUP(AC90,HELPER!$F$8:$G$48,2,FALSE),""))</f>
        <v/>
      </c>
      <c r="AE90" s="135"/>
      <c r="AF90" s="90"/>
    </row>
    <row r="91" spans="1:32" ht="15" customHeight="1" x14ac:dyDescent="0.25">
      <c r="A91" s="135"/>
      <c r="B91" s="112">
        <v>23</v>
      </c>
      <c r="C91" s="209" t="str">
        <f>IF('INPUT DATA'!N33="","",'INPUT DATA'!N33)</f>
        <v/>
      </c>
      <c r="D91" s="210"/>
      <c r="E91" s="210"/>
      <c r="F91" s="123"/>
      <c r="G91" s="119"/>
      <c r="H91" s="119"/>
      <c r="I91" s="119"/>
      <c r="J91" s="124"/>
      <c r="K91" s="143" t="str">
        <f t="shared" si="34"/>
        <v/>
      </c>
      <c r="L91" s="143" t="str">
        <f t="shared" si="23"/>
        <v/>
      </c>
      <c r="M91" s="146" t="str">
        <f t="shared" si="24"/>
        <v/>
      </c>
      <c r="N91" s="123"/>
      <c r="O91" s="119"/>
      <c r="P91" s="124"/>
      <c r="Q91" s="143" t="str">
        <f t="shared" si="25"/>
        <v/>
      </c>
      <c r="R91" s="143" t="str">
        <f t="shared" si="26"/>
        <v/>
      </c>
      <c r="S91" s="143" t="str">
        <f t="shared" si="27"/>
        <v/>
      </c>
      <c r="T91" s="123"/>
      <c r="U91" s="119"/>
      <c r="V91" s="124"/>
      <c r="W91" s="143" t="str">
        <f t="shared" si="28"/>
        <v/>
      </c>
      <c r="X91" s="143" t="str">
        <f t="shared" si="29"/>
        <v/>
      </c>
      <c r="Y91" s="143" t="str">
        <f t="shared" si="30"/>
        <v/>
      </c>
      <c r="Z91" s="150" t="str">
        <f t="shared" si="31"/>
        <v/>
      </c>
      <c r="AA91" s="143" t="str">
        <f t="shared" si="32"/>
        <v/>
      </c>
      <c r="AB91" s="152" t="str">
        <f t="shared" si="33"/>
        <v/>
      </c>
      <c r="AC91" s="158" t="str">
        <f>IF(AB91="","",IFERROR(INDEX(HELPER!$D$8:$D$48,IF(AB91&gt;=HELPER!$B$8,1,MATCH(AB91,HELPER!$B$8:$B$48,-1)+1)),""))</f>
        <v/>
      </c>
      <c r="AD91" s="155" t="str">
        <f>IF(AC91="","",IFERROR(VLOOKUP(AC91,HELPER!$F$8:$G$48,2,FALSE),""))</f>
        <v/>
      </c>
      <c r="AE91" s="135"/>
      <c r="AF91" s="90"/>
    </row>
    <row r="92" spans="1:32" ht="15" customHeight="1" x14ac:dyDescent="0.25">
      <c r="A92" s="135"/>
      <c r="B92" s="112">
        <v>24</v>
      </c>
      <c r="C92" s="209" t="str">
        <f>IF('INPUT DATA'!N34="","",'INPUT DATA'!N34)</f>
        <v/>
      </c>
      <c r="D92" s="210"/>
      <c r="E92" s="210"/>
      <c r="F92" s="123"/>
      <c r="G92" s="119"/>
      <c r="H92" s="119"/>
      <c r="I92" s="119"/>
      <c r="J92" s="124"/>
      <c r="K92" s="143" t="str">
        <f t="shared" si="34"/>
        <v/>
      </c>
      <c r="L92" s="143" t="str">
        <f t="shared" si="23"/>
        <v/>
      </c>
      <c r="M92" s="146" t="str">
        <f t="shared" si="24"/>
        <v/>
      </c>
      <c r="N92" s="123"/>
      <c r="O92" s="119"/>
      <c r="P92" s="124"/>
      <c r="Q92" s="143" t="str">
        <f t="shared" si="25"/>
        <v/>
      </c>
      <c r="R92" s="143" t="str">
        <f t="shared" si="26"/>
        <v/>
      </c>
      <c r="S92" s="143" t="str">
        <f t="shared" si="27"/>
        <v/>
      </c>
      <c r="T92" s="123"/>
      <c r="U92" s="119"/>
      <c r="V92" s="124"/>
      <c r="W92" s="143" t="str">
        <f t="shared" si="28"/>
        <v/>
      </c>
      <c r="X92" s="143" t="str">
        <f t="shared" si="29"/>
        <v/>
      </c>
      <c r="Y92" s="143" t="str">
        <f t="shared" si="30"/>
        <v/>
      </c>
      <c r="Z92" s="150" t="str">
        <f t="shared" si="31"/>
        <v/>
      </c>
      <c r="AA92" s="143" t="str">
        <f t="shared" si="32"/>
        <v/>
      </c>
      <c r="AB92" s="152" t="str">
        <f t="shared" si="33"/>
        <v/>
      </c>
      <c r="AC92" s="158" t="str">
        <f>IF(AB92="","",IFERROR(INDEX(HELPER!$D$8:$D$48,IF(AB92&gt;=HELPER!$B$8,1,MATCH(AB92,HELPER!$B$8:$B$48,-1)+1)),""))</f>
        <v/>
      </c>
      <c r="AD92" s="155" t="str">
        <f>IF(AC92="","",IFERROR(VLOOKUP(AC92,HELPER!$F$8:$G$48,2,FALSE),""))</f>
        <v/>
      </c>
      <c r="AE92" s="135"/>
      <c r="AF92" s="90"/>
    </row>
    <row r="93" spans="1:32" ht="15" customHeight="1" x14ac:dyDescent="0.25">
      <c r="A93" s="135"/>
      <c r="B93" s="112">
        <v>25</v>
      </c>
      <c r="C93" s="209" t="str">
        <f>IF('INPUT DATA'!N35="","",'INPUT DATA'!N35)</f>
        <v/>
      </c>
      <c r="D93" s="210"/>
      <c r="E93" s="210"/>
      <c r="F93" s="123"/>
      <c r="G93" s="119"/>
      <c r="H93" s="119"/>
      <c r="I93" s="119"/>
      <c r="J93" s="124"/>
      <c r="K93" s="143" t="str">
        <f t="shared" si="34"/>
        <v/>
      </c>
      <c r="L93" s="143" t="str">
        <f t="shared" si="23"/>
        <v/>
      </c>
      <c r="M93" s="146" t="str">
        <f t="shared" si="24"/>
        <v/>
      </c>
      <c r="N93" s="123"/>
      <c r="O93" s="119"/>
      <c r="P93" s="124"/>
      <c r="Q93" s="143" t="str">
        <f t="shared" si="25"/>
        <v/>
      </c>
      <c r="R93" s="143" t="str">
        <f t="shared" si="26"/>
        <v/>
      </c>
      <c r="S93" s="143" t="str">
        <f t="shared" si="27"/>
        <v/>
      </c>
      <c r="T93" s="123"/>
      <c r="U93" s="119"/>
      <c r="V93" s="124"/>
      <c r="W93" s="143" t="str">
        <f t="shared" si="28"/>
        <v/>
      </c>
      <c r="X93" s="143" t="str">
        <f t="shared" si="29"/>
        <v/>
      </c>
      <c r="Y93" s="143" t="str">
        <f t="shared" si="30"/>
        <v/>
      </c>
      <c r="Z93" s="150" t="str">
        <f t="shared" si="31"/>
        <v/>
      </c>
      <c r="AA93" s="143" t="str">
        <f t="shared" si="32"/>
        <v/>
      </c>
      <c r="AB93" s="152" t="str">
        <f t="shared" si="33"/>
        <v/>
      </c>
      <c r="AC93" s="158" t="str">
        <f>IF(AB93="","",IFERROR(INDEX(HELPER!$D$8:$D$48,IF(AB93&gt;=HELPER!$B$8,1,MATCH(AB93,HELPER!$B$8:$B$48,-1)+1)),""))</f>
        <v/>
      </c>
      <c r="AD93" s="155" t="str">
        <f>IF(AC93="","",IFERROR(VLOOKUP(AC93,HELPER!$F$8:$G$48,2,FALSE),""))</f>
        <v/>
      </c>
      <c r="AE93" s="135"/>
      <c r="AF93" s="90"/>
    </row>
    <row r="94" spans="1:32" ht="15" customHeight="1" x14ac:dyDescent="0.25">
      <c r="A94" s="135"/>
      <c r="B94" s="112">
        <v>26</v>
      </c>
      <c r="C94" s="209" t="str">
        <f>IF('INPUT DATA'!N36="","",'INPUT DATA'!N36)</f>
        <v/>
      </c>
      <c r="D94" s="210"/>
      <c r="E94" s="210"/>
      <c r="F94" s="123"/>
      <c r="G94" s="119"/>
      <c r="H94" s="119"/>
      <c r="I94" s="119"/>
      <c r="J94" s="124"/>
      <c r="K94" s="143" t="str">
        <f t="shared" si="34"/>
        <v/>
      </c>
      <c r="L94" s="143" t="str">
        <f t="shared" si="23"/>
        <v/>
      </c>
      <c r="M94" s="146" t="str">
        <f t="shared" si="24"/>
        <v/>
      </c>
      <c r="N94" s="123"/>
      <c r="O94" s="119"/>
      <c r="P94" s="124"/>
      <c r="Q94" s="143" t="str">
        <f t="shared" si="25"/>
        <v/>
      </c>
      <c r="R94" s="143" t="str">
        <f t="shared" si="26"/>
        <v/>
      </c>
      <c r="S94" s="143" t="str">
        <f t="shared" si="27"/>
        <v/>
      </c>
      <c r="T94" s="123"/>
      <c r="U94" s="119"/>
      <c r="V94" s="124"/>
      <c r="W94" s="143" t="str">
        <f t="shared" si="28"/>
        <v/>
      </c>
      <c r="X94" s="143" t="str">
        <f t="shared" si="29"/>
        <v/>
      </c>
      <c r="Y94" s="143" t="str">
        <f t="shared" si="30"/>
        <v/>
      </c>
      <c r="Z94" s="150" t="str">
        <f t="shared" si="31"/>
        <v/>
      </c>
      <c r="AA94" s="143" t="str">
        <f t="shared" si="32"/>
        <v/>
      </c>
      <c r="AB94" s="152" t="str">
        <f t="shared" si="33"/>
        <v/>
      </c>
      <c r="AC94" s="158" t="str">
        <f>IF(AB94="","",IFERROR(INDEX(HELPER!$D$8:$D$48,IF(AB94&gt;=HELPER!$B$8,1,MATCH(AB94,HELPER!$B$8:$B$48,-1)+1)),""))</f>
        <v/>
      </c>
      <c r="AD94" s="155" t="str">
        <f>IF(AC94="","",IFERROR(VLOOKUP(AC94,HELPER!$F$8:$G$48,2,FALSE),""))</f>
        <v/>
      </c>
      <c r="AE94" s="135"/>
      <c r="AF94" s="90"/>
    </row>
    <row r="95" spans="1:32" ht="15" customHeight="1" x14ac:dyDescent="0.25">
      <c r="A95" s="135"/>
      <c r="B95" s="112">
        <v>27</v>
      </c>
      <c r="C95" s="209" t="str">
        <f>IF('INPUT DATA'!N37="","",'INPUT DATA'!N37)</f>
        <v/>
      </c>
      <c r="D95" s="210"/>
      <c r="E95" s="210"/>
      <c r="F95" s="123"/>
      <c r="G95" s="119"/>
      <c r="H95" s="119"/>
      <c r="I95" s="119"/>
      <c r="J95" s="124"/>
      <c r="K95" s="143" t="str">
        <f t="shared" si="34"/>
        <v/>
      </c>
      <c r="L95" s="143" t="str">
        <f t="shared" si="23"/>
        <v/>
      </c>
      <c r="M95" s="146" t="str">
        <f t="shared" si="24"/>
        <v/>
      </c>
      <c r="N95" s="123"/>
      <c r="O95" s="119"/>
      <c r="P95" s="124"/>
      <c r="Q95" s="143" t="str">
        <f t="shared" si="25"/>
        <v/>
      </c>
      <c r="R95" s="143" t="str">
        <f t="shared" si="26"/>
        <v/>
      </c>
      <c r="S95" s="143" t="str">
        <f t="shared" si="27"/>
        <v/>
      </c>
      <c r="T95" s="123"/>
      <c r="U95" s="119"/>
      <c r="V95" s="124"/>
      <c r="W95" s="143" t="str">
        <f t="shared" si="28"/>
        <v/>
      </c>
      <c r="X95" s="143" t="str">
        <f t="shared" si="29"/>
        <v/>
      </c>
      <c r="Y95" s="143" t="str">
        <f t="shared" si="30"/>
        <v/>
      </c>
      <c r="Z95" s="150" t="str">
        <f t="shared" si="31"/>
        <v/>
      </c>
      <c r="AA95" s="143" t="str">
        <f t="shared" si="32"/>
        <v/>
      </c>
      <c r="AB95" s="152" t="str">
        <f t="shared" si="33"/>
        <v/>
      </c>
      <c r="AC95" s="158" t="str">
        <f>IF(AB95="","",IFERROR(INDEX(HELPER!$D$8:$D$48,IF(AB95&gt;=HELPER!$B$8,1,MATCH(AB95,HELPER!$B$8:$B$48,-1)+1)),""))</f>
        <v/>
      </c>
      <c r="AD95" s="155" t="str">
        <f>IF(AC95="","",IFERROR(VLOOKUP(AC95,HELPER!$F$8:$G$48,2,FALSE),""))</f>
        <v/>
      </c>
      <c r="AE95" s="135"/>
      <c r="AF95" s="90"/>
    </row>
    <row r="96" spans="1:32" ht="15" customHeight="1" x14ac:dyDescent="0.25">
      <c r="A96" s="135"/>
      <c r="B96" s="112">
        <v>28</v>
      </c>
      <c r="C96" s="209" t="str">
        <f>IF('INPUT DATA'!N38="","",'INPUT DATA'!N38)</f>
        <v/>
      </c>
      <c r="D96" s="210"/>
      <c r="E96" s="210"/>
      <c r="F96" s="123"/>
      <c r="G96" s="119"/>
      <c r="H96" s="119"/>
      <c r="I96" s="119"/>
      <c r="J96" s="124"/>
      <c r="K96" s="143" t="str">
        <f t="shared" si="34"/>
        <v/>
      </c>
      <c r="L96" s="143" t="str">
        <f t="shared" si="23"/>
        <v/>
      </c>
      <c r="M96" s="146" t="str">
        <f t="shared" si="24"/>
        <v/>
      </c>
      <c r="N96" s="123"/>
      <c r="O96" s="119"/>
      <c r="P96" s="124"/>
      <c r="Q96" s="143" t="str">
        <f t="shared" si="25"/>
        <v/>
      </c>
      <c r="R96" s="143" t="str">
        <f t="shared" si="26"/>
        <v/>
      </c>
      <c r="S96" s="143" t="str">
        <f t="shared" si="27"/>
        <v/>
      </c>
      <c r="T96" s="123"/>
      <c r="U96" s="119"/>
      <c r="V96" s="124"/>
      <c r="W96" s="143" t="str">
        <f t="shared" si="28"/>
        <v/>
      </c>
      <c r="X96" s="143" t="str">
        <f t="shared" si="29"/>
        <v/>
      </c>
      <c r="Y96" s="143" t="str">
        <f t="shared" si="30"/>
        <v/>
      </c>
      <c r="Z96" s="150" t="str">
        <f t="shared" si="31"/>
        <v/>
      </c>
      <c r="AA96" s="143" t="str">
        <f t="shared" si="32"/>
        <v/>
      </c>
      <c r="AB96" s="152" t="str">
        <f t="shared" si="33"/>
        <v/>
      </c>
      <c r="AC96" s="158" t="str">
        <f>IF(AB96="","",IFERROR(INDEX(HELPER!$D$8:$D$48,IF(AB96&gt;=HELPER!$B$8,1,MATCH(AB96,HELPER!$B$8:$B$48,-1)+1)),""))</f>
        <v/>
      </c>
      <c r="AD96" s="155" t="str">
        <f>IF(AC96="","",IFERROR(VLOOKUP(AC96,HELPER!$F$8:$G$48,2,FALSE),""))</f>
        <v/>
      </c>
      <c r="AE96" s="135"/>
      <c r="AF96" s="90"/>
    </row>
    <row r="97" spans="1:32" ht="15" customHeight="1" x14ac:dyDescent="0.25">
      <c r="A97" s="135"/>
      <c r="B97" s="112">
        <v>29</v>
      </c>
      <c r="C97" s="209" t="str">
        <f>IF('INPUT DATA'!N39="","",'INPUT DATA'!N39)</f>
        <v/>
      </c>
      <c r="D97" s="210"/>
      <c r="E97" s="210"/>
      <c r="F97" s="123"/>
      <c r="G97" s="119"/>
      <c r="H97" s="119"/>
      <c r="I97" s="119"/>
      <c r="J97" s="124"/>
      <c r="K97" s="143" t="str">
        <f t="shared" si="34"/>
        <v/>
      </c>
      <c r="L97" s="143" t="str">
        <f t="shared" si="23"/>
        <v/>
      </c>
      <c r="M97" s="146" t="str">
        <f t="shared" si="24"/>
        <v/>
      </c>
      <c r="N97" s="123"/>
      <c r="O97" s="119"/>
      <c r="P97" s="124"/>
      <c r="Q97" s="143" t="str">
        <f t="shared" si="25"/>
        <v/>
      </c>
      <c r="R97" s="143" t="str">
        <f t="shared" si="26"/>
        <v/>
      </c>
      <c r="S97" s="143" t="str">
        <f t="shared" si="27"/>
        <v/>
      </c>
      <c r="T97" s="123"/>
      <c r="U97" s="119"/>
      <c r="V97" s="124"/>
      <c r="W97" s="143" t="str">
        <f t="shared" si="28"/>
        <v/>
      </c>
      <c r="X97" s="143" t="str">
        <f t="shared" si="29"/>
        <v/>
      </c>
      <c r="Y97" s="143" t="str">
        <f t="shared" si="30"/>
        <v/>
      </c>
      <c r="Z97" s="150" t="str">
        <f t="shared" si="31"/>
        <v/>
      </c>
      <c r="AA97" s="143" t="str">
        <f t="shared" si="32"/>
        <v/>
      </c>
      <c r="AB97" s="152" t="str">
        <f t="shared" si="33"/>
        <v/>
      </c>
      <c r="AC97" s="158" t="str">
        <f>IF(AB97="","",IFERROR(INDEX(HELPER!$D$8:$D$48,IF(AB97&gt;=HELPER!$B$8,1,MATCH(AB97,HELPER!$B$8:$B$48,-1)+1)),""))</f>
        <v/>
      </c>
      <c r="AD97" s="155" t="str">
        <f>IF(AC97="","",IFERROR(VLOOKUP(AC97,HELPER!$F$8:$G$48,2,FALSE),""))</f>
        <v/>
      </c>
      <c r="AE97" s="135"/>
      <c r="AF97" s="90"/>
    </row>
    <row r="98" spans="1:32" ht="15" customHeight="1" x14ac:dyDescent="0.25">
      <c r="A98" s="135"/>
      <c r="B98" s="112">
        <v>30</v>
      </c>
      <c r="C98" s="209" t="str">
        <f>IF('INPUT DATA'!N40="","",'INPUT DATA'!N40)</f>
        <v/>
      </c>
      <c r="D98" s="210"/>
      <c r="E98" s="210"/>
      <c r="F98" s="123"/>
      <c r="G98" s="119"/>
      <c r="H98" s="119"/>
      <c r="I98" s="119"/>
      <c r="J98" s="124"/>
      <c r="K98" s="143" t="str">
        <f t="shared" si="34"/>
        <v/>
      </c>
      <c r="L98" s="143" t="str">
        <f t="shared" si="23"/>
        <v/>
      </c>
      <c r="M98" s="146" t="str">
        <f t="shared" si="24"/>
        <v/>
      </c>
      <c r="N98" s="123"/>
      <c r="O98" s="119"/>
      <c r="P98" s="124"/>
      <c r="Q98" s="143" t="str">
        <f t="shared" si="25"/>
        <v/>
      </c>
      <c r="R98" s="143" t="str">
        <f t="shared" si="26"/>
        <v/>
      </c>
      <c r="S98" s="143" t="str">
        <f t="shared" si="27"/>
        <v/>
      </c>
      <c r="T98" s="123"/>
      <c r="U98" s="119"/>
      <c r="V98" s="124"/>
      <c r="W98" s="143" t="str">
        <f t="shared" si="28"/>
        <v/>
      </c>
      <c r="X98" s="143" t="str">
        <f t="shared" si="29"/>
        <v/>
      </c>
      <c r="Y98" s="143" t="str">
        <f t="shared" si="30"/>
        <v/>
      </c>
      <c r="Z98" s="150" t="str">
        <f t="shared" si="31"/>
        <v/>
      </c>
      <c r="AA98" s="143" t="str">
        <f t="shared" si="32"/>
        <v/>
      </c>
      <c r="AB98" s="152" t="str">
        <f t="shared" si="33"/>
        <v/>
      </c>
      <c r="AC98" s="158" t="str">
        <f>IF(AB98="","",IFERROR(INDEX(HELPER!$D$8:$D$48,IF(AB98&gt;=HELPER!$B$8,1,MATCH(AB98,HELPER!$B$8:$B$48,-1)+1)),""))</f>
        <v/>
      </c>
      <c r="AD98" s="155" t="str">
        <f>IF(AC98="","",IFERROR(VLOOKUP(AC98,HELPER!$F$8:$G$48,2,FALSE),""))</f>
        <v/>
      </c>
      <c r="AE98" s="135"/>
      <c r="AF98" s="90"/>
    </row>
    <row r="99" spans="1:32" ht="15" customHeight="1" x14ac:dyDescent="0.25">
      <c r="A99" s="135"/>
      <c r="B99" s="112">
        <v>31</v>
      </c>
      <c r="C99" s="209" t="str">
        <f>IF('INPUT DATA'!N41="","",'INPUT DATA'!N41)</f>
        <v/>
      </c>
      <c r="D99" s="210"/>
      <c r="E99" s="210"/>
      <c r="F99" s="123"/>
      <c r="G99" s="119"/>
      <c r="H99" s="119"/>
      <c r="I99" s="119"/>
      <c r="J99" s="124"/>
      <c r="K99" s="143" t="str">
        <f t="shared" si="34"/>
        <v/>
      </c>
      <c r="L99" s="143" t="str">
        <f t="shared" si="23"/>
        <v/>
      </c>
      <c r="M99" s="146" t="str">
        <f t="shared" si="24"/>
        <v/>
      </c>
      <c r="N99" s="123"/>
      <c r="O99" s="119"/>
      <c r="P99" s="124"/>
      <c r="Q99" s="143" t="str">
        <f t="shared" si="25"/>
        <v/>
      </c>
      <c r="R99" s="143" t="str">
        <f t="shared" si="26"/>
        <v/>
      </c>
      <c r="S99" s="143" t="str">
        <f t="shared" si="27"/>
        <v/>
      </c>
      <c r="T99" s="123"/>
      <c r="U99" s="119"/>
      <c r="V99" s="124"/>
      <c r="W99" s="143" t="str">
        <f t="shared" si="28"/>
        <v/>
      </c>
      <c r="X99" s="143" t="str">
        <f t="shared" si="29"/>
        <v/>
      </c>
      <c r="Y99" s="143" t="str">
        <f t="shared" si="30"/>
        <v/>
      </c>
      <c r="Z99" s="150" t="str">
        <f t="shared" si="31"/>
        <v/>
      </c>
      <c r="AA99" s="143" t="str">
        <f t="shared" si="32"/>
        <v/>
      </c>
      <c r="AB99" s="152" t="str">
        <f t="shared" si="33"/>
        <v/>
      </c>
      <c r="AC99" s="158" t="str">
        <f>IF(AB99="","",IFERROR(INDEX(HELPER!$D$8:$D$48,IF(AB99&gt;=HELPER!$B$8,1,MATCH(AB99,HELPER!$B$8:$B$48,-1)+1)),""))</f>
        <v/>
      </c>
      <c r="AD99" s="155" t="str">
        <f>IF(AC99="","",IFERROR(VLOOKUP(AC99,HELPER!$F$8:$G$48,2,FALSE),""))</f>
        <v/>
      </c>
      <c r="AE99" s="135"/>
      <c r="AF99" s="90"/>
    </row>
    <row r="100" spans="1:32" ht="15" customHeight="1" x14ac:dyDescent="0.25">
      <c r="A100" s="135"/>
      <c r="B100" s="112">
        <v>32</v>
      </c>
      <c r="C100" s="209" t="str">
        <f>IF('INPUT DATA'!N42="","",'INPUT DATA'!N42)</f>
        <v/>
      </c>
      <c r="D100" s="210"/>
      <c r="E100" s="210"/>
      <c r="F100" s="123"/>
      <c r="G100" s="119"/>
      <c r="H100" s="119"/>
      <c r="I100" s="119"/>
      <c r="J100" s="124"/>
      <c r="K100" s="143" t="str">
        <f t="shared" si="34"/>
        <v/>
      </c>
      <c r="L100" s="143" t="str">
        <f t="shared" si="23"/>
        <v/>
      </c>
      <c r="M100" s="146" t="str">
        <f t="shared" si="24"/>
        <v/>
      </c>
      <c r="N100" s="123"/>
      <c r="O100" s="119"/>
      <c r="P100" s="124"/>
      <c r="Q100" s="143" t="str">
        <f t="shared" si="25"/>
        <v/>
      </c>
      <c r="R100" s="143" t="str">
        <f t="shared" si="26"/>
        <v/>
      </c>
      <c r="S100" s="143" t="str">
        <f t="shared" si="27"/>
        <v/>
      </c>
      <c r="T100" s="123"/>
      <c r="U100" s="119"/>
      <c r="V100" s="124"/>
      <c r="W100" s="143" t="str">
        <f t="shared" si="28"/>
        <v/>
      </c>
      <c r="X100" s="143" t="str">
        <f t="shared" si="29"/>
        <v/>
      </c>
      <c r="Y100" s="143" t="str">
        <f t="shared" si="30"/>
        <v/>
      </c>
      <c r="Z100" s="150" t="str">
        <f t="shared" si="31"/>
        <v/>
      </c>
      <c r="AA100" s="143" t="str">
        <f t="shared" si="32"/>
        <v/>
      </c>
      <c r="AB100" s="152" t="str">
        <f t="shared" si="33"/>
        <v/>
      </c>
      <c r="AC100" s="158" t="str">
        <f>IF(AB100="","",IFERROR(INDEX(HELPER!$D$8:$D$48,IF(AB100&gt;=HELPER!$B$8,1,MATCH(AB100,HELPER!$B$8:$B$48,-1)+1)),""))</f>
        <v/>
      </c>
      <c r="AD100" s="155" t="str">
        <f>IF(AC100="","",IFERROR(VLOOKUP(AC100,HELPER!$F$8:$G$48,2,FALSE),""))</f>
        <v/>
      </c>
      <c r="AE100" s="135"/>
      <c r="AF100" s="90"/>
    </row>
    <row r="101" spans="1:32" ht="15" customHeight="1" x14ac:dyDescent="0.25">
      <c r="A101" s="135"/>
      <c r="B101" s="112">
        <v>33</v>
      </c>
      <c r="C101" s="209" t="str">
        <f>IF('INPUT DATA'!N43="","",'INPUT DATA'!N43)</f>
        <v/>
      </c>
      <c r="D101" s="210"/>
      <c r="E101" s="210"/>
      <c r="F101" s="123"/>
      <c r="G101" s="119"/>
      <c r="H101" s="119"/>
      <c r="I101" s="119"/>
      <c r="J101" s="124"/>
      <c r="K101" s="143" t="str">
        <f t="shared" si="34"/>
        <v/>
      </c>
      <c r="L101" s="143" t="str">
        <f t="shared" si="23"/>
        <v/>
      </c>
      <c r="M101" s="146" t="str">
        <f t="shared" si="24"/>
        <v/>
      </c>
      <c r="N101" s="123"/>
      <c r="O101" s="119"/>
      <c r="P101" s="124"/>
      <c r="Q101" s="143" t="str">
        <f t="shared" si="25"/>
        <v/>
      </c>
      <c r="R101" s="143" t="str">
        <f t="shared" si="26"/>
        <v/>
      </c>
      <c r="S101" s="143" t="str">
        <f t="shared" si="27"/>
        <v/>
      </c>
      <c r="T101" s="123"/>
      <c r="U101" s="119"/>
      <c r="V101" s="124"/>
      <c r="W101" s="143" t="str">
        <f t="shared" si="28"/>
        <v/>
      </c>
      <c r="X101" s="143" t="str">
        <f t="shared" si="29"/>
        <v/>
      </c>
      <c r="Y101" s="143" t="str">
        <f t="shared" si="30"/>
        <v/>
      </c>
      <c r="Z101" s="150" t="str">
        <f t="shared" si="31"/>
        <v/>
      </c>
      <c r="AA101" s="143" t="str">
        <f t="shared" si="32"/>
        <v/>
      </c>
      <c r="AB101" s="152" t="str">
        <f t="shared" si="33"/>
        <v/>
      </c>
      <c r="AC101" s="158" t="str">
        <f>IF(AB101="","",IFERROR(INDEX(HELPER!$D$8:$D$48,IF(AB101&gt;=HELPER!$B$8,1,MATCH(AB101,HELPER!$B$8:$B$48,-1)+1)),""))</f>
        <v/>
      </c>
      <c r="AD101" s="155" t="str">
        <f>IF(AC101="","",IFERROR(VLOOKUP(AC101,HELPER!$F$8:$G$48,2,FALSE),""))</f>
        <v/>
      </c>
      <c r="AE101" s="135"/>
      <c r="AF101" s="90"/>
    </row>
    <row r="102" spans="1:32" ht="15" customHeight="1" x14ac:dyDescent="0.25">
      <c r="A102" s="135"/>
      <c r="B102" s="112">
        <v>34</v>
      </c>
      <c r="C102" s="209" t="str">
        <f>IF('INPUT DATA'!N44="","",'INPUT DATA'!N44)</f>
        <v/>
      </c>
      <c r="D102" s="210"/>
      <c r="E102" s="210"/>
      <c r="F102" s="123"/>
      <c r="G102" s="119"/>
      <c r="H102" s="119"/>
      <c r="I102" s="119"/>
      <c r="J102" s="124"/>
      <c r="K102" s="143" t="str">
        <f t="shared" si="34"/>
        <v/>
      </c>
      <c r="L102" s="143" t="str">
        <f t="shared" si="23"/>
        <v/>
      </c>
      <c r="M102" s="146" t="str">
        <f t="shared" si="24"/>
        <v/>
      </c>
      <c r="N102" s="123"/>
      <c r="O102" s="119"/>
      <c r="P102" s="124"/>
      <c r="Q102" s="143" t="str">
        <f t="shared" si="25"/>
        <v/>
      </c>
      <c r="R102" s="143" t="str">
        <f t="shared" si="26"/>
        <v/>
      </c>
      <c r="S102" s="143" t="str">
        <f t="shared" si="27"/>
        <v/>
      </c>
      <c r="T102" s="123"/>
      <c r="U102" s="119"/>
      <c r="V102" s="124"/>
      <c r="W102" s="143" t="str">
        <f t="shared" si="28"/>
        <v/>
      </c>
      <c r="X102" s="143" t="str">
        <f t="shared" si="29"/>
        <v/>
      </c>
      <c r="Y102" s="143" t="str">
        <f t="shared" si="30"/>
        <v/>
      </c>
      <c r="Z102" s="150" t="str">
        <f t="shared" si="31"/>
        <v/>
      </c>
      <c r="AA102" s="143" t="str">
        <f t="shared" si="32"/>
        <v/>
      </c>
      <c r="AB102" s="152" t="str">
        <f t="shared" si="33"/>
        <v/>
      </c>
      <c r="AC102" s="158" t="str">
        <f>IF(AB102="","",IFERROR(INDEX(HELPER!$D$8:$D$48,IF(AB102&gt;=HELPER!$B$8,1,MATCH(AB102,HELPER!$B$8:$B$48,-1)+1)),""))</f>
        <v/>
      </c>
      <c r="AD102" s="155" t="str">
        <f>IF(AC102="","",IFERROR(VLOOKUP(AC102,HELPER!$F$8:$G$48,2,FALSE),""))</f>
        <v/>
      </c>
      <c r="AE102" s="135"/>
      <c r="AF102" s="90"/>
    </row>
    <row r="103" spans="1:32" ht="15" customHeight="1" x14ac:dyDescent="0.25">
      <c r="A103" s="135"/>
      <c r="B103" s="112">
        <v>35</v>
      </c>
      <c r="C103" s="209" t="str">
        <f>IF('INPUT DATA'!N45="","",'INPUT DATA'!N45)</f>
        <v/>
      </c>
      <c r="D103" s="210"/>
      <c r="E103" s="210"/>
      <c r="F103" s="123"/>
      <c r="G103" s="119"/>
      <c r="H103" s="119"/>
      <c r="I103" s="119"/>
      <c r="J103" s="124"/>
      <c r="K103" s="143" t="str">
        <f t="shared" si="34"/>
        <v/>
      </c>
      <c r="L103" s="143" t="str">
        <f t="shared" si="23"/>
        <v/>
      </c>
      <c r="M103" s="146" t="str">
        <f t="shared" si="24"/>
        <v/>
      </c>
      <c r="N103" s="123"/>
      <c r="O103" s="119"/>
      <c r="P103" s="124"/>
      <c r="Q103" s="143" t="str">
        <f t="shared" si="25"/>
        <v/>
      </c>
      <c r="R103" s="143" t="str">
        <f t="shared" si="26"/>
        <v/>
      </c>
      <c r="S103" s="143" t="str">
        <f t="shared" si="27"/>
        <v/>
      </c>
      <c r="T103" s="123"/>
      <c r="U103" s="119"/>
      <c r="V103" s="124"/>
      <c r="W103" s="143" t="str">
        <f t="shared" si="28"/>
        <v/>
      </c>
      <c r="X103" s="143" t="str">
        <f t="shared" si="29"/>
        <v/>
      </c>
      <c r="Y103" s="143" t="str">
        <f t="shared" si="30"/>
        <v/>
      </c>
      <c r="Z103" s="150" t="str">
        <f t="shared" si="31"/>
        <v/>
      </c>
      <c r="AA103" s="143" t="str">
        <f t="shared" si="32"/>
        <v/>
      </c>
      <c r="AB103" s="152" t="str">
        <f t="shared" si="33"/>
        <v/>
      </c>
      <c r="AC103" s="158" t="str">
        <f>IF(AB103="","",IFERROR(INDEX(HELPER!$D$8:$D$48,IF(AB103&gt;=HELPER!$B$8,1,MATCH(AB103,HELPER!$B$8:$B$48,-1)+1)),""))</f>
        <v/>
      </c>
      <c r="AD103" s="155" t="str">
        <f>IF(AC103="","",IFERROR(VLOOKUP(AC103,HELPER!$F$8:$G$48,2,FALSE),""))</f>
        <v/>
      </c>
      <c r="AE103" s="135"/>
      <c r="AF103" s="90"/>
    </row>
    <row r="104" spans="1:32" ht="15" customHeight="1" x14ac:dyDescent="0.25">
      <c r="A104" s="135"/>
      <c r="B104" s="112">
        <v>36</v>
      </c>
      <c r="C104" s="209" t="str">
        <f>IF('INPUT DATA'!N46="","",'INPUT DATA'!N46)</f>
        <v/>
      </c>
      <c r="D104" s="210"/>
      <c r="E104" s="210"/>
      <c r="F104" s="123"/>
      <c r="G104" s="119"/>
      <c r="H104" s="119"/>
      <c r="I104" s="119"/>
      <c r="J104" s="124"/>
      <c r="K104" s="143" t="str">
        <f t="shared" si="34"/>
        <v/>
      </c>
      <c r="L104" s="143" t="str">
        <f t="shared" si="23"/>
        <v/>
      </c>
      <c r="M104" s="146" t="str">
        <f t="shared" si="24"/>
        <v/>
      </c>
      <c r="N104" s="123"/>
      <c r="O104" s="119"/>
      <c r="P104" s="124"/>
      <c r="Q104" s="143" t="str">
        <f t="shared" si="25"/>
        <v/>
      </c>
      <c r="R104" s="143" t="str">
        <f t="shared" si="26"/>
        <v/>
      </c>
      <c r="S104" s="143" t="str">
        <f t="shared" si="27"/>
        <v/>
      </c>
      <c r="T104" s="123"/>
      <c r="U104" s="119"/>
      <c r="V104" s="124"/>
      <c r="W104" s="143" t="str">
        <f t="shared" si="28"/>
        <v/>
      </c>
      <c r="X104" s="143" t="str">
        <f t="shared" si="29"/>
        <v/>
      </c>
      <c r="Y104" s="143" t="str">
        <f t="shared" si="30"/>
        <v/>
      </c>
      <c r="Z104" s="150" t="str">
        <f t="shared" si="31"/>
        <v/>
      </c>
      <c r="AA104" s="143" t="str">
        <f t="shared" si="32"/>
        <v/>
      </c>
      <c r="AB104" s="152" t="str">
        <f t="shared" si="33"/>
        <v/>
      </c>
      <c r="AC104" s="158" t="str">
        <f>IF(AB104="","",IFERROR(INDEX(HELPER!$D$8:$D$48,IF(AB104&gt;=HELPER!$B$8,1,MATCH(AB104,HELPER!$B$8:$B$48,-1)+1)),""))</f>
        <v/>
      </c>
      <c r="AD104" s="155" t="str">
        <f>IF(AC104="","",IFERROR(VLOOKUP(AC104,HELPER!$F$8:$G$48,2,FALSE),""))</f>
        <v/>
      </c>
      <c r="AE104" s="135"/>
      <c r="AF104" s="90"/>
    </row>
    <row r="105" spans="1:32" ht="15" customHeight="1" x14ac:dyDescent="0.25">
      <c r="A105" s="135"/>
      <c r="B105" s="112">
        <v>37</v>
      </c>
      <c r="C105" s="209" t="str">
        <f>IF('INPUT DATA'!N47="","",'INPUT DATA'!N47)</f>
        <v/>
      </c>
      <c r="D105" s="210"/>
      <c r="E105" s="210"/>
      <c r="F105" s="123"/>
      <c r="G105" s="119"/>
      <c r="H105" s="119"/>
      <c r="I105" s="119"/>
      <c r="J105" s="124"/>
      <c r="K105" s="143" t="str">
        <f t="shared" si="34"/>
        <v/>
      </c>
      <c r="L105" s="143" t="str">
        <f t="shared" si="23"/>
        <v/>
      </c>
      <c r="M105" s="146" t="str">
        <f t="shared" si="24"/>
        <v/>
      </c>
      <c r="N105" s="123"/>
      <c r="O105" s="119"/>
      <c r="P105" s="124"/>
      <c r="Q105" s="143" t="str">
        <f t="shared" si="25"/>
        <v/>
      </c>
      <c r="R105" s="143" t="str">
        <f t="shared" si="26"/>
        <v/>
      </c>
      <c r="S105" s="143" t="str">
        <f t="shared" si="27"/>
        <v/>
      </c>
      <c r="T105" s="123"/>
      <c r="U105" s="119"/>
      <c r="V105" s="124"/>
      <c r="W105" s="143" t="str">
        <f t="shared" si="28"/>
        <v/>
      </c>
      <c r="X105" s="143" t="str">
        <f t="shared" si="29"/>
        <v/>
      </c>
      <c r="Y105" s="143" t="str">
        <f t="shared" si="30"/>
        <v/>
      </c>
      <c r="Z105" s="150" t="str">
        <f t="shared" si="31"/>
        <v/>
      </c>
      <c r="AA105" s="143" t="str">
        <f t="shared" si="32"/>
        <v/>
      </c>
      <c r="AB105" s="152" t="str">
        <f t="shared" si="33"/>
        <v/>
      </c>
      <c r="AC105" s="158" t="str">
        <f>IF(AB105="","",IFERROR(INDEX(HELPER!$D$8:$D$48,IF(AB105&gt;=HELPER!$B$8,1,MATCH(AB105,HELPER!$B$8:$B$48,-1)+1)),""))</f>
        <v/>
      </c>
      <c r="AD105" s="155" t="str">
        <f>IF(AC105="","",IFERROR(VLOOKUP(AC105,HELPER!$F$8:$G$48,2,FALSE),""))</f>
        <v/>
      </c>
      <c r="AE105" s="135"/>
      <c r="AF105" s="90"/>
    </row>
    <row r="106" spans="1:32" ht="15" customHeight="1" x14ac:dyDescent="0.25">
      <c r="A106" s="135"/>
      <c r="B106" s="112">
        <v>38</v>
      </c>
      <c r="C106" s="209" t="str">
        <f>IF('INPUT DATA'!N48="","",'INPUT DATA'!N48)</f>
        <v/>
      </c>
      <c r="D106" s="210"/>
      <c r="E106" s="210"/>
      <c r="F106" s="123"/>
      <c r="G106" s="119"/>
      <c r="H106" s="119"/>
      <c r="I106" s="119"/>
      <c r="J106" s="124"/>
      <c r="K106" s="143" t="str">
        <f t="shared" si="34"/>
        <v/>
      </c>
      <c r="L106" s="143" t="str">
        <f t="shared" si="23"/>
        <v/>
      </c>
      <c r="M106" s="146" t="str">
        <f t="shared" si="24"/>
        <v/>
      </c>
      <c r="N106" s="123"/>
      <c r="O106" s="119"/>
      <c r="P106" s="124"/>
      <c r="Q106" s="143" t="str">
        <f t="shared" si="25"/>
        <v/>
      </c>
      <c r="R106" s="143" t="str">
        <f t="shared" si="26"/>
        <v/>
      </c>
      <c r="S106" s="143" t="str">
        <f t="shared" si="27"/>
        <v/>
      </c>
      <c r="T106" s="123"/>
      <c r="U106" s="119"/>
      <c r="V106" s="124"/>
      <c r="W106" s="143" t="str">
        <f t="shared" si="28"/>
        <v/>
      </c>
      <c r="X106" s="143" t="str">
        <f t="shared" si="29"/>
        <v/>
      </c>
      <c r="Y106" s="143" t="str">
        <f t="shared" si="30"/>
        <v/>
      </c>
      <c r="Z106" s="150" t="str">
        <f t="shared" si="31"/>
        <v/>
      </c>
      <c r="AA106" s="143" t="str">
        <f t="shared" si="32"/>
        <v/>
      </c>
      <c r="AB106" s="152" t="str">
        <f t="shared" si="33"/>
        <v/>
      </c>
      <c r="AC106" s="158" t="str">
        <f>IF(AB106="","",IFERROR(INDEX(HELPER!$D$8:$D$48,IF(AB106&gt;=HELPER!$B$8,1,MATCH(AB106,HELPER!$B$8:$B$48,-1)+1)),""))</f>
        <v/>
      </c>
      <c r="AD106" s="155" t="str">
        <f>IF(AC106="","",IFERROR(VLOOKUP(AC106,HELPER!$F$8:$G$48,2,FALSE),""))</f>
        <v/>
      </c>
      <c r="AE106" s="135"/>
      <c r="AF106" s="90"/>
    </row>
    <row r="107" spans="1:32" ht="15" customHeight="1" x14ac:dyDescent="0.25">
      <c r="A107" s="135"/>
      <c r="B107" s="112">
        <v>39</v>
      </c>
      <c r="C107" s="209" t="str">
        <f>IF('INPUT DATA'!N49="","",'INPUT DATA'!N49)</f>
        <v/>
      </c>
      <c r="D107" s="210"/>
      <c r="E107" s="210"/>
      <c r="F107" s="123"/>
      <c r="G107" s="119"/>
      <c r="H107" s="119"/>
      <c r="I107" s="119"/>
      <c r="J107" s="124"/>
      <c r="K107" s="143" t="str">
        <f t="shared" si="34"/>
        <v/>
      </c>
      <c r="L107" s="143" t="str">
        <f t="shared" si="23"/>
        <v/>
      </c>
      <c r="M107" s="146" t="str">
        <f t="shared" si="24"/>
        <v/>
      </c>
      <c r="N107" s="123"/>
      <c r="O107" s="119"/>
      <c r="P107" s="124"/>
      <c r="Q107" s="143" t="str">
        <f t="shared" si="25"/>
        <v/>
      </c>
      <c r="R107" s="143" t="str">
        <f t="shared" si="26"/>
        <v/>
      </c>
      <c r="S107" s="143" t="str">
        <f t="shared" si="27"/>
        <v/>
      </c>
      <c r="T107" s="123"/>
      <c r="U107" s="119"/>
      <c r="V107" s="124"/>
      <c r="W107" s="143" t="str">
        <f t="shared" si="28"/>
        <v/>
      </c>
      <c r="X107" s="143" t="str">
        <f t="shared" si="29"/>
        <v/>
      </c>
      <c r="Y107" s="143" t="str">
        <f t="shared" si="30"/>
        <v/>
      </c>
      <c r="Z107" s="150" t="str">
        <f t="shared" si="31"/>
        <v/>
      </c>
      <c r="AA107" s="143" t="str">
        <f t="shared" si="32"/>
        <v/>
      </c>
      <c r="AB107" s="152" t="str">
        <f t="shared" si="33"/>
        <v/>
      </c>
      <c r="AC107" s="158" t="str">
        <f>IF(AB107="","",IFERROR(INDEX(HELPER!$D$8:$D$48,IF(AB107&gt;=HELPER!$B$8,1,MATCH(AB107,HELPER!$B$8:$B$48,-1)+1)),""))</f>
        <v/>
      </c>
      <c r="AD107" s="155" t="str">
        <f>IF(AC107="","",IFERROR(VLOOKUP(AC107,HELPER!$F$8:$G$48,2,FALSE),""))</f>
        <v/>
      </c>
      <c r="AE107" s="135"/>
      <c r="AF107" s="90"/>
    </row>
    <row r="108" spans="1:32" ht="15" customHeight="1" x14ac:dyDescent="0.25">
      <c r="A108" s="135"/>
      <c r="B108" s="112">
        <v>40</v>
      </c>
      <c r="C108" s="209" t="str">
        <f>IF('INPUT DATA'!N50="","",'INPUT DATA'!N50)</f>
        <v/>
      </c>
      <c r="D108" s="210"/>
      <c r="E108" s="210"/>
      <c r="F108" s="123"/>
      <c r="G108" s="119"/>
      <c r="H108" s="119"/>
      <c r="I108" s="119"/>
      <c r="J108" s="124"/>
      <c r="K108" s="143" t="str">
        <f t="shared" si="34"/>
        <v/>
      </c>
      <c r="L108" s="143" t="str">
        <f t="shared" si="23"/>
        <v/>
      </c>
      <c r="M108" s="146" t="str">
        <f t="shared" si="24"/>
        <v/>
      </c>
      <c r="N108" s="123"/>
      <c r="O108" s="119"/>
      <c r="P108" s="124"/>
      <c r="Q108" s="143" t="str">
        <f t="shared" si="25"/>
        <v/>
      </c>
      <c r="R108" s="143" t="str">
        <f t="shared" si="26"/>
        <v/>
      </c>
      <c r="S108" s="143" t="str">
        <f t="shared" si="27"/>
        <v/>
      </c>
      <c r="T108" s="123"/>
      <c r="U108" s="119"/>
      <c r="V108" s="124"/>
      <c r="W108" s="143" t="str">
        <f t="shared" si="28"/>
        <v/>
      </c>
      <c r="X108" s="143" t="str">
        <f t="shared" si="29"/>
        <v/>
      </c>
      <c r="Y108" s="143" t="str">
        <f t="shared" si="30"/>
        <v/>
      </c>
      <c r="Z108" s="150" t="str">
        <f t="shared" si="31"/>
        <v/>
      </c>
      <c r="AA108" s="143" t="str">
        <f t="shared" si="32"/>
        <v/>
      </c>
      <c r="AB108" s="152" t="str">
        <f t="shared" si="33"/>
        <v/>
      </c>
      <c r="AC108" s="158" t="str">
        <f>IF(AB108="","",IFERROR(INDEX(HELPER!$D$8:$D$48,IF(AB108&gt;=HELPER!$B$8,1,MATCH(AB108,HELPER!$B$8:$B$48,-1)+1)),""))</f>
        <v/>
      </c>
      <c r="AD108" s="155" t="str">
        <f>IF(AC108="","",IFERROR(VLOOKUP(AC108,HELPER!$F$8:$G$48,2,FALSE),""))</f>
        <v/>
      </c>
      <c r="AE108" s="135"/>
      <c r="AF108" s="90"/>
    </row>
    <row r="109" spans="1:32" ht="15" customHeight="1" x14ac:dyDescent="0.25">
      <c r="A109" s="135"/>
      <c r="B109" s="112">
        <v>41</v>
      </c>
      <c r="C109" s="209" t="str">
        <f>IF('INPUT DATA'!N51="","",'INPUT DATA'!N51)</f>
        <v/>
      </c>
      <c r="D109" s="210"/>
      <c r="E109" s="210"/>
      <c r="F109" s="123"/>
      <c r="G109" s="119"/>
      <c r="H109" s="119"/>
      <c r="I109" s="119"/>
      <c r="J109" s="124"/>
      <c r="K109" s="143" t="str">
        <f t="shared" si="34"/>
        <v/>
      </c>
      <c r="L109" s="143" t="str">
        <f t="shared" si="23"/>
        <v/>
      </c>
      <c r="M109" s="146" t="str">
        <f t="shared" si="24"/>
        <v/>
      </c>
      <c r="N109" s="123"/>
      <c r="O109" s="119"/>
      <c r="P109" s="124"/>
      <c r="Q109" s="143" t="str">
        <f t="shared" si="25"/>
        <v/>
      </c>
      <c r="R109" s="143" t="str">
        <f t="shared" si="26"/>
        <v/>
      </c>
      <c r="S109" s="143" t="str">
        <f t="shared" si="27"/>
        <v/>
      </c>
      <c r="T109" s="123"/>
      <c r="U109" s="119"/>
      <c r="V109" s="124"/>
      <c r="W109" s="143" t="str">
        <f t="shared" si="28"/>
        <v/>
      </c>
      <c r="X109" s="143" t="str">
        <f t="shared" si="29"/>
        <v/>
      </c>
      <c r="Y109" s="143" t="str">
        <f t="shared" si="30"/>
        <v/>
      </c>
      <c r="Z109" s="150" t="str">
        <f t="shared" si="31"/>
        <v/>
      </c>
      <c r="AA109" s="143" t="str">
        <f t="shared" si="32"/>
        <v/>
      </c>
      <c r="AB109" s="152" t="str">
        <f t="shared" si="33"/>
        <v/>
      </c>
      <c r="AC109" s="158" t="str">
        <f>IF(AB109="","",IFERROR(INDEX(HELPER!$D$8:$D$48,IF(AB109&gt;=HELPER!$B$8,1,MATCH(AB109,HELPER!$B$8:$B$48,-1)+1)),""))</f>
        <v/>
      </c>
      <c r="AD109" s="155" t="str">
        <f>IF(AC109="","",IFERROR(VLOOKUP(AC109,HELPER!$F$8:$G$48,2,FALSE),""))</f>
        <v/>
      </c>
      <c r="AE109" s="135"/>
      <c r="AF109" s="90"/>
    </row>
    <row r="110" spans="1:32" ht="15" customHeight="1" x14ac:dyDescent="0.25">
      <c r="A110" s="135"/>
      <c r="B110" s="112">
        <v>42</v>
      </c>
      <c r="C110" s="209" t="str">
        <f>IF('INPUT DATA'!N52="","",'INPUT DATA'!N52)</f>
        <v/>
      </c>
      <c r="D110" s="210"/>
      <c r="E110" s="210"/>
      <c r="F110" s="123"/>
      <c r="G110" s="119"/>
      <c r="H110" s="119"/>
      <c r="I110" s="119"/>
      <c r="J110" s="124"/>
      <c r="K110" s="143" t="str">
        <f t="shared" si="34"/>
        <v/>
      </c>
      <c r="L110" s="143" t="str">
        <f t="shared" si="23"/>
        <v/>
      </c>
      <c r="M110" s="146" t="str">
        <f t="shared" si="24"/>
        <v/>
      </c>
      <c r="N110" s="123"/>
      <c r="O110" s="119"/>
      <c r="P110" s="124"/>
      <c r="Q110" s="143" t="str">
        <f t="shared" si="25"/>
        <v/>
      </c>
      <c r="R110" s="143" t="str">
        <f t="shared" si="26"/>
        <v/>
      </c>
      <c r="S110" s="143" t="str">
        <f t="shared" si="27"/>
        <v/>
      </c>
      <c r="T110" s="123"/>
      <c r="U110" s="119"/>
      <c r="V110" s="124"/>
      <c r="W110" s="143" t="str">
        <f t="shared" si="28"/>
        <v/>
      </c>
      <c r="X110" s="143" t="str">
        <f t="shared" si="29"/>
        <v/>
      </c>
      <c r="Y110" s="143" t="str">
        <f t="shared" si="30"/>
        <v/>
      </c>
      <c r="Z110" s="150" t="str">
        <f t="shared" si="31"/>
        <v/>
      </c>
      <c r="AA110" s="143" t="str">
        <f t="shared" si="32"/>
        <v/>
      </c>
      <c r="AB110" s="152" t="str">
        <f t="shared" si="33"/>
        <v/>
      </c>
      <c r="AC110" s="158" t="str">
        <f>IF(AB110="","",IFERROR(INDEX(HELPER!$D$8:$D$48,IF(AB110&gt;=HELPER!$B$8,1,MATCH(AB110,HELPER!$B$8:$B$48,-1)+1)),""))</f>
        <v/>
      </c>
      <c r="AD110" s="155" t="str">
        <f>IF(AC110="","",IFERROR(VLOOKUP(AC110,HELPER!$F$8:$G$48,2,FALSE),""))</f>
        <v/>
      </c>
      <c r="AE110" s="135"/>
      <c r="AF110" s="90"/>
    </row>
    <row r="111" spans="1:32" ht="15" customHeight="1" x14ac:dyDescent="0.25">
      <c r="A111" s="135"/>
      <c r="B111" s="112">
        <v>43</v>
      </c>
      <c r="C111" s="209" t="str">
        <f>IF('INPUT DATA'!N53="","",'INPUT DATA'!N53)</f>
        <v/>
      </c>
      <c r="D111" s="210"/>
      <c r="E111" s="210"/>
      <c r="F111" s="123"/>
      <c r="G111" s="119"/>
      <c r="H111" s="119"/>
      <c r="I111" s="119"/>
      <c r="J111" s="124"/>
      <c r="K111" s="143" t="str">
        <f t="shared" si="34"/>
        <v/>
      </c>
      <c r="L111" s="143" t="str">
        <f t="shared" si="23"/>
        <v/>
      </c>
      <c r="M111" s="146" t="str">
        <f t="shared" si="24"/>
        <v/>
      </c>
      <c r="N111" s="123"/>
      <c r="O111" s="119"/>
      <c r="P111" s="124"/>
      <c r="Q111" s="143" t="str">
        <f t="shared" si="25"/>
        <v/>
      </c>
      <c r="R111" s="143" t="str">
        <f t="shared" si="26"/>
        <v/>
      </c>
      <c r="S111" s="143" t="str">
        <f t="shared" si="27"/>
        <v/>
      </c>
      <c r="T111" s="123"/>
      <c r="U111" s="119"/>
      <c r="V111" s="124"/>
      <c r="W111" s="143" t="str">
        <f t="shared" si="28"/>
        <v/>
      </c>
      <c r="X111" s="143" t="str">
        <f t="shared" si="29"/>
        <v/>
      </c>
      <c r="Y111" s="143" t="str">
        <f t="shared" si="30"/>
        <v/>
      </c>
      <c r="Z111" s="150" t="str">
        <f t="shared" si="31"/>
        <v/>
      </c>
      <c r="AA111" s="143" t="str">
        <f t="shared" si="32"/>
        <v/>
      </c>
      <c r="AB111" s="152" t="str">
        <f t="shared" si="33"/>
        <v/>
      </c>
      <c r="AC111" s="158" t="str">
        <f>IF(AB111="","",IFERROR(INDEX(HELPER!$D$8:$D$48,IF(AB111&gt;=HELPER!$B$8,1,MATCH(AB111,HELPER!$B$8:$B$48,-1)+1)),""))</f>
        <v/>
      </c>
      <c r="AD111" s="155" t="str">
        <f>IF(AC111="","",IFERROR(VLOOKUP(AC111,HELPER!$F$8:$G$48,2,FALSE),""))</f>
        <v/>
      </c>
      <c r="AE111" s="135"/>
      <c r="AF111" s="90"/>
    </row>
    <row r="112" spans="1:32" ht="15" customHeight="1" x14ac:dyDescent="0.25">
      <c r="A112" s="135"/>
      <c r="B112" s="112">
        <v>44</v>
      </c>
      <c r="C112" s="209" t="str">
        <f>IF('INPUT DATA'!N54="","",'INPUT DATA'!N54)</f>
        <v/>
      </c>
      <c r="D112" s="210"/>
      <c r="E112" s="210"/>
      <c r="F112" s="123"/>
      <c r="G112" s="119"/>
      <c r="H112" s="119"/>
      <c r="I112" s="119"/>
      <c r="J112" s="124"/>
      <c r="K112" s="143" t="str">
        <f t="shared" si="34"/>
        <v/>
      </c>
      <c r="L112" s="143" t="str">
        <f t="shared" si="23"/>
        <v/>
      </c>
      <c r="M112" s="146" t="str">
        <f t="shared" si="24"/>
        <v/>
      </c>
      <c r="N112" s="123"/>
      <c r="O112" s="119"/>
      <c r="P112" s="124"/>
      <c r="Q112" s="143" t="str">
        <f t="shared" si="25"/>
        <v/>
      </c>
      <c r="R112" s="143" t="str">
        <f t="shared" si="26"/>
        <v/>
      </c>
      <c r="S112" s="143" t="str">
        <f t="shared" si="27"/>
        <v/>
      </c>
      <c r="T112" s="123"/>
      <c r="U112" s="119"/>
      <c r="V112" s="124"/>
      <c r="W112" s="143" t="str">
        <f t="shared" si="28"/>
        <v/>
      </c>
      <c r="X112" s="143" t="str">
        <f t="shared" si="29"/>
        <v/>
      </c>
      <c r="Y112" s="143" t="str">
        <f t="shared" si="30"/>
        <v/>
      </c>
      <c r="Z112" s="150" t="str">
        <f t="shared" si="31"/>
        <v/>
      </c>
      <c r="AA112" s="143" t="str">
        <f t="shared" si="32"/>
        <v/>
      </c>
      <c r="AB112" s="152" t="str">
        <f t="shared" si="33"/>
        <v/>
      </c>
      <c r="AC112" s="158" t="str">
        <f>IF(AB112="","",IFERROR(INDEX(HELPER!$D$8:$D$48,IF(AB112&gt;=HELPER!$B$8,1,MATCH(AB112,HELPER!$B$8:$B$48,-1)+1)),""))</f>
        <v/>
      </c>
      <c r="AD112" s="155" t="str">
        <f>IF(AC112="","",IFERROR(VLOOKUP(AC112,HELPER!$F$8:$G$48,2,FALSE),""))</f>
        <v/>
      </c>
      <c r="AE112" s="135"/>
      <c r="AF112" s="90"/>
    </row>
    <row r="113" spans="1:32" ht="15" customHeight="1" x14ac:dyDescent="0.25">
      <c r="A113" s="135"/>
      <c r="B113" s="112">
        <v>45</v>
      </c>
      <c r="C113" s="209" t="str">
        <f>IF('INPUT DATA'!N55="","",'INPUT DATA'!N55)</f>
        <v/>
      </c>
      <c r="D113" s="210"/>
      <c r="E113" s="210"/>
      <c r="F113" s="123"/>
      <c r="G113" s="119"/>
      <c r="H113" s="119"/>
      <c r="I113" s="119"/>
      <c r="J113" s="124"/>
      <c r="K113" s="143" t="str">
        <f t="shared" si="34"/>
        <v/>
      </c>
      <c r="L113" s="143" t="str">
        <f t="shared" si="23"/>
        <v/>
      </c>
      <c r="M113" s="146" t="str">
        <f t="shared" si="24"/>
        <v/>
      </c>
      <c r="N113" s="123"/>
      <c r="O113" s="119"/>
      <c r="P113" s="124"/>
      <c r="Q113" s="143" t="str">
        <f t="shared" si="25"/>
        <v/>
      </c>
      <c r="R113" s="143" t="str">
        <f t="shared" si="26"/>
        <v/>
      </c>
      <c r="S113" s="143" t="str">
        <f t="shared" si="27"/>
        <v/>
      </c>
      <c r="T113" s="123"/>
      <c r="U113" s="119"/>
      <c r="V113" s="124"/>
      <c r="W113" s="143" t="str">
        <f t="shared" si="28"/>
        <v/>
      </c>
      <c r="X113" s="143" t="str">
        <f t="shared" si="29"/>
        <v/>
      </c>
      <c r="Y113" s="143" t="str">
        <f t="shared" si="30"/>
        <v/>
      </c>
      <c r="Z113" s="150" t="str">
        <f t="shared" si="31"/>
        <v/>
      </c>
      <c r="AA113" s="143" t="str">
        <f t="shared" si="32"/>
        <v/>
      </c>
      <c r="AB113" s="152" t="str">
        <f t="shared" si="33"/>
        <v/>
      </c>
      <c r="AC113" s="158" t="str">
        <f>IF(AB113="","",IFERROR(INDEX(HELPER!$D$8:$D$48,IF(AB113&gt;=HELPER!$B$8,1,MATCH(AB113,HELPER!$B$8:$B$48,-1)+1)),""))</f>
        <v/>
      </c>
      <c r="AD113" s="155" t="str">
        <f>IF(AC113="","",IFERROR(VLOOKUP(AC113,HELPER!$F$8:$G$48,2,FALSE),""))</f>
        <v/>
      </c>
      <c r="AE113" s="135"/>
      <c r="AF113" s="90"/>
    </row>
    <row r="114" spans="1:32" ht="15" customHeight="1" x14ac:dyDescent="0.25">
      <c r="A114" s="135"/>
      <c r="B114" s="112">
        <v>46</v>
      </c>
      <c r="C114" s="209" t="str">
        <f>IF('INPUT DATA'!N56="","",'INPUT DATA'!N56)</f>
        <v/>
      </c>
      <c r="D114" s="210"/>
      <c r="E114" s="210"/>
      <c r="F114" s="123"/>
      <c r="G114" s="119"/>
      <c r="H114" s="119"/>
      <c r="I114" s="119"/>
      <c r="J114" s="124"/>
      <c r="K114" s="143" t="str">
        <f t="shared" si="34"/>
        <v/>
      </c>
      <c r="L114" s="143" t="str">
        <f t="shared" si="23"/>
        <v/>
      </c>
      <c r="M114" s="146" t="str">
        <f t="shared" si="24"/>
        <v/>
      </c>
      <c r="N114" s="123"/>
      <c r="O114" s="119"/>
      <c r="P114" s="124"/>
      <c r="Q114" s="143" t="str">
        <f t="shared" si="25"/>
        <v/>
      </c>
      <c r="R114" s="143" t="str">
        <f t="shared" si="26"/>
        <v/>
      </c>
      <c r="S114" s="143" t="str">
        <f t="shared" si="27"/>
        <v/>
      </c>
      <c r="T114" s="123"/>
      <c r="U114" s="119"/>
      <c r="V114" s="124"/>
      <c r="W114" s="143" t="str">
        <f t="shared" si="28"/>
        <v/>
      </c>
      <c r="X114" s="143" t="str">
        <f t="shared" si="29"/>
        <v/>
      </c>
      <c r="Y114" s="143" t="str">
        <f t="shared" si="30"/>
        <v/>
      </c>
      <c r="Z114" s="150" t="str">
        <f t="shared" si="31"/>
        <v/>
      </c>
      <c r="AA114" s="143" t="str">
        <f t="shared" si="32"/>
        <v/>
      </c>
      <c r="AB114" s="152" t="str">
        <f t="shared" si="33"/>
        <v/>
      </c>
      <c r="AC114" s="158" t="str">
        <f>IF(AB114="","",IFERROR(INDEX(HELPER!$D$8:$D$48,IF(AB114&gt;=HELPER!$B$8,1,MATCH(AB114,HELPER!$B$8:$B$48,-1)+1)),""))</f>
        <v/>
      </c>
      <c r="AD114" s="155" t="str">
        <f>IF(AC114="","",IFERROR(VLOOKUP(AC114,HELPER!$F$8:$G$48,2,FALSE),""))</f>
        <v/>
      </c>
      <c r="AE114" s="135"/>
      <c r="AF114" s="90"/>
    </row>
    <row r="115" spans="1:32" ht="15" customHeight="1" x14ac:dyDescent="0.25">
      <c r="A115" s="135"/>
      <c r="B115" s="112">
        <v>47</v>
      </c>
      <c r="C115" s="209" t="str">
        <f>IF('INPUT DATA'!N57="","",'INPUT DATA'!N57)</f>
        <v/>
      </c>
      <c r="D115" s="210"/>
      <c r="E115" s="210"/>
      <c r="F115" s="123"/>
      <c r="G115" s="119"/>
      <c r="H115" s="119"/>
      <c r="I115" s="119"/>
      <c r="J115" s="124"/>
      <c r="K115" s="143" t="str">
        <f t="shared" si="34"/>
        <v/>
      </c>
      <c r="L115" s="143" t="str">
        <f t="shared" si="23"/>
        <v/>
      </c>
      <c r="M115" s="146" t="str">
        <f t="shared" si="24"/>
        <v/>
      </c>
      <c r="N115" s="123"/>
      <c r="O115" s="119"/>
      <c r="P115" s="124"/>
      <c r="Q115" s="143" t="str">
        <f t="shared" si="25"/>
        <v/>
      </c>
      <c r="R115" s="143" t="str">
        <f t="shared" si="26"/>
        <v/>
      </c>
      <c r="S115" s="143" t="str">
        <f t="shared" si="27"/>
        <v/>
      </c>
      <c r="T115" s="123"/>
      <c r="U115" s="119"/>
      <c r="V115" s="124"/>
      <c r="W115" s="143" t="str">
        <f t="shared" si="28"/>
        <v/>
      </c>
      <c r="X115" s="143" t="str">
        <f t="shared" si="29"/>
        <v/>
      </c>
      <c r="Y115" s="143" t="str">
        <f t="shared" si="30"/>
        <v/>
      </c>
      <c r="Z115" s="150" t="str">
        <f t="shared" si="31"/>
        <v/>
      </c>
      <c r="AA115" s="143" t="str">
        <f t="shared" si="32"/>
        <v/>
      </c>
      <c r="AB115" s="152" t="str">
        <f t="shared" si="33"/>
        <v/>
      </c>
      <c r="AC115" s="158" t="str">
        <f>IF(AB115="","",IFERROR(INDEX(HELPER!$D$8:$D$48,IF(AB115&gt;=HELPER!$B$8,1,MATCH(AB115,HELPER!$B$8:$B$48,-1)+1)),""))</f>
        <v/>
      </c>
      <c r="AD115" s="155" t="str">
        <f>IF(AC115="","",IFERROR(VLOOKUP(AC115,HELPER!$F$8:$G$48,2,FALSE),""))</f>
        <v/>
      </c>
      <c r="AE115" s="135"/>
      <c r="AF115" s="90"/>
    </row>
    <row r="116" spans="1:32" ht="15" customHeight="1" x14ac:dyDescent="0.25">
      <c r="A116" s="135"/>
      <c r="B116" s="112">
        <v>48</v>
      </c>
      <c r="C116" s="209" t="str">
        <f>IF('INPUT DATA'!N58="","",'INPUT DATA'!N58)</f>
        <v/>
      </c>
      <c r="D116" s="210"/>
      <c r="E116" s="210"/>
      <c r="F116" s="123"/>
      <c r="G116" s="119"/>
      <c r="H116" s="119"/>
      <c r="I116" s="119"/>
      <c r="J116" s="124"/>
      <c r="K116" s="143" t="str">
        <f t="shared" si="34"/>
        <v/>
      </c>
      <c r="L116" s="143" t="str">
        <f t="shared" si="23"/>
        <v/>
      </c>
      <c r="M116" s="146" t="str">
        <f t="shared" si="24"/>
        <v/>
      </c>
      <c r="N116" s="123"/>
      <c r="O116" s="119"/>
      <c r="P116" s="124"/>
      <c r="Q116" s="143" t="str">
        <f t="shared" si="25"/>
        <v/>
      </c>
      <c r="R116" s="143" t="str">
        <f t="shared" si="26"/>
        <v/>
      </c>
      <c r="S116" s="143" t="str">
        <f t="shared" si="27"/>
        <v/>
      </c>
      <c r="T116" s="123"/>
      <c r="U116" s="119"/>
      <c r="V116" s="124"/>
      <c r="W116" s="143" t="str">
        <f t="shared" si="28"/>
        <v/>
      </c>
      <c r="X116" s="143" t="str">
        <f t="shared" si="29"/>
        <v/>
      </c>
      <c r="Y116" s="143" t="str">
        <f t="shared" si="30"/>
        <v/>
      </c>
      <c r="Z116" s="150" t="str">
        <f t="shared" si="31"/>
        <v/>
      </c>
      <c r="AA116" s="143" t="str">
        <f t="shared" si="32"/>
        <v/>
      </c>
      <c r="AB116" s="152" t="str">
        <f t="shared" si="33"/>
        <v/>
      </c>
      <c r="AC116" s="158" t="str">
        <f>IF(AB116="","",IFERROR(INDEX(HELPER!$D$8:$D$48,IF(AB116&gt;=HELPER!$B$8,1,MATCH(AB116,HELPER!$B$8:$B$48,-1)+1)),""))</f>
        <v/>
      </c>
      <c r="AD116" s="155" t="str">
        <f>IF(AC116="","",IFERROR(VLOOKUP(AC116,HELPER!$F$8:$G$48,2,FALSE),""))</f>
        <v/>
      </c>
      <c r="AE116" s="135"/>
      <c r="AF116" s="90"/>
    </row>
    <row r="117" spans="1:32" ht="15" customHeight="1" x14ac:dyDescent="0.25">
      <c r="A117" s="135"/>
      <c r="B117" s="112">
        <v>49</v>
      </c>
      <c r="C117" s="209" t="str">
        <f>IF('INPUT DATA'!N59="","",'INPUT DATA'!N59)</f>
        <v/>
      </c>
      <c r="D117" s="210"/>
      <c r="E117" s="210"/>
      <c r="F117" s="123"/>
      <c r="G117" s="119"/>
      <c r="H117" s="119"/>
      <c r="I117" s="119"/>
      <c r="J117" s="124"/>
      <c r="K117" s="143" t="str">
        <f t="shared" si="34"/>
        <v/>
      </c>
      <c r="L117" s="143" t="str">
        <f t="shared" si="23"/>
        <v/>
      </c>
      <c r="M117" s="146" t="str">
        <f t="shared" si="24"/>
        <v/>
      </c>
      <c r="N117" s="123"/>
      <c r="O117" s="119"/>
      <c r="P117" s="124"/>
      <c r="Q117" s="143" t="str">
        <f t="shared" si="25"/>
        <v/>
      </c>
      <c r="R117" s="143" t="str">
        <f t="shared" si="26"/>
        <v/>
      </c>
      <c r="S117" s="143" t="str">
        <f t="shared" si="27"/>
        <v/>
      </c>
      <c r="T117" s="123"/>
      <c r="U117" s="119"/>
      <c r="V117" s="124"/>
      <c r="W117" s="143" t="str">
        <f t="shared" si="28"/>
        <v/>
      </c>
      <c r="X117" s="143" t="str">
        <f t="shared" si="29"/>
        <v/>
      </c>
      <c r="Y117" s="143" t="str">
        <f t="shared" si="30"/>
        <v/>
      </c>
      <c r="Z117" s="150" t="str">
        <f t="shared" si="31"/>
        <v/>
      </c>
      <c r="AA117" s="143" t="str">
        <f t="shared" si="32"/>
        <v/>
      </c>
      <c r="AB117" s="152" t="str">
        <f t="shared" si="33"/>
        <v/>
      </c>
      <c r="AC117" s="158" t="str">
        <f>IF(AB117="","",IFERROR(INDEX(HELPER!$D$8:$D$48,IF(AB117&gt;=HELPER!$B$8,1,MATCH(AB117,HELPER!$B$8:$B$48,-1)+1)),""))</f>
        <v/>
      </c>
      <c r="AD117" s="155" t="str">
        <f>IF(AC117="","",IFERROR(VLOOKUP(AC117,HELPER!$F$8:$G$48,2,FALSE),""))</f>
        <v/>
      </c>
      <c r="AE117" s="135"/>
      <c r="AF117" s="90"/>
    </row>
    <row r="118" spans="1:32" ht="15" customHeight="1" thickBot="1" x14ac:dyDescent="0.3">
      <c r="A118" s="135"/>
      <c r="B118" s="113">
        <v>50</v>
      </c>
      <c r="C118" s="229" t="str">
        <f>IF('INPUT DATA'!N60="","",'INPUT DATA'!N60)</f>
        <v/>
      </c>
      <c r="D118" s="230"/>
      <c r="E118" s="230"/>
      <c r="F118" s="125"/>
      <c r="G118" s="126"/>
      <c r="H118" s="126"/>
      <c r="I118" s="126"/>
      <c r="J118" s="127"/>
      <c r="K118" s="144" t="str">
        <f t="shared" si="34"/>
        <v/>
      </c>
      <c r="L118" s="144" t="str">
        <f t="shared" si="23"/>
        <v/>
      </c>
      <c r="M118" s="147" t="str">
        <f t="shared" si="24"/>
        <v/>
      </c>
      <c r="N118" s="125"/>
      <c r="O118" s="126"/>
      <c r="P118" s="127"/>
      <c r="Q118" s="144" t="str">
        <f t="shared" si="25"/>
        <v/>
      </c>
      <c r="R118" s="144" t="str">
        <f t="shared" si="26"/>
        <v/>
      </c>
      <c r="S118" s="144" t="str">
        <f t="shared" si="27"/>
        <v/>
      </c>
      <c r="T118" s="125"/>
      <c r="U118" s="126"/>
      <c r="V118" s="127"/>
      <c r="W118" s="144" t="str">
        <f t="shared" si="28"/>
        <v/>
      </c>
      <c r="X118" s="144" t="str">
        <f t="shared" si="29"/>
        <v/>
      </c>
      <c r="Y118" s="144" t="str">
        <f t="shared" si="30"/>
        <v/>
      </c>
      <c r="Z118" s="148" t="str">
        <f t="shared" si="31"/>
        <v/>
      </c>
      <c r="AA118" s="144" t="str">
        <f t="shared" si="32"/>
        <v/>
      </c>
      <c r="AB118" s="153" t="str">
        <f t="shared" si="33"/>
        <v/>
      </c>
      <c r="AC118" s="159" t="str">
        <f>IF(AB118="","",IFERROR(INDEX(HELPER!$D$8:$D$48,IF(AB118&gt;=HELPER!$B$8,1,MATCH(AB118,HELPER!$B$8:$B$48,-1)+1)),""))</f>
        <v/>
      </c>
      <c r="AD118" s="156" t="str">
        <f>IF(AC118="","",IFERROR(VLOOKUP(AC118,HELPER!$F$8:$G$48,2,FALSE),""))</f>
        <v/>
      </c>
      <c r="AE118" s="135"/>
      <c r="AF118" s="90"/>
    </row>
    <row r="119" spans="1:32" ht="13.2" customHeight="1" x14ac:dyDescent="0.25">
      <c r="A119" s="135"/>
      <c r="B119" s="135"/>
      <c r="C119" s="239"/>
      <c r="D119" s="226"/>
      <c r="E119" s="226"/>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90"/>
    </row>
    <row r="120" spans="1:32" ht="13.2" customHeight="1" x14ac:dyDescent="0.25">
      <c r="A120" s="135"/>
      <c r="B120" s="135"/>
      <c r="C120" s="239"/>
      <c r="D120" s="226"/>
      <c r="E120" s="226"/>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90"/>
    </row>
  </sheetData>
  <sheetProtection algorithmName="SHA-512" hashValue="EwD+UoixnEbT1EGIlha00ZBIQPqCK1anU2YrX1EHBjxTF2o5PDYGXf1zLrrENni+0jA2XQLdiWosuUbrKTbyaw==" saltValue="5nWTE70asBvnM+OrS4MrDg==" spinCount="100000" sheet="1" objects="1" scenarios="1" formatCells="0" formatColumns="0" formatRows="0"/>
  <mergeCells count="128">
    <mergeCell ref="C120:E120"/>
    <mergeCell ref="C76:E76"/>
    <mergeCell ref="C110:E110"/>
    <mergeCell ref="C119:E119"/>
    <mergeCell ref="F11:I11"/>
    <mergeCell ref="C82:E82"/>
    <mergeCell ref="C66:E66"/>
    <mergeCell ref="C19:E19"/>
    <mergeCell ref="C53:E53"/>
    <mergeCell ref="C102:E102"/>
    <mergeCell ref="B17:AD17"/>
    <mergeCell ref="C111:E111"/>
    <mergeCell ref="C86:E86"/>
    <mergeCell ref="C83:E83"/>
    <mergeCell ref="C108:E108"/>
    <mergeCell ref="C58:E58"/>
    <mergeCell ref="C45:E45"/>
    <mergeCell ref="N10:P11"/>
    <mergeCell ref="C97:E97"/>
    <mergeCell ref="B68:AD68"/>
    <mergeCell ref="C29:E29"/>
    <mergeCell ref="C117:E117"/>
    <mergeCell ref="C55:E55"/>
    <mergeCell ref="B15:E15"/>
    <mergeCell ref="B16:AD16"/>
    <mergeCell ref="C115:E115"/>
    <mergeCell ref="Q10:X11"/>
    <mergeCell ref="C36:E36"/>
    <mergeCell ref="F10:I10"/>
    <mergeCell ref="C67:E67"/>
    <mergeCell ref="C109:E109"/>
    <mergeCell ref="C72:E72"/>
    <mergeCell ref="C28:E28"/>
    <mergeCell ref="C37:E37"/>
    <mergeCell ref="C69:E69"/>
    <mergeCell ref="C96:E96"/>
    <mergeCell ref="C78:E78"/>
    <mergeCell ref="C92:E92"/>
    <mergeCell ref="C30:E30"/>
    <mergeCell ref="C62:E62"/>
    <mergeCell ref="C98:E98"/>
    <mergeCell ref="F12:M13"/>
    <mergeCell ref="C107:E107"/>
    <mergeCell ref="C64:E64"/>
    <mergeCell ref="AD12:AD15"/>
    <mergeCell ref="C118:E118"/>
    <mergeCell ref="C84:E84"/>
    <mergeCell ref="C75:E75"/>
    <mergeCell ref="C22:E22"/>
    <mergeCell ref="AC12:AC15"/>
    <mergeCell ref="C114:E114"/>
    <mergeCell ref="C59:E59"/>
    <mergeCell ref="C46:E46"/>
    <mergeCell ref="C52:E52"/>
    <mergeCell ref="C61:E61"/>
    <mergeCell ref="C39:E39"/>
    <mergeCell ref="C70:E70"/>
    <mergeCell ref="C48:E48"/>
    <mergeCell ref="C106:E106"/>
    <mergeCell ref="C32:E32"/>
    <mergeCell ref="C38:E38"/>
    <mergeCell ref="C81:E81"/>
    <mergeCell ref="C87:E87"/>
    <mergeCell ref="C24:E24"/>
    <mergeCell ref="C33:E33"/>
    <mergeCell ref="C89:E89"/>
    <mergeCell ref="C104:E104"/>
    <mergeCell ref="C116:E116"/>
    <mergeCell ref="C79:E79"/>
    <mergeCell ref="C20:E20"/>
    <mergeCell ref="AA10:AD11"/>
    <mergeCell ref="B2:AD3"/>
    <mergeCell ref="Z7:AB7"/>
    <mergeCell ref="C103:E103"/>
    <mergeCell ref="C25:E25"/>
    <mergeCell ref="C112:E112"/>
    <mergeCell ref="C99:E99"/>
    <mergeCell ref="C94:E94"/>
    <mergeCell ref="C85:E85"/>
    <mergeCell ref="J10:M10"/>
    <mergeCell ref="J11:M11"/>
    <mergeCell ref="C88:E88"/>
    <mergeCell ref="C73:E73"/>
    <mergeCell ref="C26:E26"/>
    <mergeCell ref="C35:E35"/>
    <mergeCell ref="C63:E63"/>
    <mergeCell ref="R5:V5"/>
    <mergeCell ref="C50:E50"/>
    <mergeCell ref="Y10:Z11"/>
    <mergeCell ref="C54:E54"/>
    <mergeCell ref="C41:E41"/>
    <mergeCell ref="C93:E93"/>
    <mergeCell ref="C105:E105"/>
    <mergeCell ref="C80:E80"/>
    <mergeCell ref="C31:E31"/>
    <mergeCell ref="C40:E40"/>
    <mergeCell ref="C21:E21"/>
    <mergeCell ref="C95:E95"/>
    <mergeCell ref="C51:E51"/>
    <mergeCell ref="C60:E60"/>
    <mergeCell ref="C71:E71"/>
    <mergeCell ref="C113:E113"/>
    <mergeCell ref="C43:E43"/>
    <mergeCell ref="C27:E27"/>
    <mergeCell ref="F7:V7"/>
    <mergeCell ref="Z5:AB5"/>
    <mergeCell ref="C23:E23"/>
    <mergeCell ref="AB12:AB15"/>
    <mergeCell ref="C91:E91"/>
    <mergeCell ref="C57:E57"/>
    <mergeCell ref="C18:E18"/>
    <mergeCell ref="C49:E49"/>
    <mergeCell ref="C101:E101"/>
    <mergeCell ref="C77:E77"/>
    <mergeCell ref="C34:E34"/>
    <mergeCell ref="F5:L5"/>
    <mergeCell ref="C42:E42"/>
    <mergeCell ref="C74:E74"/>
    <mergeCell ref="C56:E56"/>
    <mergeCell ref="C90:E90"/>
    <mergeCell ref="N12:S13"/>
    <mergeCell ref="B9:AD9"/>
    <mergeCell ref="C100:E100"/>
    <mergeCell ref="C65:E65"/>
    <mergeCell ref="C47:E47"/>
    <mergeCell ref="B10:E14"/>
    <mergeCell ref="C44:E44"/>
    <mergeCell ref="T12:AA13"/>
  </mergeCells>
  <dataValidations count="27">
    <dataValidation allowBlank="1" showInputMessage="1" showErrorMessage="1" prompt="Do not type name of learners here. Go to INPUT DATA sheet." sqref="C18:E67 C69:E118" xr:uid="{00000000-0002-0000-0100-000000000000}"/>
    <dataValidation allowBlank="1" showInputMessage="1" showErrorMessage="1" prompt="Written/Oral Works' Highest Possible Score." sqref="K15 K18:K67 K69:K118" xr:uid="{00000000-0002-0000-0100-000001000000}"/>
    <dataValidation allowBlank="1" showInputMessage="1" showErrorMessage="1" prompt="Products/Performance Tasks' Highest Possible Score." sqref="Q15 Q18:Q67 Q69:Q118" xr:uid="{00000000-0002-0000-0100-000002000000}"/>
    <dataValidation allowBlank="1" showInputMessage="1" showErrorMessage="1" prompt="Written/Oral Works' Percentage Score." sqref="L15 L18:L67 L69:L118" xr:uid="{00000000-0002-0000-0100-000003000000}"/>
    <dataValidation allowBlank="1" showInputMessage="1" showErrorMessage="1" prompt="Written/Oral Works' Weighted Score." sqref="M15 M18:M67 M69:M118" xr:uid="{00000000-0002-0000-0100-000004000000}"/>
    <dataValidation allowBlank="1" showInputMessage="1" showErrorMessage="1" prompt="Products/Performance Tasks' Percentage Score." sqref="R15 R18:R67 R69:R118" xr:uid="{00000000-0002-0000-0100-000005000000}"/>
    <dataValidation allowBlank="1" showInputMessage="1" showErrorMessage="1" prompt="Products/Performance Tasks' Weighted Score." sqref="S15 S18:S67 S69:S118" xr:uid="{00000000-0002-0000-0100-000006000000}"/>
    <dataValidation allowBlank="1" showInputMessage="1" showErrorMessage="1" prompt="Weighted Score for Summative Test 1" sqref="W15 W18:W67 W69:W118" xr:uid="{00000000-0002-0000-0100-000007000000}"/>
    <dataValidation allowBlank="1" showInputMessage="1" showErrorMessage="1" prompt="Weighted Score for Summative Test 2" sqref="X15 X18:X67 X69:X118" xr:uid="{00000000-0002-0000-0100-000008000000}"/>
    <dataValidation allowBlank="1" showInputMessage="1" showErrorMessage="1" prompt="Weighted Score for Term Exam" sqref="Y15 Y18:Y67 Y69:Y118" xr:uid="{00000000-0002-0000-0100-000009000000}"/>
    <dataValidation allowBlank="1" showInputMessage="1" showErrorMessage="1" prompt="Examinations' Percetage Score" sqref="Z15 Z18:Z67 Z69:Z118" xr:uid="{00000000-0002-0000-0100-00000A000000}"/>
    <dataValidation allowBlank="1" showInputMessage="1" showErrorMessage="1" prompt="Examinations' Weighted Score" sqref="AA15 AA18:AA67 AA69:AA118" xr:uid="{00000000-0002-0000-0100-00000B000000}"/>
    <dataValidation allowBlank="1" showInputMessage="1" showErrorMessage="1" prompt="INITIAL GRADE" sqref="AB18:AB67 AB69:AB118" xr:uid="{00000000-0002-0000-0100-00000C000000}"/>
    <dataValidation allowBlank="1" showInputMessage="1" showErrorMessage="1" prompt="Transmuted Term Grade" sqref="AC18:AC67 AC69:AC118" xr:uid="{00000000-0002-0000-0100-00000D000000}"/>
    <dataValidation type="whole" allowBlank="1" showInputMessage="1" showErrorMessage="1" promptTitle="Highest Possible Score" prompt="Enter HPS." sqref="T15:V15" xr:uid="{00000000-0002-0000-0100-00000E000000}">
      <formula1>0</formula1>
      <formula2>1000</formula2>
    </dataValidation>
    <dataValidation type="custom" allowBlank="1" showInputMessage="1" showErrorMessage="1" errorTitle="Invalid Input" error="The score cannot be greater than the HPS." promptTitle="Score Entry" prompt="Enter learners' raw scores." sqref="T69:T118 T18:T67" xr:uid="{00000000-0002-0000-0100-00000F000000}">
      <formula1>T18&lt;=$T$15</formula1>
    </dataValidation>
    <dataValidation type="custom" allowBlank="1" showInputMessage="1" showErrorMessage="1" errorTitle="Invalid Input" error="The score cannot be greater than the HPS." promptTitle="Score Entry" prompt="Enter learners' raw scores." sqref="U69:U118 U18:U67" xr:uid="{00000000-0002-0000-0100-000010000000}">
      <formula1>U18&lt;=$U$15</formula1>
    </dataValidation>
    <dataValidation type="custom" allowBlank="1" showInputMessage="1" showErrorMessage="1" errorTitle="Invalid Input" error="The score cannot be greater than the HPS." promptTitle="Score Entry" prompt="Enter learners' raw scores." sqref="V69:V118 V18:V67" xr:uid="{00000000-0002-0000-0100-000011000000}">
      <formula1>V18&lt;=$V$15</formula1>
    </dataValidation>
    <dataValidation type="custom" allowBlank="1" showInputMessage="1" showErrorMessage="1" errorTitle="Invalid Input" error="The score cannot be greater than the HPS." promptTitle="Score Entry" prompt="Enter learners' raw scores." sqref="F69:F118 F18:F67" xr:uid="{00000000-0002-0000-0100-000012000000}">
      <formula1>F18&lt;=$F$15</formula1>
    </dataValidation>
    <dataValidation type="custom" allowBlank="1" showInputMessage="1" showErrorMessage="1" errorTitle="Invalid Input" error="The score cannot be greater than the HPS." promptTitle="Score Entry" prompt="Enter learners' raw scores." sqref="H69:H118 H18:H67" xr:uid="{00000000-0002-0000-0100-000013000000}">
      <formula1>H18&lt;=$H$15</formula1>
    </dataValidation>
    <dataValidation type="custom" allowBlank="1" showInputMessage="1" showErrorMessage="1" errorTitle="Invalid Input" error="The score cannot be greater than the HPS." promptTitle="Score Entry" prompt="Enter learners' raw scores." sqref="I69:I118 I18:I67" xr:uid="{00000000-0002-0000-0100-000014000000}">
      <formula1>I18&lt;=$I$15</formula1>
    </dataValidation>
    <dataValidation type="custom" allowBlank="1" showInputMessage="1" showErrorMessage="1" errorTitle="Invalid Input" error="The score cannot be greater than the HPS." promptTitle="Score Entry" prompt="Enter learners' raw scores." sqref="J69:J118 J18:J67" xr:uid="{00000000-0002-0000-0100-000015000000}">
      <formula1>J18&lt;=$J$15</formula1>
    </dataValidation>
    <dataValidation type="custom" allowBlank="1" showInputMessage="1" showErrorMessage="1" errorTitle="Invalid Input" error="The score cannot be greater than the HPS." promptTitle="Score Entry" prompt="Enter learners' raw scores." sqref="O69:O118 O18:O67" xr:uid="{00000000-0002-0000-0100-000016000000}">
      <formula1>O18&lt;=$O$15</formula1>
    </dataValidation>
    <dataValidation type="custom" allowBlank="1" showInputMessage="1" showErrorMessage="1" errorTitle="Invalid Input" error="The score cannot be greater than the HPS." promptTitle="Score Entry" prompt="Enter learners' raw scores." sqref="G69:G118 G18:G67" xr:uid="{00000000-0002-0000-0100-000017000000}">
      <formula1>G18&lt;=$G$15</formula1>
    </dataValidation>
    <dataValidation type="custom" allowBlank="1" showInputMessage="1" showErrorMessage="1" errorTitle="Invalid Input" error="The score cannot be greater than the HPS." promptTitle="Score Entry" prompt="Enter learners' raw scores." sqref="N69:N118 N18:N67" xr:uid="{00000000-0002-0000-0100-000018000000}">
      <formula1>N18&lt;=$N$15</formula1>
    </dataValidation>
    <dataValidation type="custom" allowBlank="1" showInputMessage="1" showErrorMessage="1" errorTitle="Invalid Input" error="The score cannot be greater than the HPS." promptTitle="Score Entry" prompt="Enter learners' raw scores." sqref="P69:P118 P18:P67" xr:uid="{00000000-0002-0000-0100-000019000000}">
      <formula1>P18&lt;=$P$15</formula1>
    </dataValidation>
    <dataValidation type="whole" allowBlank="1" showInputMessage="1" showErrorMessage="1" promptTitle="Highest Possible Score" prompt="Enter HPS." sqref="F15:J15 N15:P15" xr:uid="{4CFC0C1A-6CB6-417F-A8CF-20C00985AFE3}">
      <formula1>0</formula1>
      <formula2>1000</formula2>
    </dataValidation>
  </dataValidations>
  <pageMargins left="0.23622047244094491" right="0.23622047244094491" top="0.39370078740157483" bottom="0.39370078740157483" header="0.31496062992125978" footer="0.31496062992125978"/>
  <pageSetup paperSize="9" scale="76"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E6D671-F6F3-45A6-905D-13F2790297B5}">
  <sheetPr>
    <tabColor theme="8"/>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V15" sqref="T15:V15"/>
    </sheetView>
  </sheetViews>
  <sheetFormatPr defaultColWidth="12.6640625" defaultRowHeight="15.75" customHeight="1" x14ac:dyDescent="0.25"/>
  <cols>
    <col min="1" max="2" width="3.88671875" style="141" customWidth="1"/>
    <col min="3" max="5" width="12.6640625" style="141" customWidth="1"/>
    <col min="6" max="10" width="3.88671875" style="141" customWidth="1"/>
    <col min="11" max="11" width="5.109375" style="141" customWidth="1"/>
    <col min="12" max="12" width="5.6640625" style="141" customWidth="1"/>
    <col min="13" max="13" width="6.33203125" style="141" customWidth="1"/>
    <col min="14" max="16" width="3.88671875" style="141" customWidth="1"/>
    <col min="17" max="17" width="5.109375" style="141" customWidth="1"/>
    <col min="18" max="18" width="5.6640625" style="141" customWidth="1"/>
    <col min="19" max="19" width="6.33203125" style="141" customWidth="1"/>
    <col min="20" max="22" width="5.6640625" style="141" customWidth="1"/>
    <col min="23" max="25" width="8" style="141" customWidth="1"/>
    <col min="26" max="27" width="5.6640625" style="141" customWidth="1"/>
    <col min="28" max="28" width="7.33203125" style="141" customWidth="1"/>
    <col min="29" max="29" width="10.109375" style="141" customWidth="1"/>
    <col min="30" max="30" width="14.5546875" style="141" customWidth="1"/>
    <col min="31" max="31" width="12.6640625" style="141" customWidth="1"/>
    <col min="32" max="32" width="3.88671875" style="141" customWidth="1"/>
    <col min="33" max="33" width="12.6640625" style="141" customWidth="1"/>
    <col min="34" max="16384" width="12.6640625" style="141"/>
  </cols>
  <sheetData>
    <row r="1" spans="1:32" ht="15.75" customHeight="1" x14ac:dyDescent="0.5">
      <c r="A1" s="88"/>
      <c r="AF1" s="89"/>
    </row>
    <row r="2" spans="1:32" ht="15.75" customHeight="1" x14ac:dyDescent="0.25">
      <c r="B2" s="225" t="s">
        <v>19</v>
      </c>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F2" s="89"/>
    </row>
    <row r="3" spans="1:32" ht="15.75" customHeight="1" x14ac:dyDescent="0.25">
      <c r="B3" s="226"/>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F3" s="89"/>
    </row>
    <row r="4" spans="1:32" ht="15.75" customHeight="1" thickBot="1" x14ac:dyDescent="0.3">
      <c r="AF4" s="89"/>
    </row>
    <row r="5" spans="1:32" ht="15.75" customHeight="1" thickBot="1" x14ac:dyDescent="0.35">
      <c r="A5" s="135"/>
      <c r="B5" s="135"/>
      <c r="C5" s="135"/>
      <c r="D5" s="135"/>
      <c r="E5" s="92" t="s">
        <v>3</v>
      </c>
      <c r="F5" s="201" t="str">
        <f>IF('INPUT DATA'!E10="","",'INPUT DATA'!E10)</f>
        <v/>
      </c>
      <c r="G5" s="202"/>
      <c r="H5" s="202"/>
      <c r="I5" s="202"/>
      <c r="J5" s="202"/>
      <c r="K5" s="202"/>
      <c r="L5" s="203"/>
      <c r="M5" s="93"/>
      <c r="N5" s="93"/>
      <c r="O5" s="93"/>
      <c r="P5" s="93"/>
      <c r="Q5" s="92" t="s">
        <v>7</v>
      </c>
      <c r="R5" s="201" t="str">
        <f>IF('INPUT DATA'!E11="","",'INPUT DATA'!E11)</f>
        <v/>
      </c>
      <c r="S5" s="202"/>
      <c r="T5" s="202"/>
      <c r="U5" s="202"/>
      <c r="V5" s="203"/>
      <c r="W5" s="93"/>
      <c r="X5" s="93"/>
      <c r="Y5" s="92" t="s">
        <v>8</v>
      </c>
      <c r="Z5" s="201" t="str">
        <f>IF('INPUT DATA'!E13="","",'INPUT DATA'!E13)</f>
        <v/>
      </c>
      <c r="AA5" s="202"/>
      <c r="AB5" s="203"/>
      <c r="AC5" s="135"/>
      <c r="AD5" s="135"/>
      <c r="AE5" s="135"/>
      <c r="AF5" s="90"/>
    </row>
    <row r="6" spans="1:32" ht="6" customHeight="1" thickBot="1" x14ac:dyDescent="0.35">
      <c r="A6" s="135"/>
      <c r="B6" s="135"/>
      <c r="C6" s="135"/>
      <c r="D6" s="135"/>
      <c r="E6" s="92"/>
      <c r="F6" s="94"/>
      <c r="G6" s="95"/>
      <c r="H6" s="95"/>
      <c r="I6" s="95"/>
      <c r="J6" s="95"/>
      <c r="K6" s="95"/>
      <c r="L6" s="95"/>
      <c r="M6" s="93"/>
      <c r="N6" s="93"/>
      <c r="O6" s="93"/>
      <c r="P6" s="93"/>
      <c r="Q6" s="92"/>
      <c r="R6" s="94"/>
      <c r="S6" s="95"/>
      <c r="T6" s="95"/>
      <c r="U6" s="95"/>
      <c r="V6" s="95"/>
      <c r="W6" s="93"/>
      <c r="X6" s="93"/>
      <c r="Y6" s="92"/>
      <c r="Z6" s="94"/>
      <c r="AA6" s="95"/>
      <c r="AB6" s="95"/>
      <c r="AC6" s="135"/>
      <c r="AD6" s="135"/>
      <c r="AE6" s="135"/>
      <c r="AF6" s="90"/>
    </row>
    <row r="7" spans="1:32" ht="15.75" customHeight="1" thickBot="1" x14ac:dyDescent="0.35">
      <c r="A7" s="135"/>
      <c r="B7" s="135"/>
      <c r="C7" s="135"/>
      <c r="D7" s="135"/>
      <c r="E7" s="92" t="s">
        <v>9</v>
      </c>
      <c r="F7" s="201" t="str">
        <f>IF('INPUT DATA'!E14="","",'INPUT DATA'!E14)</f>
        <v/>
      </c>
      <c r="G7" s="202"/>
      <c r="H7" s="202"/>
      <c r="I7" s="202"/>
      <c r="J7" s="202"/>
      <c r="K7" s="202"/>
      <c r="L7" s="202"/>
      <c r="M7" s="202"/>
      <c r="N7" s="202"/>
      <c r="O7" s="202"/>
      <c r="P7" s="202"/>
      <c r="Q7" s="202"/>
      <c r="R7" s="202"/>
      <c r="S7" s="202"/>
      <c r="T7" s="202"/>
      <c r="U7" s="202"/>
      <c r="V7" s="203"/>
      <c r="W7" s="93"/>
      <c r="X7" s="93"/>
      <c r="Y7" s="92" t="s">
        <v>10</v>
      </c>
      <c r="Z7" s="201" t="str">
        <f>IF('INPUT DATA'!E15="","",'INPUT DATA'!E15)</f>
        <v/>
      </c>
      <c r="AA7" s="202"/>
      <c r="AB7" s="203"/>
      <c r="AC7" s="135"/>
      <c r="AD7" s="135"/>
      <c r="AE7" s="135"/>
      <c r="AF7" s="90"/>
    </row>
    <row r="8" spans="1:32" ht="13.8" customHeight="1" thickBot="1" x14ac:dyDescent="0.3">
      <c r="A8" s="135"/>
      <c r="B8" s="13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90"/>
    </row>
    <row r="9" spans="1:32" ht="15.75" customHeight="1" thickBot="1" x14ac:dyDescent="0.35">
      <c r="A9" s="135"/>
      <c r="B9" s="217"/>
      <c r="C9" s="218"/>
      <c r="D9" s="218"/>
      <c r="E9" s="218"/>
      <c r="F9" s="218"/>
      <c r="G9" s="218"/>
      <c r="H9" s="218"/>
      <c r="I9" s="218"/>
      <c r="J9" s="218"/>
      <c r="K9" s="218"/>
      <c r="L9" s="218"/>
      <c r="M9" s="218"/>
      <c r="N9" s="218"/>
      <c r="O9" s="218"/>
      <c r="P9" s="218"/>
      <c r="Q9" s="218"/>
      <c r="R9" s="218"/>
      <c r="S9" s="218"/>
      <c r="T9" s="218"/>
      <c r="U9" s="218"/>
      <c r="V9" s="218"/>
      <c r="W9" s="218"/>
      <c r="X9" s="218"/>
      <c r="Y9" s="218"/>
      <c r="Z9" s="218"/>
      <c r="AA9" s="218"/>
      <c r="AB9" s="218"/>
      <c r="AC9" s="218"/>
      <c r="AD9" s="219"/>
      <c r="AE9" s="135"/>
      <c r="AF9" s="91"/>
    </row>
    <row r="10" spans="1:32" ht="14.4" customHeight="1" thickBot="1" x14ac:dyDescent="0.3">
      <c r="A10" s="135"/>
      <c r="B10" s="220" t="s">
        <v>20</v>
      </c>
      <c r="C10" s="221"/>
      <c r="D10" s="221"/>
      <c r="E10" s="222"/>
      <c r="F10" s="235" t="s">
        <v>15</v>
      </c>
      <c r="G10" s="215"/>
      <c r="H10" s="215"/>
      <c r="I10" s="216"/>
      <c r="J10" s="224" t="str">
        <f>IF('INPUT DATA'!E25="","",'INPUT DATA'!E25)</f>
        <v/>
      </c>
      <c r="K10" s="215"/>
      <c r="L10" s="215"/>
      <c r="M10" s="216"/>
      <c r="N10" s="244" t="s">
        <v>21</v>
      </c>
      <c r="O10" s="221"/>
      <c r="P10" s="222"/>
      <c r="Q10" s="224" t="str">
        <f>IF('INPUT DATA'!E23="","",'INPUT DATA'!E23)</f>
        <v/>
      </c>
      <c r="R10" s="221"/>
      <c r="S10" s="221"/>
      <c r="T10" s="221"/>
      <c r="U10" s="221"/>
      <c r="V10" s="221"/>
      <c r="W10" s="221"/>
      <c r="X10" s="222"/>
      <c r="Y10" s="228" t="s">
        <v>14</v>
      </c>
      <c r="Z10" s="221"/>
      <c r="AA10" s="224" t="s">
        <v>22</v>
      </c>
      <c r="AB10" s="221"/>
      <c r="AC10" s="221"/>
      <c r="AD10" s="222"/>
      <c r="AE10" s="135"/>
      <c r="AF10" s="90"/>
    </row>
    <row r="11" spans="1:32" ht="14.4" customHeight="1" thickBot="1" x14ac:dyDescent="0.3">
      <c r="A11" s="135"/>
      <c r="B11" s="223"/>
      <c r="C11" s="221"/>
      <c r="D11" s="221"/>
      <c r="E11" s="222"/>
      <c r="F11" s="240" t="s">
        <v>16</v>
      </c>
      <c r="G11" s="202"/>
      <c r="H11" s="202"/>
      <c r="I11" s="203"/>
      <c r="J11" s="227" t="str">
        <f>IF('INPUT DATA'!E26="","",'INPUT DATA'!E26)</f>
        <v/>
      </c>
      <c r="K11" s="202"/>
      <c r="L11" s="202"/>
      <c r="M11" s="203"/>
      <c r="N11" s="214"/>
      <c r="O11" s="215"/>
      <c r="P11" s="216"/>
      <c r="Q11" s="214"/>
      <c r="R11" s="215"/>
      <c r="S11" s="215"/>
      <c r="T11" s="215"/>
      <c r="U11" s="215"/>
      <c r="V11" s="215"/>
      <c r="W11" s="215"/>
      <c r="X11" s="216"/>
      <c r="Y11" s="214"/>
      <c r="Z11" s="215"/>
      <c r="AA11" s="214"/>
      <c r="AB11" s="215"/>
      <c r="AC11" s="215"/>
      <c r="AD11" s="216"/>
      <c r="AE11" s="135"/>
      <c r="AF11" s="90"/>
    </row>
    <row r="12" spans="1:32" ht="13.2" customHeight="1" thickBot="1" x14ac:dyDescent="0.3">
      <c r="A12" s="135"/>
      <c r="B12" s="223"/>
      <c r="C12" s="221"/>
      <c r="D12" s="221"/>
      <c r="E12" s="222"/>
      <c r="F12" s="238" t="s">
        <v>23</v>
      </c>
      <c r="G12" s="212"/>
      <c r="H12" s="212"/>
      <c r="I12" s="212"/>
      <c r="J12" s="212"/>
      <c r="K12" s="212"/>
      <c r="L12" s="212"/>
      <c r="M12" s="213"/>
      <c r="N12" s="206" t="s">
        <v>24</v>
      </c>
      <c r="O12" s="212"/>
      <c r="P12" s="212"/>
      <c r="Q12" s="212"/>
      <c r="R12" s="212"/>
      <c r="S12" s="213"/>
      <c r="T12" s="206" t="s">
        <v>25</v>
      </c>
      <c r="U12" s="212"/>
      <c r="V12" s="212"/>
      <c r="W12" s="212"/>
      <c r="X12" s="212"/>
      <c r="Y12" s="212"/>
      <c r="Z12" s="212"/>
      <c r="AA12" s="213"/>
      <c r="AB12" s="206" t="s">
        <v>26</v>
      </c>
      <c r="AC12" s="206" t="s">
        <v>27</v>
      </c>
      <c r="AD12" s="206" t="s">
        <v>28</v>
      </c>
      <c r="AE12" s="135"/>
      <c r="AF12" s="90"/>
    </row>
    <row r="13" spans="1:32" ht="13.8" customHeight="1" thickBot="1" x14ac:dyDescent="0.3">
      <c r="A13" s="135"/>
      <c r="B13" s="223"/>
      <c r="C13" s="221"/>
      <c r="D13" s="221"/>
      <c r="E13" s="222"/>
      <c r="F13" s="214"/>
      <c r="G13" s="215"/>
      <c r="H13" s="215"/>
      <c r="I13" s="215"/>
      <c r="J13" s="215"/>
      <c r="K13" s="215"/>
      <c r="L13" s="215"/>
      <c r="M13" s="216"/>
      <c r="N13" s="214"/>
      <c r="O13" s="215"/>
      <c r="P13" s="215"/>
      <c r="Q13" s="215"/>
      <c r="R13" s="215"/>
      <c r="S13" s="216"/>
      <c r="T13" s="214"/>
      <c r="U13" s="215"/>
      <c r="V13" s="215"/>
      <c r="W13" s="215"/>
      <c r="X13" s="215"/>
      <c r="Y13" s="215"/>
      <c r="Z13" s="215"/>
      <c r="AA13" s="216"/>
      <c r="AB13" s="207"/>
      <c r="AC13" s="207"/>
      <c r="AD13" s="207"/>
      <c r="AE13" s="135"/>
      <c r="AF13" s="90"/>
    </row>
    <row r="14" spans="1:32" ht="13.8" customHeight="1" thickBot="1" x14ac:dyDescent="0.3">
      <c r="A14" s="135"/>
      <c r="B14" s="223"/>
      <c r="C14" s="221"/>
      <c r="D14" s="221"/>
      <c r="E14" s="222"/>
      <c r="F14" s="75">
        <v>1</v>
      </c>
      <c r="G14" s="76">
        <v>2</v>
      </c>
      <c r="H14" s="76">
        <v>3</v>
      </c>
      <c r="I14" s="76">
        <v>4</v>
      </c>
      <c r="J14" s="103">
        <v>5</v>
      </c>
      <c r="K14" s="77" t="s">
        <v>29</v>
      </c>
      <c r="L14" s="77" t="s">
        <v>30</v>
      </c>
      <c r="M14" s="77" t="s">
        <v>31</v>
      </c>
      <c r="N14" s="75">
        <v>1</v>
      </c>
      <c r="O14" s="76">
        <v>2</v>
      </c>
      <c r="P14" s="103">
        <v>3</v>
      </c>
      <c r="Q14" s="77" t="s">
        <v>29</v>
      </c>
      <c r="R14" s="77" t="s">
        <v>30</v>
      </c>
      <c r="S14" s="77" t="s">
        <v>31</v>
      </c>
      <c r="T14" s="75" t="s">
        <v>32</v>
      </c>
      <c r="U14" s="76" t="s">
        <v>33</v>
      </c>
      <c r="V14" s="103" t="s">
        <v>34</v>
      </c>
      <c r="W14" s="78" t="s">
        <v>35</v>
      </c>
      <c r="X14" s="79" t="s">
        <v>36</v>
      </c>
      <c r="Y14" s="80" t="s">
        <v>37</v>
      </c>
      <c r="Z14" s="77" t="s">
        <v>30</v>
      </c>
      <c r="AA14" s="77" t="s">
        <v>31</v>
      </c>
      <c r="AB14" s="207"/>
      <c r="AC14" s="207"/>
      <c r="AD14" s="207"/>
      <c r="AE14" s="135"/>
      <c r="AF14" s="90"/>
    </row>
    <row r="15" spans="1:32" ht="14.4" customHeight="1" thickBot="1" x14ac:dyDescent="0.3">
      <c r="A15" s="135"/>
      <c r="B15" s="231" t="s">
        <v>38</v>
      </c>
      <c r="C15" s="202"/>
      <c r="D15" s="202"/>
      <c r="E15" s="203"/>
      <c r="F15" s="175"/>
      <c r="G15" s="176"/>
      <c r="H15" s="176"/>
      <c r="I15" s="176"/>
      <c r="J15" s="177"/>
      <c r="K15" s="63" t="str">
        <f>IF(COUNT(F15:J15)=0,"",SUM(F15:J15))</f>
        <v/>
      </c>
      <c r="L15" s="71">
        <v>100</v>
      </c>
      <c r="M15" s="72">
        <v>0.2</v>
      </c>
      <c r="N15" s="175"/>
      <c r="O15" s="176"/>
      <c r="P15" s="177"/>
      <c r="Q15" s="63" t="str">
        <f>IF(COUNT(N15:P15)=0,"",SUM(N15:P15))</f>
        <v/>
      </c>
      <c r="R15" s="73">
        <v>100</v>
      </c>
      <c r="S15" s="74">
        <v>0.6</v>
      </c>
      <c r="T15" s="175"/>
      <c r="U15" s="176"/>
      <c r="V15" s="177"/>
      <c r="W15" s="84">
        <v>30</v>
      </c>
      <c r="X15" s="85">
        <v>30</v>
      </c>
      <c r="Y15" s="86">
        <v>40</v>
      </c>
      <c r="Z15" s="73">
        <v>100</v>
      </c>
      <c r="AA15" s="74">
        <v>0.2</v>
      </c>
      <c r="AB15" s="208"/>
      <c r="AC15" s="208"/>
      <c r="AD15" s="208"/>
      <c r="AE15" s="135"/>
      <c r="AF15" s="90"/>
    </row>
    <row r="16" spans="1:32" ht="14.4" customHeight="1" thickBot="1" x14ac:dyDescent="0.3">
      <c r="A16" s="135"/>
      <c r="B16" s="232" t="s">
        <v>2</v>
      </c>
      <c r="C16" s="233"/>
      <c r="D16" s="233"/>
      <c r="E16" s="233"/>
      <c r="F16" s="233"/>
      <c r="G16" s="233"/>
      <c r="H16" s="233"/>
      <c r="I16" s="233"/>
      <c r="J16" s="233"/>
      <c r="K16" s="233"/>
      <c r="L16" s="233"/>
      <c r="M16" s="233"/>
      <c r="N16" s="233"/>
      <c r="O16" s="233"/>
      <c r="P16" s="233"/>
      <c r="Q16" s="233"/>
      <c r="R16" s="233"/>
      <c r="S16" s="233"/>
      <c r="T16" s="233"/>
      <c r="U16" s="233"/>
      <c r="V16" s="233"/>
      <c r="W16" s="233"/>
      <c r="X16" s="233"/>
      <c r="Y16" s="233"/>
      <c r="Z16" s="233"/>
      <c r="AA16" s="233"/>
      <c r="AB16" s="233"/>
      <c r="AC16" s="233"/>
      <c r="AD16" s="234"/>
      <c r="AE16" s="135"/>
      <c r="AF16" s="90"/>
    </row>
    <row r="17" spans="1:32" ht="14.4" customHeight="1" thickBot="1" x14ac:dyDescent="0.3">
      <c r="A17" s="135"/>
      <c r="B17" s="241" t="s">
        <v>5</v>
      </c>
      <c r="C17" s="233"/>
      <c r="D17" s="233"/>
      <c r="E17" s="233"/>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5"/>
      <c r="AF17" s="90"/>
    </row>
    <row r="18" spans="1:32" ht="15" customHeight="1" x14ac:dyDescent="0.25">
      <c r="A18" s="135"/>
      <c r="B18" s="64">
        <v>1</v>
      </c>
      <c r="C18" s="211" t="str">
        <f>IF('INPUT DATA'!K11="","",'INPUT DATA'!K11)</f>
        <v/>
      </c>
      <c r="D18" s="205"/>
      <c r="E18" s="205"/>
      <c r="F18" s="120"/>
      <c r="G18" s="121"/>
      <c r="H18" s="121"/>
      <c r="I18" s="121"/>
      <c r="J18" s="122"/>
      <c r="K18" s="142" t="str">
        <f t="shared" ref="K18:K81" si="0">IF(COUNT($F18:$J18)=0,"",SUM($F18:$J18))</f>
        <v/>
      </c>
      <c r="L18" s="142" t="str">
        <f t="shared" ref="L18:L67" si="1">IF(COUNT(F18:J18)=0,"",IFERROR(K18/$K$15*$L$15,""))</f>
        <v/>
      </c>
      <c r="M18" s="145" t="str">
        <f t="shared" ref="M18:M67" si="2">IF(L18="","",L18*$M$15)</f>
        <v/>
      </c>
      <c r="N18" s="120"/>
      <c r="O18" s="121"/>
      <c r="P18" s="122"/>
      <c r="Q18" s="142" t="str">
        <f t="shared" ref="Q18:Q67" si="3">IF(COUNT(N18:P18)=0,"",SUM(N18:P18))</f>
        <v/>
      </c>
      <c r="R18" s="142" t="str">
        <f t="shared" ref="R18:R67" si="4">IF(COUNT(N18:P18)=0,"",IFERROR(Q18/$Q$15*$R$15,""))</f>
        <v/>
      </c>
      <c r="S18" s="142" t="str">
        <f t="shared" ref="S18:S67" si="5">IF(R18="","",R18*$S$15)</f>
        <v/>
      </c>
      <c r="T18" s="120"/>
      <c r="U18" s="121"/>
      <c r="V18" s="122"/>
      <c r="W18" s="142" t="str">
        <f t="shared" ref="W18:W67" si="6">IF(T18="","",IFERROR(T18/$T$15*$W$15,""))</f>
        <v/>
      </c>
      <c r="X18" s="142" t="str">
        <f t="shared" ref="X18:X67" si="7">IF(U18="","",IFERROR(U18/$U$15*$X$15,""))</f>
        <v/>
      </c>
      <c r="Y18" s="142" t="str">
        <f t="shared" ref="Y18:Y67" si="8">IF(V18="","",IFERROR(V18/$V$15*$Y$15,""))</f>
        <v/>
      </c>
      <c r="Z18" s="149" t="str">
        <f t="shared" ref="Z18:Z67" si="9">IF(COUNT(T18:V18)=0,"",SUM(W18:Y18))</f>
        <v/>
      </c>
      <c r="AA18" s="142" t="str">
        <f t="shared" ref="AA18:AA67" si="10">IF(Z18="","",Z18*$AA$15)</f>
        <v/>
      </c>
      <c r="AB18" s="151" t="str">
        <f t="shared" ref="AB18:AB67" si="11">IF(COUNT(F18:J18,N18:P18,T18:V18)=0,"",SUM(M18,S18,AA18))</f>
        <v/>
      </c>
      <c r="AC18" s="157" t="str">
        <f>IF(AB18="","",IFERROR(INDEX(HELPER!$D$8:$D$48,IF(AB18&gt;=HELPER!$B$8,1,MATCH(AB18,HELPER!$B$8:$B$48,-1)+1)),""))</f>
        <v/>
      </c>
      <c r="AD18" s="154" t="str">
        <f>IF(AC18="","",IFERROR(VLOOKUP(AC18,HELPER!$F$8:$G$48,2,FALSE),""))</f>
        <v/>
      </c>
      <c r="AE18" s="135"/>
      <c r="AF18" s="90"/>
    </row>
    <row r="19" spans="1:32" ht="15" customHeight="1" x14ac:dyDescent="0.25">
      <c r="A19" s="135"/>
      <c r="B19" s="65">
        <v>2</v>
      </c>
      <c r="C19" s="211" t="str">
        <f>IF('INPUT DATA'!K12="","",'INPUT DATA'!K12)</f>
        <v/>
      </c>
      <c r="D19" s="205"/>
      <c r="E19" s="205"/>
      <c r="F19" s="123"/>
      <c r="G19" s="119"/>
      <c r="H19" s="119"/>
      <c r="I19" s="119"/>
      <c r="J19" s="124"/>
      <c r="K19" s="143" t="str">
        <f t="shared" si="0"/>
        <v/>
      </c>
      <c r="L19" s="143" t="str">
        <f t="shared" si="1"/>
        <v/>
      </c>
      <c r="M19" s="146" t="str">
        <f t="shared" si="2"/>
        <v/>
      </c>
      <c r="N19" s="123"/>
      <c r="O19" s="119"/>
      <c r="P19" s="124"/>
      <c r="Q19" s="143" t="str">
        <f t="shared" si="3"/>
        <v/>
      </c>
      <c r="R19" s="143" t="str">
        <f t="shared" si="4"/>
        <v/>
      </c>
      <c r="S19" s="143" t="str">
        <f t="shared" si="5"/>
        <v/>
      </c>
      <c r="T19" s="123"/>
      <c r="U19" s="119"/>
      <c r="V19" s="124"/>
      <c r="W19" s="143" t="str">
        <f t="shared" si="6"/>
        <v/>
      </c>
      <c r="X19" s="143" t="str">
        <f t="shared" si="7"/>
        <v/>
      </c>
      <c r="Y19" s="143" t="str">
        <f t="shared" si="8"/>
        <v/>
      </c>
      <c r="Z19" s="150" t="str">
        <f t="shared" si="9"/>
        <v/>
      </c>
      <c r="AA19" s="143" t="str">
        <f t="shared" si="10"/>
        <v/>
      </c>
      <c r="AB19" s="152" t="str">
        <f t="shared" si="11"/>
        <v/>
      </c>
      <c r="AC19" s="158" t="str">
        <f>IF(AB19="","",IFERROR(INDEX(HELPER!$D$8:$D$48,IF(AB19&gt;=HELPER!$B$8,1,MATCH(AB19,HELPER!$B$8:$B$48,-1)+1)),""))</f>
        <v/>
      </c>
      <c r="AD19" s="155" t="str">
        <f>IF(AC19="","",IFERROR(VLOOKUP(AC19,HELPER!$F$8:$G$48,2,FALSE),""))</f>
        <v/>
      </c>
      <c r="AE19" s="135"/>
      <c r="AF19" s="90"/>
    </row>
    <row r="20" spans="1:32" ht="15" customHeight="1" x14ac:dyDescent="0.25">
      <c r="A20" s="135"/>
      <c r="B20" s="65">
        <v>3</v>
      </c>
      <c r="C20" s="211" t="str">
        <f>IF('INPUT DATA'!K13="","",'INPUT DATA'!K13)</f>
        <v/>
      </c>
      <c r="D20" s="205"/>
      <c r="E20" s="205"/>
      <c r="F20" s="123"/>
      <c r="G20" s="119"/>
      <c r="H20" s="119"/>
      <c r="I20" s="119"/>
      <c r="J20" s="124"/>
      <c r="K20" s="143" t="str">
        <f t="shared" si="0"/>
        <v/>
      </c>
      <c r="L20" s="143" t="str">
        <f t="shared" si="1"/>
        <v/>
      </c>
      <c r="M20" s="146" t="str">
        <f t="shared" si="2"/>
        <v/>
      </c>
      <c r="N20" s="123"/>
      <c r="O20" s="119"/>
      <c r="P20" s="124"/>
      <c r="Q20" s="143" t="str">
        <f t="shared" si="3"/>
        <v/>
      </c>
      <c r="R20" s="143" t="str">
        <f t="shared" si="4"/>
        <v/>
      </c>
      <c r="S20" s="143" t="str">
        <f t="shared" si="5"/>
        <v/>
      </c>
      <c r="T20" s="123"/>
      <c r="U20" s="119"/>
      <c r="V20" s="124"/>
      <c r="W20" s="143" t="str">
        <f t="shared" si="6"/>
        <v/>
      </c>
      <c r="X20" s="143" t="str">
        <f t="shared" si="7"/>
        <v/>
      </c>
      <c r="Y20" s="143" t="str">
        <f t="shared" si="8"/>
        <v/>
      </c>
      <c r="Z20" s="150" t="str">
        <f t="shared" si="9"/>
        <v/>
      </c>
      <c r="AA20" s="143" t="str">
        <f t="shared" si="10"/>
        <v/>
      </c>
      <c r="AB20" s="152" t="str">
        <f t="shared" si="11"/>
        <v/>
      </c>
      <c r="AC20" s="158" t="str">
        <f>IF(AB20="","",IFERROR(INDEX(HELPER!$D$8:$D$48,IF(AB20&gt;=HELPER!$B$8,1,MATCH(AB20,HELPER!$B$8:$B$48,-1)+1)),""))</f>
        <v/>
      </c>
      <c r="AD20" s="155" t="str">
        <f>IF(AC20="","",IFERROR(VLOOKUP(AC20,HELPER!$F$8:$G$48,2,FALSE),""))</f>
        <v/>
      </c>
      <c r="AE20" s="135"/>
      <c r="AF20" s="90"/>
    </row>
    <row r="21" spans="1:32" ht="15" customHeight="1" x14ac:dyDescent="0.25">
      <c r="A21" s="135"/>
      <c r="B21" s="65">
        <v>4</v>
      </c>
      <c r="C21" s="211" t="str">
        <f>IF('INPUT DATA'!K14="","",'INPUT DATA'!K14)</f>
        <v/>
      </c>
      <c r="D21" s="205"/>
      <c r="E21" s="205"/>
      <c r="F21" s="123"/>
      <c r="G21" s="119"/>
      <c r="H21" s="119"/>
      <c r="I21" s="119"/>
      <c r="J21" s="124"/>
      <c r="K21" s="143" t="str">
        <f t="shared" si="0"/>
        <v/>
      </c>
      <c r="L21" s="143" t="str">
        <f t="shared" si="1"/>
        <v/>
      </c>
      <c r="M21" s="146" t="str">
        <f t="shared" si="2"/>
        <v/>
      </c>
      <c r="N21" s="123"/>
      <c r="O21" s="119"/>
      <c r="P21" s="124"/>
      <c r="Q21" s="143" t="str">
        <f t="shared" si="3"/>
        <v/>
      </c>
      <c r="R21" s="143" t="str">
        <f t="shared" si="4"/>
        <v/>
      </c>
      <c r="S21" s="143" t="str">
        <f t="shared" si="5"/>
        <v/>
      </c>
      <c r="T21" s="123"/>
      <c r="U21" s="119"/>
      <c r="V21" s="124"/>
      <c r="W21" s="143" t="str">
        <f t="shared" si="6"/>
        <v/>
      </c>
      <c r="X21" s="143" t="str">
        <f t="shared" si="7"/>
        <v/>
      </c>
      <c r="Y21" s="143" t="str">
        <f t="shared" si="8"/>
        <v/>
      </c>
      <c r="Z21" s="150" t="str">
        <f t="shared" si="9"/>
        <v/>
      </c>
      <c r="AA21" s="143" t="str">
        <f t="shared" si="10"/>
        <v/>
      </c>
      <c r="AB21" s="152" t="str">
        <f t="shared" si="11"/>
        <v/>
      </c>
      <c r="AC21" s="158" t="str">
        <f>IF(AB21="","",IFERROR(INDEX(HELPER!$D$8:$D$48,IF(AB21&gt;=HELPER!$B$8,1,MATCH(AB21,HELPER!$B$8:$B$48,-1)+1)),""))</f>
        <v/>
      </c>
      <c r="AD21" s="155" t="str">
        <f>IF(AC21="","",IFERROR(VLOOKUP(AC21,HELPER!$F$8:$G$48,2,FALSE),""))</f>
        <v/>
      </c>
      <c r="AE21" s="135"/>
      <c r="AF21" s="90"/>
    </row>
    <row r="22" spans="1:32" ht="15" customHeight="1" x14ac:dyDescent="0.25">
      <c r="A22" s="135"/>
      <c r="B22" s="65">
        <v>5</v>
      </c>
      <c r="C22" s="204" t="str">
        <f>IF('INPUT DATA'!K15="","",'INPUT DATA'!K15)</f>
        <v/>
      </c>
      <c r="D22" s="205"/>
      <c r="E22" s="205"/>
      <c r="F22" s="123"/>
      <c r="G22" s="119"/>
      <c r="H22" s="119"/>
      <c r="I22" s="119"/>
      <c r="J22" s="124"/>
      <c r="K22" s="143" t="str">
        <f t="shared" si="0"/>
        <v/>
      </c>
      <c r="L22" s="143" t="str">
        <f t="shared" si="1"/>
        <v/>
      </c>
      <c r="M22" s="146" t="str">
        <f t="shared" si="2"/>
        <v/>
      </c>
      <c r="N22" s="123"/>
      <c r="O22" s="119"/>
      <c r="P22" s="124"/>
      <c r="Q22" s="143" t="str">
        <f t="shared" si="3"/>
        <v/>
      </c>
      <c r="R22" s="143" t="str">
        <f t="shared" si="4"/>
        <v/>
      </c>
      <c r="S22" s="143" t="str">
        <f t="shared" si="5"/>
        <v/>
      </c>
      <c r="T22" s="123"/>
      <c r="U22" s="119"/>
      <c r="V22" s="124"/>
      <c r="W22" s="143" t="str">
        <f t="shared" si="6"/>
        <v/>
      </c>
      <c r="X22" s="143" t="str">
        <f t="shared" si="7"/>
        <v/>
      </c>
      <c r="Y22" s="143" t="str">
        <f t="shared" si="8"/>
        <v/>
      </c>
      <c r="Z22" s="150" t="str">
        <f t="shared" si="9"/>
        <v/>
      </c>
      <c r="AA22" s="143" t="str">
        <f t="shared" si="10"/>
        <v/>
      </c>
      <c r="AB22" s="152" t="str">
        <f t="shared" si="11"/>
        <v/>
      </c>
      <c r="AC22" s="158" t="str">
        <f>IF(AB22="","",IFERROR(INDEX(HELPER!$D$8:$D$48,IF(AB22&gt;=HELPER!$B$8,1,MATCH(AB22,HELPER!$B$8:$B$48,-1)+1)),""))</f>
        <v/>
      </c>
      <c r="AD22" s="155" t="str">
        <f>IF(AC22="","",IFERROR(VLOOKUP(AC22,HELPER!$F$8:$G$48,2,FALSE),""))</f>
        <v/>
      </c>
      <c r="AE22" s="135"/>
      <c r="AF22" s="90"/>
    </row>
    <row r="23" spans="1:32" ht="15" customHeight="1" x14ac:dyDescent="0.25">
      <c r="A23" s="135"/>
      <c r="B23" s="65">
        <v>6</v>
      </c>
      <c r="C23" s="204" t="str">
        <f>IF('INPUT DATA'!K16="","",'INPUT DATA'!K16)</f>
        <v/>
      </c>
      <c r="D23" s="205"/>
      <c r="E23" s="205"/>
      <c r="F23" s="123"/>
      <c r="G23" s="119"/>
      <c r="H23" s="119"/>
      <c r="I23" s="119"/>
      <c r="J23" s="124"/>
      <c r="K23" s="143" t="str">
        <f t="shared" si="0"/>
        <v/>
      </c>
      <c r="L23" s="143" t="str">
        <f t="shared" si="1"/>
        <v/>
      </c>
      <c r="M23" s="146" t="str">
        <f t="shared" si="2"/>
        <v/>
      </c>
      <c r="N23" s="123"/>
      <c r="O23" s="119"/>
      <c r="P23" s="124"/>
      <c r="Q23" s="143" t="str">
        <f t="shared" si="3"/>
        <v/>
      </c>
      <c r="R23" s="143" t="str">
        <f t="shared" si="4"/>
        <v/>
      </c>
      <c r="S23" s="143" t="str">
        <f t="shared" si="5"/>
        <v/>
      </c>
      <c r="T23" s="123"/>
      <c r="U23" s="119"/>
      <c r="V23" s="124"/>
      <c r="W23" s="143" t="str">
        <f t="shared" si="6"/>
        <v/>
      </c>
      <c r="X23" s="143" t="str">
        <f t="shared" si="7"/>
        <v/>
      </c>
      <c r="Y23" s="143" t="str">
        <f t="shared" si="8"/>
        <v/>
      </c>
      <c r="Z23" s="150" t="str">
        <f t="shared" si="9"/>
        <v/>
      </c>
      <c r="AA23" s="143" t="str">
        <f t="shared" si="10"/>
        <v/>
      </c>
      <c r="AB23" s="152" t="str">
        <f t="shared" si="11"/>
        <v/>
      </c>
      <c r="AC23" s="158" t="str">
        <f>IF(AB23="","",IFERROR(INDEX(HELPER!$D$8:$D$48,IF(AB23&gt;=HELPER!$B$8,1,MATCH(AB23,HELPER!$B$8:$B$48,-1)+1)),""))</f>
        <v/>
      </c>
      <c r="AD23" s="155" t="str">
        <f>IF(AC23="","",IFERROR(VLOOKUP(AC23,HELPER!$F$8:$G$48,2,FALSE),""))</f>
        <v/>
      </c>
      <c r="AE23" s="135"/>
      <c r="AF23" s="90"/>
    </row>
    <row r="24" spans="1:32" ht="15" customHeight="1" x14ac:dyDescent="0.25">
      <c r="A24" s="135"/>
      <c r="B24" s="65">
        <v>7</v>
      </c>
      <c r="C24" s="204" t="str">
        <f>IF('INPUT DATA'!K17="","",'INPUT DATA'!K17)</f>
        <v/>
      </c>
      <c r="D24" s="205"/>
      <c r="E24" s="205"/>
      <c r="F24" s="123"/>
      <c r="G24" s="119"/>
      <c r="H24" s="119"/>
      <c r="I24" s="119"/>
      <c r="J24" s="124"/>
      <c r="K24" s="143" t="str">
        <f t="shared" si="0"/>
        <v/>
      </c>
      <c r="L24" s="143" t="str">
        <f t="shared" si="1"/>
        <v/>
      </c>
      <c r="M24" s="146" t="str">
        <f t="shared" si="2"/>
        <v/>
      </c>
      <c r="N24" s="123"/>
      <c r="O24" s="119"/>
      <c r="P24" s="124"/>
      <c r="Q24" s="143" t="str">
        <f t="shared" si="3"/>
        <v/>
      </c>
      <c r="R24" s="143" t="str">
        <f t="shared" si="4"/>
        <v/>
      </c>
      <c r="S24" s="143" t="str">
        <f t="shared" si="5"/>
        <v/>
      </c>
      <c r="T24" s="123"/>
      <c r="U24" s="119"/>
      <c r="V24" s="124"/>
      <c r="W24" s="143" t="str">
        <f t="shared" si="6"/>
        <v/>
      </c>
      <c r="X24" s="143" t="str">
        <f t="shared" si="7"/>
        <v/>
      </c>
      <c r="Y24" s="143" t="str">
        <f t="shared" si="8"/>
        <v/>
      </c>
      <c r="Z24" s="150" t="str">
        <f t="shared" si="9"/>
        <v/>
      </c>
      <c r="AA24" s="143" t="str">
        <f t="shared" si="10"/>
        <v/>
      </c>
      <c r="AB24" s="152" t="str">
        <f t="shared" si="11"/>
        <v/>
      </c>
      <c r="AC24" s="158" t="str">
        <f>IF(AB24="","",IFERROR(INDEX(HELPER!$D$8:$D$48,IF(AB24&gt;=HELPER!$B$8,1,MATCH(AB24,HELPER!$B$8:$B$48,-1)+1)),""))</f>
        <v/>
      </c>
      <c r="AD24" s="155" t="str">
        <f>IF(AC24="","",IFERROR(VLOOKUP(AC24,HELPER!$F$8:$G$48,2,FALSE),""))</f>
        <v/>
      </c>
      <c r="AE24" s="135"/>
      <c r="AF24" s="90"/>
    </row>
    <row r="25" spans="1:32" ht="15" customHeight="1" x14ac:dyDescent="0.25">
      <c r="A25" s="135"/>
      <c r="B25" s="65">
        <v>8</v>
      </c>
      <c r="C25" s="204" t="str">
        <f>IF('INPUT DATA'!K18="","",'INPUT DATA'!K18)</f>
        <v/>
      </c>
      <c r="D25" s="205"/>
      <c r="E25" s="205"/>
      <c r="F25" s="123"/>
      <c r="G25" s="119"/>
      <c r="H25" s="119"/>
      <c r="I25" s="119"/>
      <c r="J25" s="124"/>
      <c r="K25" s="143" t="str">
        <f t="shared" si="0"/>
        <v/>
      </c>
      <c r="L25" s="143" t="str">
        <f t="shared" si="1"/>
        <v/>
      </c>
      <c r="M25" s="146" t="str">
        <f t="shared" si="2"/>
        <v/>
      </c>
      <c r="N25" s="123"/>
      <c r="O25" s="119"/>
      <c r="P25" s="124"/>
      <c r="Q25" s="143" t="str">
        <f t="shared" si="3"/>
        <v/>
      </c>
      <c r="R25" s="143" t="str">
        <f t="shared" si="4"/>
        <v/>
      </c>
      <c r="S25" s="143" t="str">
        <f t="shared" si="5"/>
        <v/>
      </c>
      <c r="T25" s="123"/>
      <c r="U25" s="119"/>
      <c r="V25" s="124"/>
      <c r="W25" s="143" t="str">
        <f t="shared" si="6"/>
        <v/>
      </c>
      <c r="X25" s="143" t="str">
        <f t="shared" si="7"/>
        <v/>
      </c>
      <c r="Y25" s="143" t="str">
        <f t="shared" si="8"/>
        <v/>
      </c>
      <c r="Z25" s="150" t="str">
        <f t="shared" si="9"/>
        <v/>
      </c>
      <c r="AA25" s="143" t="str">
        <f t="shared" si="10"/>
        <v/>
      </c>
      <c r="AB25" s="152" t="str">
        <f t="shared" si="11"/>
        <v/>
      </c>
      <c r="AC25" s="158" t="str">
        <f>IF(AB25="","",IFERROR(INDEX(HELPER!$D$8:$D$48,IF(AB25&gt;=HELPER!$B$8,1,MATCH(AB25,HELPER!$B$8:$B$48,-1)+1)),""))</f>
        <v/>
      </c>
      <c r="AD25" s="155" t="str">
        <f>IF(AC25="","",IFERROR(VLOOKUP(AC25,HELPER!$F$8:$G$48,2,FALSE),""))</f>
        <v/>
      </c>
      <c r="AE25" s="135"/>
      <c r="AF25" s="90"/>
    </row>
    <row r="26" spans="1:32" ht="15" customHeight="1" x14ac:dyDescent="0.25">
      <c r="A26" s="135"/>
      <c r="B26" s="65">
        <v>9</v>
      </c>
      <c r="C26" s="204" t="str">
        <f>IF('INPUT DATA'!K19="","",'INPUT DATA'!K19)</f>
        <v/>
      </c>
      <c r="D26" s="205"/>
      <c r="E26" s="205"/>
      <c r="F26" s="123"/>
      <c r="G26" s="119"/>
      <c r="H26" s="119"/>
      <c r="I26" s="119"/>
      <c r="J26" s="124"/>
      <c r="K26" s="143" t="str">
        <f t="shared" si="0"/>
        <v/>
      </c>
      <c r="L26" s="143" t="str">
        <f t="shared" si="1"/>
        <v/>
      </c>
      <c r="M26" s="146" t="str">
        <f t="shared" si="2"/>
        <v/>
      </c>
      <c r="N26" s="123"/>
      <c r="O26" s="119"/>
      <c r="P26" s="124"/>
      <c r="Q26" s="143" t="str">
        <f t="shared" si="3"/>
        <v/>
      </c>
      <c r="R26" s="143" t="str">
        <f t="shared" si="4"/>
        <v/>
      </c>
      <c r="S26" s="143" t="str">
        <f t="shared" si="5"/>
        <v/>
      </c>
      <c r="T26" s="123"/>
      <c r="U26" s="119"/>
      <c r="V26" s="124"/>
      <c r="W26" s="143" t="str">
        <f t="shared" si="6"/>
        <v/>
      </c>
      <c r="X26" s="143" t="str">
        <f t="shared" si="7"/>
        <v/>
      </c>
      <c r="Y26" s="143" t="str">
        <f t="shared" si="8"/>
        <v/>
      </c>
      <c r="Z26" s="150" t="str">
        <f t="shared" si="9"/>
        <v/>
      </c>
      <c r="AA26" s="143" t="str">
        <f t="shared" si="10"/>
        <v/>
      </c>
      <c r="AB26" s="152" t="str">
        <f t="shared" si="11"/>
        <v/>
      </c>
      <c r="AC26" s="158" t="str">
        <f>IF(AB26="","",IFERROR(INDEX(HELPER!$D$8:$D$48,IF(AB26&gt;=HELPER!$B$8,1,MATCH(AB26,HELPER!$B$8:$B$48,-1)+1)),""))</f>
        <v/>
      </c>
      <c r="AD26" s="155" t="str">
        <f>IF(AC26="","",IFERROR(VLOOKUP(AC26,HELPER!$F$8:$G$48,2,FALSE),""))</f>
        <v/>
      </c>
      <c r="AE26" s="135"/>
      <c r="AF26" s="90"/>
    </row>
    <row r="27" spans="1:32" ht="15" customHeight="1" x14ac:dyDescent="0.25">
      <c r="A27" s="135"/>
      <c r="B27" s="65">
        <v>10</v>
      </c>
      <c r="C27" s="204" t="str">
        <f>IF('INPUT DATA'!K20="","",'INPUT DATA'!K20)</f>
        <v/>
      </c>
      <c r="D27" s="205"/>
      <c r="E27" s="205"/>
      <c r="F27" s="123"/>
      <c r="G27" s="119"/>
      <c r="H27" s="119"/>
      <c r="I27" s="119"/>
      <c r="J27" s="124"/>
      <c r="K27" s="143" t="str">
        <f t="shared" si="0"/>
        <v/>
      </c>
      <c r="L27" s="143" t="str">
        <f t="shared" si="1"/>
        <v/>
      </c>
      <c r="M27" s="146" t="str">
        <f t="shared" si="2"/>
        <v/>
      </c>
      <c r="N27" s="123"/>
      <c r="O27" s="119"/>
      <c r="P27" s="124"/>
      <c r="Q27" s="143" t="str">
        <f t="shared" si="3"/>
        <v/>
      </c>
      <c r="R27" s="143" t="str">
        <f t="shared" si="4"/>
        <v/>
      </c>
      <c r="S27" s="143" t="str">
        <f t="shared" si="5"/>
        <v/>
      </c>
      <c r="T27" s="123"/>
      <c r="U27" s="119"/>
      <c r="V27" s="124"/>
      <c r="W27" s="143" t="str">
        <f t="shared" si="6"/>
        <v/>
      </c>
      <c r="X27" s="143" t="str">
        <f t="shared" si="7"/>
        <v/>
      </c>
      <c r="Y27" s="143" t="str">
        <f t="shared" si="8"/>
        <v/>
      </c>
      <c r="Z27" s="150" t="str">
        <f t="shared" si="9"/>
        <v/>
      </c>
      <c r="AA27" s="143" t="str">
        <f t="shared" si="10"/>
        <v/>
      </c>
      <c r="AB27" s="152" t="str">
        <f t="shared" si="11"/>
        <v/>
      </c>
      <c r="AC27" s="158" t="str">
        <f>IF(AB27="","",IFERROR(INDEX(HELPER!$D$8:$D$48,IF(AB27&gt;=HELPER!$B$8,1,MATCH(AB27,HELPER!$B$8:$B$48,-1)+1)),""))</f>
        <v/>
      </c>
      <c r="AD27" s="155" t="str">
        <f>IF(AC27="","",IFERROR(VLOOKUP(AC27,HELPER!$F$8:$G$48,2,FALSE),""))</f>
        <v/>
      </c>
      <c r="AE27" s="135"/>
      <c r="AF27" s="90"/>
    </row>
    <row r="28" spans="1:32" ht="15" customHeight="1" x14ac:dyDescent="0.25">
      <c r="A28" s="135"/>
      <c r="B28" s="65">
        <v>11</v>
      </c>
      <c r="C28" s="204" t="str">
        <f>IF('INPUT DATA'!K21="","",'INPUT DATA'!K21)</f>
        <v/>
      </c>
      <c r="D28" s="205"/>
      <c r="E28" s="205"/>
      <c r="F28" s="123"/>
      <c r="G28" s="119"/>
      <c r="H28" s="119"/>
      <c r="I28" s="119"/>
      <c r="J28" s="124"/>
      <c r="K28" s="143" t="str">
        <f t="shared" si="0"/>
        <v/>
      </c>
      <c r="L28" s="143" t="str">
        <f t="shared" si="1"/>
        <v/>
      </c>
      <c r="M28" s="146" t="str">
        <f t="shared" si="2"/>
        <v/>
      </c>
      <c r="N28" s="123"/>
      <c r="O28" s="119"/>
      <c r="P28" s="124"/>
      <c r="Q28" s="143" t="str">
        <f t="shared" si="3"/>
        <v/>
      </c>
      <c r="R28" s="143" t="str">
        <f t="shared" si="4"/>
        <v/>
      </c>
      <c r="S28" s="143" t="str">
        <f t="shared" si="5"/>
        <v/>
      </c>
      <c r="T28" s="123"/>
      <c r="U28" s="119"/>
      <c r="V28" s="124"/>
      <c r="W28" s="143" t="str">
        <f t="shared" si="6"/>
        <v/>
      </c>
      <c r="X28" s="143" t="str">
        <f t="shared" si="7"/>
        <v/>
      </c>
      <c r="Y28" s="143" t="str">
        <f t="shared" si="8"/>
        <v/>
      </c>
      <c r="Z28" s="150" t="str">
        <f t="shared" si="9"/>
        <v/>
      </c>
      <c r="AA28" s="143" t="str">
        <f t="shared" si="10"/>
        <v/>
      </c>
      <c r="AB28" s="152" t="str">
        <f t="shared" si="11"/>
        <v/>
      </c>
      <c r="AC28" s="158" t="str">
        <f>IF(AB28="","",IFERROR(INDEX(HELPER!$D$8:$D$48,IF(AB28&gt;=HELPER!$B$8,1,MATCH(AB28,HELPER!$B$8:$B$48,-1)+1)),""))</f>
        <v/>
      </c>
      <c r="AD28" s="155" t="str">
        <f>IF(AC28="","",IFERROR(VLOOKUP(AC28,HELPER!$F$8:$G$48,2,FALSE),""))</f>
        <v/>
      </c>
      <c r="AE28" s="135"/>
      <c r="AF28" s="90"/>
    </row>
    <row r="29" spans="1:32" ht="15" customHeight="1" x14ac:dyDescent="0.25">
      <c r="A29" s="135"/>
      <c r="B29" s="65">
        <v>12</v>
      </c>
      <c r="C29" s="204" t="str">
        <f>IF('INPUT DATA'!K22="","",'INPUT DATA'!K22)</f>
        <v/>
      </c>
      <c r="D29" s="205"/>
      <c r="E29" s="205"/>
      <c r="F29" s="123"/>
      <c r="G29" s="119"/>
      <c r="H29" s="119"/>
      <c r="I29" s="119"/>
      <c r="J29" s="124"/>
      <c r="K29" s="143" t="str">
        <f t="shared" si="0"/>
        <v/>
      </c>
      <c r="L29" s="143" t="str">
        <f t="shared" si="1"/>
        <v/>
      </c>
      <c r="M29" s="146" t="str">
        <f t="shared" si="2"/>
        <v/>
      </c>
      <c r="N29" s="123"/>
      <c r="O29" s="119"/>
      <c r="P29" s="124"/>
      <c r="Q29" s="143" t="str">
        <f t="shared" si="3"/>
        <v/>
      </c>
      <c r="R29" s="143" t="str">
        <f t="shared" si="4"/>
        <v/>
      </c>
      <c r="S29" s="143" t="str">
        <f t="shared" si="5"/>
        <v/>
      </c>
      <c r="T29" s="123"/>
      <c r="U29" s="119"/>
      <c r="V29" s="124"/>
      <c r="W29" s="143" t="str">
        <f t="shared" si="6"/>
        <v/>
      </c>
      <c r="X29" s="143" t="str">
        <f t="shared" si="7"/>
        <v/>
      </c>
      <c r="Y29" s="143" t="str">
        <f t="shared" si="8"/>
        <v/>
      </c>
      <c r="Z29" s="150" t="str">
        <f t="shared" si="9"/>
        <v/>
      </c>
      <c r="AA29" s="143" t="str">
        <f t="shared" si="10"/>
        <v/>
      </c>
      <c r="AB29" s="152" t="str">
        <f t="shared" si="11"/>
        <v/>
      </c>
      <c r="AC29" s="158" t="str">
        <f>IF(AB29="","",IFERROR(INDEX(HELPER!$D$8:$D$48,IF(AB29&gt;=HELPER!$B$8,1,MATCH(AB29,HELPER!$B$8:$B$48,-1)+1)),""))</f>
        <v/>
      </c>
      <c r="AD29" s="155" t="str">
        <f>IF(AC29="","",IFERROR(VLOOKUP(AC29,HELPER!$F$8:$G$48,2,FALSE),""))</f>
        <v/>
      </c>
      <c r="AE29" s="135"/>
      <c r="AF29" s="90"/>
    </row>
    <row r="30" spans="1:32" ht="15" customHeight="1" x14ac:dyDescent="0.25">
      <c r="A30" s="135"/>
      <c r="B30" s="65">
        <v>13</v>
      </c>
      <c r="C30" s="204" t="str">
        <f>IF('INPUT DATA'!K23="","",'INPUT DATA'!K23)</f>
        <v/>
      </c>
      <c r="D30" s="205"/>
      <c r="E30" s="205"/>
      <c r="F30" s="123"/>
      <c r="G30" s="119"/>
      <c r="H30" s="119"/>
      <c r="I30" s="119"/>
      <c r="J30" s="124"/>
      <c r="K30" s="143" t="str">
        <f t="shared" si="0"/>
        <v/>
      </c>
      <c r="L30" s="143" t="str">
        <f t="shared" si="1"/>
        <v/>
      </c>
      <c r="M30" s="146" t="str">
        <f t="shared" si="2"/>
        <v/>
      </c>
      <c r="N30" s="123"/>
      <c r="O30" s="119"/>
      <c r="P30" s="124"/>
      <c r="Q30" s="143" t="str">
        <f t="shared" si="3"/>
        <v/>
      </c>
      <c r="R30" s="143" t="str">
        <f t="shared" si="4"/>
        <v/>
      </c>
      <c r="S30" s="143" t="str">
        <f t="shared" si="5"/>
        <v/>
      </c>
      <c r="T30" s="123"/>
      <c r="U30" s="119"/>
      <c r="V30" s="124"/>
      <c r="W30" s="143" t="str">
        <f t="shared" si="6"/>
        <v/>
      </c>
      <c r="X30" s="143" t="str">
        <f t="shared" si="7"/>
        <v/>
      </c>
      <c r="Y30" s="143" t="str">
        <f t="shared" si="8"/>
        <v/>
      </c>
      <c r="Z30" s="150" t="str">
        <f t="shared" si="9"/>
        <v/>
      </c>
      <c r="AA30" s="143" t="str">
        <f t="shared" si="10"/>
        <v/>
      </c>
      <c r="AB30" s="152" t="str">
        <f t="shared" si="11"/>
        <v/>
      </c>
      <c r="AC30" s="158" t="str">
        <f>IF(AB30="","",IFERROR(INDEX(HELPER!$D$8:$D$48,IF(AB30&gt;=HELPER!$B$8,1,MATCH(AB30,HELPER!$B$8:$B$48,-1)+1)),""))</f>
        <v/>
      </c>
      <c r="AD30" s="155" t="str">
        <f>IF(AC30="","",IFERROR(VLOOKUP(AC30,HELPER!$F$8:$G$48,2,FALSE),""))</f>
        <v/>
      </c>
      <c r="AE30" s="135"/>
      <c r="AF30" s="90"/>
    </row>
    <row r="31" spans="1:32" ht="15" customHeight="1" x14ac:dyDescent="0.25">
      <c r="A31" s="135"/>
      <c r="B31" s="65">
        <v>14</v>
      </c>
      <c r="C31" s="204" t="str">
        <f>IF('INPUT DATA'!K24="","",'INPUT DATA'!K24)</f>
        <v/>
      </c>
      <c r="D31" s="205"/>
      <c r="E31" s="205"/>
      <c r="F31" s="123"/>
      <c r="G31" s="119"/>
      <c r="H31" s="119"/>
      <c r="I31" s="119"/>
      <c r="J31" s="124"/>
      <c r="K31" s="143" t="str">
        <f t="shared" si="0"/>
        <v/>
      </c>
      <c r="L31" s="143" t="str">
        <f t="shared" si="1"/>
        <v/>
      </c>
      <c r="M31" s="146" t="str">
        <f t="shared" si="2"/>
        <v/>
      </c>
      <c r="N31" s="123"/>
      <c r="O31" s="119"/>
      <c r="P31" s="124"/>
      <c r="Q31" s="143" t="str">
        <f t="shared" si="3"/>
        <v/>
      </c>
      <c r="R31" s="143" t="str">
        <f t="shared" si="4"/>
        <v/>
      </c>
      <c r="S31" s="143" t="str">
        <f t="shared" si="5"/>
        <v/>
      </c>
      <c r="T31" s="123"/>
      <c r="U31" s="119"/>
      <c r="V31" s="124"/>
      <c r="W31" s="143" t="str">
        <f t="shared" si="6"/>
        <v/>
      </c>
      <c r="X31" s="143" t="str">
        <f t="shared" si="7"/>
        <v/>
      </c>
      <c r="Y31" s="143" t="str">
        <f t="shared" si="8"/>
        <v/>
      </c>
      <c r="Z31" s="150" t="str">
        <f t="shared" si="9"/>
        <v/>
      </c>
      <c r="AA31" s="143" t="str">
        <f t="shared" si="10"/>
        <v/>
      </c>
      <c r="AB31" s="152" t="str">
        <f t="shared" si="11"/>
        <v/>
      </c>
      <c r="AC31" s="158" t="str">
        <f>IF(AB31="","",IFERROR(INDEX(HELPER!$D$8:$D$48,IF(AB31&gt;=HELPER!$B$8,1,MATCH(AB31,HELPER!$B$8:$B$48,-1)+1)),""))</f>
        <v/>
      </c>
      <c r="AD31" s="155" t="str">
        <f>IF(AC31="","",IFERROR(VLOOKUP(AC31,HELPER!$F$8:$G$48,2,FALSE),""))</f>
        <v/>
      </c>
      <c r="AE31" s="135"/>
      <c r="AF31" s="90"/>
    </row>
    <row r="32" spans="1:32" ht="15" customHeight="1" x14ac:dyDescent="0.25">
      <c r="A32" s="135"/>
      <c r="B32" s="65">
        <v>15</v>
      </c>
      <c r="C32" s="204" t="str">
        <f>IF('INPUT DATA'!K25="","",'INPUT DATA'!K25)</f>
        <v/>
      </c>
      <c r="D32" s="205"/>
      <c r="E32" s="205"/>
      <c r="F32" s="123"/>
      <c r="G32" s="119"/>
      <c r="H32" s="119"/>
      <c r="I32" s="119"/>
      <c r="J32" s="124"/>
      <c r="K32" s="143" t="str">
        <f t="shared" si="0"/>
        <v/>
      </c>
      <c r="L32" s="143" t="str">
        <f t="shared" si="1"/>
        <v/>
      </c>
      <c r="M32" s="146" t="str">
        <f t="shared" si="2"/>
        <v/>
      </c>
      <c r="N32" s="123"/>
      <c r="O32" s="119"/>
      <c r="P32" s="124"/>
      <c r="Q32" s="143" t="str">
        <f t="shared" si="3"/>
        <v/>
      </c>
      <c r="R32" s="143" t="str">
        <f t="shared" si="4"/>
        <v/>
      </c>
      <c r="S32" s="143" t="str">
        <f t="shared" si="5"/>
        <v/>
      </c>
      <c r="T32" s="123"/>
      <c r="U32" s="119"/>
      <c r="V32" s="124"/>
      <c r="W32" s="143" t="str">
        <f t="shared" si="6"/>
        <v/>
      </c>
      <c r="X32" s="143" t="str">
        <f t="shared" si="7"/>
        <v/>
      </c>
      <c r="Y32" s="143" t="str">
        <f t="shared" si="8"/>
        <v/>
      </c>
      <c r="Z32" s="150" t="str">
        <f t="shared" si="9"/>
        <v/>
      </c>
      <c r="AA32" s="143" t="str">
        <f t="shared" si="10"/>
        <v/>
      </c>
      <c r="AB32" s="152" t="str">
        <f t="shared" si="11"/>
        <v/>
      </c>
      <c r="AC32" s="158" t="str">
        <f>IF(AB32="","",IFERROR(INDEX(HELPER!$D$8:$D$48,IF(AB32&gt;=HELPER!$B$8,1,MATCH(AB32,HELPER!$B$8:$B$48,-1)+1)),""))</f>
        <v/>
      </c>
      <c r="AD32" s="155" t="str">
        <f>IF(AC32="","",IFERROR(VLOOKUP(AC32,HELPER!$F$8:$G$48,2,FALSE),""))</f>
        <v/>
      </c>
      <c r="AE32" s="135"/>
      <c r="AF32" s="90"/>
    </row>
    <row r="33" spans="1:32" ht="15" customHeight="1" x14ac:dyDescent="0.25">
      <c r="A33" s="135"/>
      <c r="B33" s="65">
        <v>16</v>
      </c>
      <c r="C33" s="204" t="str">
        <f>IF('INPUT DATA'!K26="","",'INPUT DATA'!K26)</f>
        <v/>
      </c>
      <c r="D33" s="205"/>
      <c r="E33" s="205"/>
      <c r="F33" s="123"/>
      <c r="G33" s="119"/>
      <c r="H33" s="119"/>
      <c r="I33" s="119"/>
      <c r="J33" s="124"/>
      <c r="K33" s="143" t="str">
        <f t="shared" si="0"/>
        <v/>
      </c>
      <c r="L33" s="143" t="str">
        <f t="shared" si="1"/>
        <v/>
      </c>
      <c r="M33" s="146" t="str">
        <f t="shared" si="2"/>
        <v/>
      </c>
      <c r="N33" s="123"/>
      <c r="O33" s="119"/>
      <c r="P33" s="124"/>
      <c r="Q33" s="143" t="str">
        <f t="shared" si="3"/>
        <v/>
      </c>
      <c r="R33" s="143" t="str">
        <f t="shared" si="4"/>
        <v/>
      </c>
      <c r="S33" s="143" t="str">
        <f t="shared" si="5"/>
        <v/>
      </c>
      <c r="T33" s="123"/>
      <c r="U33" s="119"/>
      <c r="V33" s="124"/>
      <c r="W33" s="143" t="str">
        <f t="shared" si="6"/>
        <v/>
      </c>
      <c r="X33" s="143" t="str">
        <f t="shared" si="7"/>
        <v/>
      </c>
      <c r="Y33" s="143" t="str">
        <f t="shared" si="8"/>
        <v/>
      </c>
      <c r="Z33" s="150" t="str">
        <f t="shared" si="9"/>
        <v/>
      </c>
      <c r="AA33" s="143" t="str">
        <f t="shared" si="10"/>
        <v/>
      </c>
      <c r="AB33" s="152" t="str">
        <f t="shared" si="11"/>
        <v/>
      </c>
      <c r="AC33" s="158" t="str">
        <f>IF(AB33="","",IFERROR(INDEX(HELPER!$D$8:$D$48,IF(AB33&gt;=HELPER!$B$8,1,MATCH(AB33,HELPER!$B$8:$B$48,-1)+1)),""))</f>
        <v/>
      </c>
      <c r="AD33" s="155" t="str">
        <f>IF(AC33="","",IFERROR(VLOOKUP(AC33,HELPER!$F$8:$G$48,2,FALSE),""))</f>
        <v/>
      </c>
      <c r="AE33" s="135"/>
      <c r="AF33" s="90"/>
    </row>
    <row r="34" spans="1:32" ht="15" customHeight="1" x14ac:dyDescent="0.25">
      <c r="A34" s="135"/>
      <c r="B34" s="65">
        <v>17</v>
      </c>
      <c r="C34" s="204" t="str">
        <f>IF('INPUT DATA'!K27="","",'INPUT DATA'!K27)</f>
        <v/>
      </c>
      <c r="D34" s="205"/>
      <c r="E34" s="205"/>
      <c r="F34" s="123"/>
      <c r="G34" s="119"/>
      <c r="H34" s="119"/>
      <c r="I34" s="119"/>
      <c r="J34" s="124"/>
      <c r="K34" s="143" t="str">
        <f t="shared" si="0"/>
        <v/>
      </c>
      <c r="L34" s="143" t="str">
        <f t="shared" si="1"/>
        <v/>
      </c>
      <c r="M34" s="146" t="str">
        <f t="shared" si="2"/>
        <v/>
      </c>
      <c r="N34" s="123"/>
      <c r="O34" s="119"/>
      <c r="P34" s="124"/>
      <c r="Q34" s="143" t="str">
        <f t="shared" si="3"/>
        <v/>
      </c>
      <c r="R34" s="143" t="str">
        <f t="shared" si="4"/>
        <v/>
      </c>
      <c r="S34" s="143" t="str">
        <f t="shared" si="5"/>
        <v/>
      </c>
      <c r="T34" s="123"/>
      <c r="U34" s="119"/>
      <c r="V34" s="124"/>
      <c r="W34" s="143" t="str">
        <f t="shared" si="6"/>
        <v/>
      </c>
      <c r="X34" s="143" t="str">
        <f t="shared" si="7"/>
        <v/>
      </c>
      <c r="Y34" s="143" t="str">
        <f t="shared" si="8"/>
        <v/>
      </c>
      <c r="Z34" s="150" t="str">
        <f t="shared" si="9"/>
        <v/>
      </c>
      <c r="AA34" s="143" t="str">
        <f t="shared" si="10"/>
        <v/>
      </c>
      <c r="AB34" s="152" t="str">
        <f t="shared" si="11"/>
        <v/>
      </c>
      <c r="AC34" s="158" t="str">
        <f>IF(AB34="","",IFERROR(INDEX(HELPER!$D$8:$D$48,IF(AB34&gt;=HELPER!$B$8,1,MATCH(AB34,HELPER!$B$8:$B$48,-1)+1)),""))</f>
        <v/>
      </c>
      <c r="AD34" s="155" t="str">
        <f>IF(AC34="","",IFERROR(VLOOKUP(AC34,HELPER!$F$8:$G$48,2,FALSE),""))</f>
        <v/>
      </c>
      <c r="AE34" s="135"/>
      <c r="AF34" s="90"/>
    </row>
    <row r="35" spans="1:32" ht="15" customHeight="1" x14ac:dyDescent="0.25">
      <c r="A35" s="135"/>
      <c r="B35" s="65">
        <v>18</v>
      </c>
      <c r="C35" s="204" t="str">
        <f>IF('INPUT DATA'!K28="","",'INPUT DATA'!K28)</f>
        <v/>
      </c>
      <c r="D35" s="205"/>
      <c r="E35" s="205"/>
      <c r="F35" s="123"/>
      <c r="G35" s="119"/>
      <c r="H35" s="119"/>
      <c r="I35" s="119"/>
      <c r="J35" s="124"/>
      <c r="K35" s="143" t="str">
        <f t="shared" si="0"/>
        <v/>
      </c>
      <c r="L35" s="143" t="str">
        <f t="shared" si="1"/>
        <v/>
      </c>
      <c r="M35" s="146" t="str">
        <f t="shared" si="2"/>
        <v/>
      </c>
      <c r="N35" s="123"/>
      <c r="O35" s="119"/>
      <c r="P35" s="124"/>
      <c r="Q35" s="143" t="str">
        <f t="shared" si="3"/>
        <v/>
      </c>
      <c r="R35" s="143" t="str">
        <f t="shared" si="4"/>
        <v/>
      </c>
      <c r="S35" s="143" t="str">
        <f t="shared" si="5"/>
        <v/>
      </c>
      <c r="T35" s="123"/>
      <c r="U35" s="119"/>
      <c r="V35" s="124"/>
      <c r="W35" s="143" t="str">
        <f t="shared" si="6"/>
        <v/>
      </c>
      <c r="X35" s="143" t="str">
        <f t="shared" si="7"/>
        <v/>
      </c>
      <c r="Y35" s="143" t="str">
        <f t="shared" si="8"/>
        <v/>
      </c>
      <c r="Z35" s="150" t="str">
        <f t="shared" si="9"/>
        <v/>
      </c>
      <c r="AA35" s="143" t="str">
        <f t="shared" si="10"/>
        <v/>
      </c>
      <c r="AB35" s="152" t="str">
        <f t="shared" si="11"/>
        <v/>
      </c>
      <c r="AC35" s="158" t="str">
        <f>IF(AB35="","",IFERROR(INDEX(HELPER!$D$8:$D$48,IF(AB35&gt;=HELPER!$B$8,1,MATCH(AB35,HELPER!$B$8:$B$48,-1)+1)),""))</f>
        <v/>
      </c>
      <c r="AD35" s="155" t="str">
        <f>IF(AC35="","",IFERROR(VLOOKUP(AC35,HELPER!$F$8:$G$48,2,FALSE),""))</f>
        <v/>
      </c>
      <c r="AE35" s="135"/>
      <c r="AF35" s="90"/>
    </row>
    <row r="36" spans="1:32" ht="15" customHeight="1" x14ac:dyDescent="0.25">
      <c r="A36" s="135"/>
      <c r="B36" s="65">
        <v>19</v>
      </c>
      <c r="C36" s="204" t="str">
        <f>IF('INPUT DATA'!K29="","",'INPUT DATA'!K29)</f>
        <v/>
      </c>
      <c r="D36" s="205"/>
      <c r="E36" s="205"/>
      <c r="F36" s="123"/>
      <c r="G36" s="119"/>
      <c r="H36" s="119"/>
      <c r="I36" s="119"/>
      <c r="J36" s="124"/>
      <c r="K36" s="143" t="str">
        <f t="shared" si="0"/>
        <v/>
      </c>
      <c r="L36" s="143" t="str">
        <f t="shared" si="1"/>
        <v/>
      </c>
      <c r="M36" s="146" t="str">
        <f t="shared" si="2"/>
        <v/>
      </c>
      <c r="N36" s="123"/>
      <c r="O36" s="119"/>
      <c r="P36" s="124"/>
      <c r="Q36" s="143" t="str">
        <f t="shared" si="3"/>
        <v/>
      </c>
      <c r="R36" s="143" t="str">
        <f t="shared" si="4"/>
        <v/>
      </c>
      <c r="S36" s="143" t="str">
        <f t="shared" si="5"/>
        <v/>
      </c>
      <c r="T36" s="123"/>
      <c r="U36" s="119"/>
      <c r="V36" s="124"/>
      <c r="W36" s="143" t="str">
        <f t="shared" si="6"/>
        <v/>
      </c>
      <c r="X36" s="143" t="str">
        <f t="shared" si="7"/>
        <v/>
      </c>
      <c r="Y36" s="143" t="str">
        <f t="shared" si="8"/>
        <v/>
      </c>
      <c r="Z36" s="150" t="str">
        <f t="shared" si="9"/>
        <v/>
      </c>
      <c r="AA36" s="143" t="str">
        <f t="shared" si="10"/>
        <v/>
      </c>
      <c r="AB36" s="152" t="str">
        <f t="shared" si="11"/>
        <v/>
      </c>
      <c r="AC36" s="158" t="str">
        <f>IF(AB36="","",IFERROR(INDEX(HELPER!$D$8:$D$48,IF(AB36&gt;=HELPER!$B$8,1,MATCH(AB36,HELPER!$B$8:$B$48,-1)+1)),""))</f>
        <v/>
      </c>
      <c r="AD36" s="155" t="str">
        <f>IF(AC36="","",IFERROR(VLOOKUP(AC36,HELPER!$F$8:$G$48,2,FALSE),""))</f>
        <v/>
      </c>
      <c r="AE36" s="135"/>
      <c r="AF36" s="90"/>
    </row>
    <row r="37" spans="1:32" ht="15" customHeight="1" x14ac:dyDescent="0.25">
      <c r="A37" s="135"/>
      <c r="B37" s="66">
        <v>20</v>
      </c>
      <c r="C37" s="204" t="str">
        <f>IF('INPUT DATA'!K30="","",'INPUT DATA'!K30)</f>
        <v/>
      </c>
      <c r="D37" s="205"/>
      <c r="E37" s="205"/>
      <c r="F37" s="123"/>
      <c r="G37" s="119"/>
      <c r="H37" s="119"/>
      <c r="I37" s="119"/>
      <c r="J37" s="124"/>
      <c r="K37" s="143" t="str">
        <f t="shared" si="0"/>
        <v/>
      </c>
      <c r="L37" s="143" t="str">
        <f t="shared" si="1"/>
        <v/>
      </c>
      <c r="M37" s="146" t="str">
        <f t="shared" si="2"/>
        <v/>
      </c>
      <c r="N37" s="123"/>
      <c r="O37" s="119"/>
      <c r="P37" s="124"/>
      <c r="Q37" s="143" t="str">
        <f t="shared" si="3"/>
        <v/>
      </c>
      <c r="R37" s="143" t="str">
        <f t="shared" si="4"/>
        <v/>
      </c>
      <c r="S37" s="143" t="str">
        <f t="shared" si="5"/>
        <v/>
      </c>
      <c r="T37" s="123"/>
      <c r="U37" s="119"/>
      <c r="V37" s="124"/>
      <c r="W37" s="143" t="str">
        <f t="shared" si="6"/>
        <v/>
      </c>
      <c r="X37" s="143" t="str">
        <f t="shared" si="7"/>
        <v/>
      </c>
      <c r="Y37" s="143" t="str">
        <f t="shared" si="8"/>
        <v/>
      </c>
      <c r="Z37" s="150" t="str">
        <f t="shared" si="9"/>
        <v/>
      </c>
      <c r="AA37" s="143" t="str">
        <f t="shared" si="10"/>
        <v/>
      </c>
      <c r="AB37" s="152" t="str">
        <f t="shared" si="11"/>
        <v/>
      </c>
      <c r="AC37" s="158" t="str">
        <f>IF(AB37="","",IFERROR(INDEX(HELPER!$D$8:$D$48,IF(AB37&gt;=HELPER!$B$8,1,MATCH(AB37,HELPER!$B$8:$B$48,-1)+1)),""))</f>
        <v/>
      </c>
      <c r="AD37" s="155" t="str">
        <f>IF(AC37="","",IFERROR(VLOOKUP(AC37,HELPER!$F$8:$G$48,2,FALSE),""))</f>
        <v/>
      </c>
      <c r="AE37" s="135"/>
      <c r="AF37" s="90"/>
    </row>
    <row r="38" spans="1:32" ht="15" customHeight="1" x14ac:dyDescent="0.25">
      <c r="A38" s="135"/>
      <c r="B38" s="66">
        <v>21</v>
      </c>
      <c r="C38" s="204" t="str">
        <f>IF('INPUT DATA'!K31="","",'INPUT DATA'!K31)</f>
        <v/>
      </c>
      <c r="D38" s="205"/>
      <c r="E38" s="205"/>
      <c r="F38" s="123"/>
      <c r="G38" s="119"/>
      <c r="H38" s="119"/>
      <c r="I38" s="119"/>
      <c r="J38" s="124"/>
      <c r="K38" s="143" t="str">
        <f t="shared" si="0"/>
        <v/>
      </c>
      <c r="L38" s="143" t="str">
        <f t="shared" si="1"/>
        <v/>
      </c>
      <c r="M38" s="146" t="str">
        <f t="shared" si="2"/>
        <v/>
      </c>
      <c r="N38" s="123"/>
      <c r="O38" s="119"/>
      <c r="P38" s="124"/>
      <c r="Q38" s="143" t="str">
        <f t="shared" si="3"/>
        <v/>
      </c>
      <c r="R38" s="143" t="str">
        <f t="shared" si="4"/>
        <v/>
      </c>
      <c r="S38" s="143" t="str">
        <f t="shared" si="5"/>
        <v/>
      </c>
      <c r="T38" s="123"/>
      <c r="U38" s="119"/>
      <c r="V38" s="124"/>
      <c r="W38" s="143" t="str">
        <f t="shared" si="6"/>
        <v/>
      </c>
      <c r="X38" s="143" t="str">
        <f t="shared" si="7"/>
        <v/>
      </c>
      <c r="Y38" s="143" t="str">
        <f t="shared" si="8"/>
        <v/>
      </c>
      <c r="Z38" s="150" t="str">
        <f t="shared" si="9"/>
        <v/>
      </c>
      <c r="AA38" s="143" t="str">
        <f t="shared" si="10"/>
        <v/>
      </c>
      <c r="AB38" s="152" t="str">
        <f t="shared" si="11"/>
        <v/>
      </c>
      <c r="AC38" s="158" t="str">
        <f>IF(AB38="","",IFERROR(INDEX(HELPER!$D$8:$D$48,IF(AB38&gt;=HELPER!$B$8,1,MATCH(AB38,HELPER!$B$8:$B$48,-1)+1)),""))</f>
        <v/>
      </c>
      <c r="AD38" s="155" t="str">
        <f>IF(AC38="","",IFERROR(VLOOKUP(AC38,HELPER!$F$8:$G$48,2,FALSE),""))</f>
        <v/>
      </c>
      <c r="AE38" s="135"/>
      <c r="AF38" s="90"/>
    </row>
    <row r="39" spans="1:32" ht="15" customHeight="1" x14ac:dyDescent="0.25">
      <c r="A39" s="135"/>
      <c r="B39" s="66">
        <v>22</v>
      </c>
      <c r="C39" s="204" t="str">
        <f>IF('INPUT DATA'!K32="","",'INPUT DATA'!K32)</f>
        <v/>
      </c>
      <c r="D39" s="205"/>
      <c r="E39" s="205"/>
      <c r="F39" s="123"/>
      <c r="G39" s="119"/>
      <c r="H39" s="119"/>
      <c r="I39" s="119"/>
      <c r="J39" s="124"/>
      <c r="K39" s="143" t="str">
        <f t="shared" si="0"/>
        <v/>
      </c>
      <c r="L39" s="143" t="str">
        <f t="shared" si="1"/>
        <v/>
      </c>
      <c r="M39" s="146" t="str">
        <f t="shared" si="2"/>
        <v/>
      </c>
      <c r="N39" s="123"/>
      <c r="O39" s="119"/>
      <c r="P39" s="124"/>
      <c r="Q39" s="143" t="str">
        <f t="shared" si="3"/>
        <v/>
      </c>
      <c r="R39" s="143" t="str">
        <f t="shared" si="4"/>
        <v/>
      </c>
      <c r="S39" s="143" t="str">
        <f t="shared" si="5"/>
        <v/>
      </c>
      <c r="T39" s="123"/>
      <c r="U39" s="119"/>
      <c r="V39" s="124"/>
      <c r="W39" s="143" t="str">
        <f t="shared" si="6"/>
        <v/>
      </c>
      <c r="X39" s="143" t="str">
        <f t="shared" si="7"/>
        <v/>
      </c>
      <c r="Y39" s="143" t="str">
        <f t="shared" si="8"/>
        <v/>
      </c>
      <c r="Z39" s="150" t="str">
        <f t="shared" si="9"/>
        <v/>
      </c>
      <c r="AA39" s="143" t="str">
        <f t="shared" si="10"/>
        <v/>
      </c>
      <c r="AB39" s="152" t="str">
        <f t="shared" si="11"/>
        <v/>
      </c>
      <c r="AC39" s="158" t="str">
        <f>IF(AB39="","",IFERROR(INDEX(HELPER!$D$8:$D$48,IF(AB39&gt;=HELPER!$B$8,1,MATCH(AB39,HELPER!$B$8:$B$48,-1)+1)),""))</f>
        <v/>
      </c>
      <c r="AD39" s="155" t="str">
        <f>IF(AC39="","",IFERROR(VLOOKUP(AC39,HELPER!$F$8:$G$48,2,FALSE),""))</f>
        <v/>
      </c>
      <c r="AE39" s="135"/>
      <c r="AF39" s="90"/>
    </row>
    <row r="40" spans="1:32" ht="15" customHeight="1" x14ac:dyDescent="0.25">
      <c r="A40" s="135"/>
      <c r="B40" s="66">
        <v>23</v>
      </c>
      <c r="C40" s="204" t="str">
        <f>IF('INPUT DATA'!K33="","",'INPUT DATA'!K33)</f>
        <v/>
      </c>
      <c r="D40" s="205"/>
      <c r="E40" s="205"/>
      <c r="F40" s="123"/>
      <c r="G40" s="119"/>
      <c r="H40" s="119"/>
      <c r="I40" s="119"/>
      <c r="J40" s="124"/>
      <c r="K40" s="143" t="str">
        <f t="shared" si="0"/>
        <v/>
      </c>
      <c r="L40" s="143" t="str">
        <f t="shared" si="1"/>
        <v/>
      </c>
      <c r="M40" s="146" t="str">
        <f t="shared" si="2"/>
        <v/>
      </c>
      <c r="N40" s="123"/>
      <c r="O40" s="119"/>
      <c r="P40" s="124"/>
      <c r="Q40" s="143" t="str">
        <f t="shared" si="3"/>
        <v/>
      </c>
      <c r="R40" s="143" t="str">
        <f t="shared" si="4"/>
        <v/>
      </c>
      <c r="S40" s="143" t="str">
        <f t="shared" si="5"/>
        <v/>
      </c>
      <c r="T40" s="123"/>
      <c r="U40" s="119"/>
      <c r="V40" s="124"/>
      <c r="W40" s="143" t="str">
        <f t="shared" si="6"/>
        <v/>
      </c>
      <c r="X40" s="143" t="str">
        <f t="shared" si="7"/>
        <v/>
      </c>
      <c r="Y40" s="143" t="str">
        <f t="shared" si="8"/>
        <v/>
      </c>
      <c r="Z40" s="150" t="str">
        <f t="shared" si="9"/>
        <v/>
      </c>
      <c r="AA40" s="143" t="str">
        <f t="shared" si="10"/>
        <v/>
      </c>
      <c r="AB40" s="152" t="str">
        <f t="shared" si="11"/>
        <v/>
      </c>
      <c r="AC40" s="158" t="str">
        <f>IF(AB40="","",IFERROR(INDEX(HELPER!$D$8:$D$48,IF(AB40&gt;=HELPER!$B$8,1,MATCH(AB40,HELPER!$B$8:$B$48,-1)+1)),""))</f>
        <v/>
      </c>
      <c r="AD40" s="155" t="str">
        <f>IF(AC40="","",IFERROR(VLOOKUP(AC40,HELPER!$F$8:$G$48,2,FALSE),""))</f>
        <v/>
      </c>
      <c r="AE40" s="135"/>
      <c r="AF40" s="90"/>
    </row>
    <row r="41" spans="1:32" ht="15" customHeight="1" x14ac:dyDescent="0.25">
      <c r="A41" s="135"/>
      <c r="B41" s="66">
        <v>24</v>
      </c>
      <c r="C41" s="204" t="str">
        <f>IF('INPUT DATA'!K34="","",'INPUT DATA'!K34)</f>
        <v/>
      </c>
      <c r="D41" s="205"/>
      <c r="E41" s="205"/>
      <c r="F41" s="123"/>
      <c r="G41" s="119"/>
      <c r="H41" s="119"/>
      <c r="I41" s="119"/>
      <c r="J41" s="124"/>
      <c r="K41" s="143" t="str">
        <f t="shared" si="0"/>
        <v/>
      </c>
      <c r="L41" s="143" t="str">
        <f t="shared" si="1"/>
        <v/>
      </c>
      <c r="M41" s="146" t="str">
        <f t="shared" si="2"/>
        <v/>
      </c>
      <c r="N41" s="123"/>
      <c r="O41" s="119"/>
      <c r="P41" s="124"/>
      <c r="Q41" s="143" t="str">
        <f t="shared" si="3"/>
        <v/>
      </c>
      <c r="R41" s="143" t="str">
        <f t="shared" si="4"/>
        <v/>
      </c>
      <c r="S41" s="143" t="str">
        <f t="shared" si="5"/>
        <v/>
      </c>
      <c r="T41" s="123"/>
      <c r="U41" s="119"/>
      <c r="V41" s="124"/>
      <c r="W41" s="143" t="str">
        <f t="shared" si="6"/>
        <v/>
      </c>
      <c r="X41" s="143" t="str">
        <f t="shared" si="7"/>
        <v/>
      </c>
      <c r="Y41" s="143" t="str">
        <f t="shared" si="8"/>
        <v/>
      </c>
      <c r="Z41" s="150" t="str">
        <f t="shared" si="9"/>
        <v/>
      </c>
      <c r="AA41" s="143" t="str">
        <f t="shared" si="10"/>
        <v/>
      </c>
      <c r="AB41" s="152" t="str">
        <f t="shared" si="11"/>
        <v/>
      </c>
      <c r="AC41" s="158" t="str">
        <f>IF(AB41="","",IFERROR(INDEX(HELPER!$D$8:$D$48,IF(AB41&gt;=HELPER!$B$8,1,MATCH(AB41,HELPER!$B$8:$B$48,-1)+1)),""))</f>
        <v/>
      </c>
      <c r="AD41" s="155" t="str">
        <f>IF(AC41="","",IFERROR(VLOOKUP(AC41,HELPER!$F$8:$G$48,2,FALSE),""))</f>
        <v/>
      </c>
      <c r="AE41" s="135"/>
      <c r="AF41" s="90"/>
    </row>
    <row r="42" spans="1:32" ht="15" customHeight="1" x14ac:dyDescent="0.25">
      <c r="A42" s="135"/>
      <c r="B42" s="66">
        <v>25</v>
      </c>
      <c r="C42" s="204" t="str">
        <f>IF('INPUT DATA'!K35="","",'INPUT DATA'!K35)</f>
        <v/>
      </c>
      <c r="D42" s="205"/>
      <c r="E42" s="205"/>
      <c r="F42" s="123"/>
      <c r="G42" s="119"/>
      <c r="H42" s="119"/>
      <c r="I42" s="119"/>
      <c r="J42" s="124"/>
      <c r="K42" s="143" t="str">
        <f t="shared" si="0"/>
        <v/>
      </c>
      <c r="L42" s="143" t="str">
        <f t="shared" si="1"/>
        <v/>
      </c>
      <c r="M42" s="146" t="str">
        <f t="shared" si="2"/>
        <v/>
      </c>
      <c r="N42" s="123"/>
      <c r="O42" s="119"/>
      <c r="P42" s="124"/>
      <c r="Q42" s="143" t="str">
        <f t="shared" si="3"/>
        <v/>
      </c>
      <c r="R42" s="143" t="str">
        <f t="shared" si="4"/>
        <v/>
      </c>
      <c r="S42" s="143" t="str">
        <f t="shared" si="5"/>
        <v/>
      </c>
      <c r="T42" s="123"/>
      <c r="U42" s="119"/>
      <c r="V42" s="124"/>
      <c r="W42" s="143" t="str">
        <f t="shared" si="6"/>
        <v/>
      </c>
      <c r="X42" s="143" t="str">
        <f t="shared" si="7"/>
        <v/>
      </c>
      <c r="Y42" s="143" t="str">
        <f t="shared" si="8"/>
        <v/>
      </c>
      <c r="Z42" s="150" t="str">
        <f t="shared" si="9"/>
        <v/>
      </c>
      <c r="AA42" s="143" t="str">
        <f t="shared" si="10"/>
        <v/>
      </c>
      <c r="AB42" s="152" t="str">
        <f t="shared" si="11"/>
        <v/>
      </c>
      <c r="AC42" s="158" t="str">
        <f>IF(AB42="","",IFERROR(INDEX(HELPER!$D$8:$D$48,IF(AB42&gt;=HELPER!$B$8,1,MATCH(AB42,HELPER!$B$8:$B$48,-1)+1)),""))</f>
        <v/>
      </c>
      <c r="AD42" s="155" t="str">
        <f>IF(AC42="","",IFERROR(VLOOKUP(AC42,HELPER!$F$8:$G$48,2,FALSE),""))</f>
        <v/>
      </c>
      <c r="AE42" s="135"/>
      <c r="AF42" s="90"/>
    </row>
    <row r="43" spans="1:32" ht="15" customHeight="1" x14ac:dyDescent="0.25">
      <c r="A43" s="135"/>
      <c r="B43" s="66">
        <v>26</v>
      </c>
      <c r="C43" s="204" t="str">
        <f>IF('INPUT DATA'!K36="","",'INPUT DATA'!K36)</f>
        <v/>
      </c>
      <c r="D43" s="205"/>
      <c r="E43" s="205"/>
      <c r="F43" s="123"/>
      <c r="G43" s="119"/>
      <c r="H43" s="119"/>
      <c r="I43" s="119"/>
      <c r="J43" s="124"/>
      <c r="K43" s="143" t="str">
        <f t="shared" si="0"/>
        <v/>
      </c>
      <c r="L43" s="143" t="str">
        <f t="shared" si="1"/>
        <v/>
      </c>
      <c r="M43" s="146" t="str">
        <f t="shared" si="2"/>
        <v/>
      </c>
      <c r="N43" s="123"/>
      <c r="O43" s="119"/>
      <c r="P43" s="124"/>
      <c r="Q43" s="143" t="str">
        <f t="shared" si="3"/>
        <v/>
      </c>
      <c r="R43" s="143" t="str">
        <f t="shared" si="4"/>
        <v/>
      </c>
      <c r="S43" s="143" t="str">
        <f t="shared" si="5"/>
        <v/>
      </c>
      <c r="T43" s="123"/>
      <c r="U43" s="119"/>
      <c r="V43" s="124"/>
      <c r="W43" s="143" t="str">
        <f t="shared" si="6"/>
        <v/>
      </c>
      <c r="X43" s="143" t="str">
        <f t="shared" si="7"/>
        <v/>
      </c>
      <c r="Y43" s="143" t="str">
        <f t="shared" si="8"/>
        <v/>
      </c>
      <c r="Z43" s="150" t="str">
        <f t="shared" si="9"/>
        <v/>
      </c>
      <c r="AA43" s="143" t="str">
        <f t="shared" si="10"/>
        <v/>
      </c>
      <c r="AB43" s="152" t="str">
        <f t="shared" si="11"/>
        <v/>
      </c>
      <c r="AC43" s="158" t="str">
        <f>IF(AB43="","",IFERROR(INDEX(HELPER!$D$8:$D$48,IF(AB43&gt;=HELPER!$B$8,1,MATCH(AB43,HELPER!$B$8:$B$48,-1)+1)),""))</f>
        <v/>
      </c>
      <c r="AD43" s="155" t="str">
        <f>IF(AC43="","",IFERROR(VLOOKUP(AC43,HELPER!$F$8:$G$48,2,FALSE),""))</f>
        <v/>
      </c>
      <c r="AE43" s="135"/>
      <c r="AF43" s="90"/>
    </row>
    <row r="44" spans="1:32" ht="15" customHeight="1" x14ac:dyDescent="0.25">
      <c r="A44" s="135"/>
      <c r="B44" s="66">
        <v>27</v>
      </c>
      <c r="C44" s="204" t="str">
        <f>IF('INPUT DATA'!K37="","",'INPUT DATA'!K37)</f>
        <v/>
      </c>
      <c r="D44" s="205"/>
      <c r="E44" s="205"/>
      <c r="F44" s="123"/>
      <c r="G44" s="119"/>
      <c r="H44" s="119"/>
      <c r="I44" s="119"/>
      <c r="J44" s="124"/>
      <c r="K44" s="143" t="str">
        <f t="shared" si="0"/>
        <v/>
      </c>
      <c r="L44" s="143" t="str">
        <f t="shared" si="1"/>
        <v/>
      </c>
      <c r="M44" s="146" t="str">
        <f t="shared" si="2"/>
        <v/>
      </c>
      <c r="N44" s="123"/>
      <c r="O44" s="119"/>
      <c r="P44" s="124"/>
      <c r="Q44" s="143" t="str">
        <f t="shared" si="3"/>
        <v/>
      </c>
      <c r="R44" s="143" t="str">
        <f t="shared" si="4"/>
        <v/>
      </c>
      <c r="S44" s="143" t="str">
        <f t="shared" si="5"/>
        <v/>
      </c>
      <c r="T44" s="123"/>
      <c r="U44" s="119"/>
      <c r="V44" s="124"/>
      <c r="W44" s="143" t="str">
        <f t="shared" si="6"/>
        <v/>
      </c>
      <c r="X44" s="143" t="str">
        <f t="shared" si="7"/>
        <v/>
      </c>
      <c r="Y44" s="143" t="str">
        <f t="shared" si="8"/>
        <v/>
      </c>
      <c r="Z44" s="150" t="str">
        <f t="shared" si="9"/>
        <v/>
      </c>
      <c r="AA44" s="143" t="str">
        <f t="shared" si="10"/>
        <v/>
      </c>
      <c r="AB44" s="152" t="str">
        <f t="shared" si="11"/>
        <v/>
      </c>
      <c r="AC44" s="158" t="str">
        <f>IF(AB44="","",IFERROR(INDEX(HELPER!$D$8:$D$48,IF(AB44&gt;=HELPER!$B$8,1,MATCH(AB44,HELPER!$B$8:$B$48,-1)+1)),""))</f>
        <v/>
      </c>
      <c r="AD44" s="155" t="str">
        <f>IF(AC44="","",IFERROR(VLOOKUP(AC44,HELPER!$F$8:$G$48,2,FALSE),""))</f>
        <v/>
      </c>
      <c r="AE44" s="135"/>
      <c r="AF44" s="90"/>
    </row>
    <row r="45" spans="1:32" ht="15" customHeight="1" x14ac:dyDescent="0.25">
      <c r="A45" s="135"/>
      <c r="B45" s="66">
        <v>28</v>
      </c>
      <c r="C45" s="204" t="str">
        <f>IF('INPUT DATA'!K38="","",'INPUT DATA'!K38)</f>
        <v/>
      </c>
      <c r="D45" s="205"/>
      <c r="E45" s="205"/>
      <c r="F45" s="123"/>
      <c r="G45" s="119"/>
      <c r="H45" s="119"/>
      <c r="I45" s="119"/>
      <c r="J45" s="124"/>
      <c r="K45" s="143" t="str">
        <f t="shared" si="0"/>
        <v/>
      </c>
      <c r="L45" s="143" t="str">
        <f t="shared" si="1"/>
        <v/>
      </c>
      <c r="M45" s="146" t="str">
        <f t="shared" si="2"/>
        <v/>
      </c>
      <c r="N45" s="123"/>
      <c r="O45" s="119"/>
      <c r="P45" s="124"/>
      <c r="Q45" s="143" t="str">
        <f t="shared" si="3"/>
        <v/>
      </c>
      <c r="R45" s="143" t="str">
        <f t="shared" si="4"/>
        <v/>
      </c>
      <c r="S45" s="143" t="str">
        <f t="shared" si="5"/>
        <v/>
      </c>
      <c r="T45" s="123"/>
      <c r="U45" s="119"/>
      <c r="V45" s="124"/>
      <c r="W45" s="143" t="str">
        <f t="shared" si="6"/>
        <v/>
      </c>
      <c r="X45" s="143" t="str">
        <f t="shared" si="7"/>
        <v/>
      </c>
      <c r="Y45" s="143" t="str">
        <f t="shared" si="8"/>
        <v/>
      </c>
      <c r="Z45" s="150" t="str">
        <f t="shared" si="9"/>
        <v/>
      </c>
      <c r="AA45" s="143" t="str">
        <f t="shared" si="10"/>
        <v/>
      </c>
      <c r="AB45" s="152" t="str">
        <f t="shared" si="11"/>
        <v/>
      </c>
      <c r="AC45" s="158" t="str">
        <f>IF(AB45="","",IFERROR(INDEX(HELPER!$D$8:$D$48,IF(AB45&gt;=HELPER!$B$8,1,MATCH(AB45,HELPER!$B$8:$B$48,-1)+1)),""))</f>
        <v/>
      </c>
      <c r="AD45" s="155" t="str">
        <f>IF(AC45="","",IFERROR(VLOOKUP(AC45,HELPER!$F$8:$G$48,2,FALSE),""))</f>
        <v/>
      </c>
      <c r="AE45" s="135"/>
      <c r="AF45" s="90"/>
    </row>
    <row r="46" spans="1:32" ht="15" customHeight="1" x14ac:dyDescent="0.25">
      <c r="A46" s="135"/>
      <c r="B46" s="66">
        <v>29</v>
      </c>
      <c r="C46" s="204" t="str">
        <f>IF('INPUT DATA'!K39="","",'INPUT DATA'!K39)</f>
        <v/>
      </c>
      <c r="D46" s="205"/>
      <c r="E46" s="205"/>
      <c r="F46" s="123"/>
      <c r="G46" s="119"/>
      <c r="H46" s="119"/>
      <c r="I46" s="119"/>
      <c r="J46" s="124"/>
      <c r="K46" s="143" t="str">
        <f t="shared" si="0"/>
        <v/>
      </c>
      <c r="L46" s="143" t="str">
        <f t="shared" si="1"/>
        <v/>
      </c>
      <c r="M46" s="146" t="str">
        <f t="shared" si="2"/>
        <v/>
      </c>
      <c r="N46" s="123"/>
      <c r="O46" s="119"/>
      <c r="P46" s="124"/>
      <c r="Q46" s="143" t="str">
        <f t="shared" si="3"/>
        <v/>
      </c>
      <c r="R46" s="143" t="str">
        <f t="shared" si="4"/>
        <v/>
      </c>
      <c r="S46" s="143" t="str">
        <f t="shared" si="5"/>
        <v/>
      </c>
      <c r="T46" s="123"/>
      <c r="U46" s="119"/>
      <c r="V46" s="124"/>
      <c r="W46" s="143" t="str">
        <f t="shared" si="6"/>
        <v/>
      </c>
      <c r="X46" s="143" t="str">
        <f t="shared" si="7"/>
        <v/>
      </c>
      <c r="Y46" s="143" t="str">
        <f t="shared" si="8"/>
        <v/>
      </c>
      <c r="Z46" s="150" t="str">
        <f t="shared" si="9"/>
        <v/>
      </c>
      <c r="AA46" s="143" t="str">
        <f t="shared" si="10"/>
        <v/>
      </c>
      <c r="AB46" s="152" t="str">
        <f t="shared" si="11"/>
        <v/>
      </c>
      <c r="AC46" s="158" t="str">
        <f>IF(AB46="","",IFERROR(INDEX(HELPER!$D$8:$D$48,IF(AB46&gt;=HELPER!$B$8,1,MATCH(AB46,HELPER!$B$8:$B$48,-1)+1)),""))</f>
        <v/>
      </c>
      <c r="AD46" s="155" t="str">
        <f>IF(AC46="","",IFERROR(VLOOKUP(AC46,HELPER!$F$8:$G$48,2,FALSE),""))</f>
        <v/>
      </c>
      <c r="AE46" s="135"/>
      <c r="AF46" s="90"/>
    </row>
    <row r="47" spans="1:32" ht="15" customHeight="1" x14ac:dyDescent="0.25">
      <c r="A47" s="135"/>
      <c r="B47" s="66">
        <v>30</v>
      </c>
      <c r="C47" s="204" t="str">
        <f>IF('INPUT DATA'!K40="","",'INPUT DATA'!K40)</f>
        <v/>
      </c>
      <c r="D47" s="205"/>
      <c r="E47" s="205"/>
      <c r="F47" s="123"/>
      <c r="G47" s="119"/>
      <c r="H47" s="119"/>
      <c r="I47" s="119"/>
      <c r="J47" s="124"/>
      <c r="K47" s="143" t="str">
        <f t="shared" si="0"/>
        <v/>
      </c>
      <c r="L47" s="143" t="str">
        <f t="shared" si="1"/>
        <v/>
      </c>
      <c r="M47" s="146" t="str">
        <f t="shared" si="2"/>
        <v/>
      </c>
      <c r="N47" s="123"/>
      <c r="O47" s="119"/>
      <c r="P47" s="124"/>
      <c r="Q47" s="143" t="str">
        <f t="shared" si="3"/>
        <v/>
      </c>
      <c r="R47" s="143" t="str">
        <f t="shared" si="4"/>
        <v/>
      </c>
      <c r="S47" s="143" t="str">
        <f t="shared" si="5"/>
        <v/>
      </c>
      <c r="T47" s="123"/>
      <c r="U47" s="119"/>
      <c r="V47" s="124"/>
      <c r="W47" s="143" t="str">
        <f t="shared" si="6"/>
        <v/>
      </c>
      <c r="X47" s="143" t="str">
        <f t="shared" si="7"/>
        <v/>
      </c>
      <c r="Y47" s="143" t="str">
        <f t="shared" si="8"/>
        <v/>
      </c>
      <c r="Z47" s="150" t="str">
        <f t="shared" si="9"/>
        <v/>
      </c>
      <c r="AA47" s="143" t="str">
        <f t="shared" si="10"/>
        <v/>
      </c>
      <c r="AB47" s="152" t="str">
        <f t="shared" si="11"/>
        <v/>
      </c>
      <c r="AC47" s="158" t="str">
        <f>IF(AB47="","",IFERROR(INDEX(HELPER!$D$8:$D$48,IF(AB47&gt;=HELPER!$B$8,1,MATCH(AB47,HELPER!$B$8:$B$48,-1)+1)),""))</f>
        <v/>
      </c>
      <c r="AD47" s="155" t="str">
        <f>IF(AC47="","",IFERROR(VLOOKUP(AC47,HELPER!$F$8:$G$48,2,FALSE),""))</f>
        <v/>
      </c>
      <c r="AE47" s="135"/>
      <c r="AF47" s="90"/>
    </row>
    <row r="48" spans="1:32" ht="15" customHeight="1" x14ac:dyDescent="0.25">
      <c r="A48" s="135"/>
      <c r="B48" s="66">
        <v>31</v>
      </c>
      <c r="C48" s="204" t="str">
        <f>IF('INPUT DATA'!K41="","",'INPUT DATA'!K41)</f>
        <v/>
      </c>
      <c r="D48" s="205"/>
      <c r="E48" s="205"/>
      <c r="F48" s="123"/>
      <c r="G48" s="119"/>
      <c r="H48" s="119"/>
      <c r="I48" s="119"/>
      <c r="J48" s="124"/>
      <c r="K48" s="143" t="str">
        <f t="shared" si="0"/>
        <v/>
      </c>
      <c r="L48" s="143" t="str">
        <f t="shared" si="1"/>
        <v/>
      </c>
      <c r="M48" s="146" t="str">
        <f t="shared" si="2"/>
        <v/>
      </c>
      <c r="N48" s="123"/>
      <c r="O48" s="119"/>
      <c r="P48" s="124"/>
      <c r="Q48" s="143" t="str">
        <f t="shared" si="3"/>
        <v/>
      </c>
      <c r="R48" s="143" t="str">
        <f t="shared" si="4"/>
        <v/>
      </c>
      <c r="S48" s="143" t="str">
        <f t="shared" si="5"/>
        <v/>
      </c>
      <c r="T48" s="123"/>
      <c r="U48" s="119"/>
      <c r="V48" s="124"/>
      <c r="W48" s="143" t="str">
        <f t="shared" si="6"/>
        <v/>
      </c>
      <c r="X48" s="143" t="str">
        <f t="shared" si="7"/>
        <v/>
      </c>
      <c r="Y48" s="143" t="str">
        <f t="shared" si="8"/>
        <v/>
      </c>
      <c r="Z48" s="150" t="str">
        <f t="shared" si="9"/>
        <v/>
      </c>
      <c r="AA48" s="143" t="str">
        <f t="shared" si="10"/>
        <v/>
      </c>
      <c r="AB48" s="152" t="str">
        <f t="shared" si="11"/>
        <v/>
      </c>
      <c r="AC48" s="158" t="str">
        <f>IF(AB48="","",IFERROR(INDEX(HELPER!$D$8:$D$48,IF(AB48&gt;=HELPER!$B$8,1,MATCH(AB48,HELPER!$B$8:$B$48,-1)+1)),""))</f>
        <v/>
      </c>
      <c r="AD48" s="155" t="str">
        <f>IF(AC48="","",IFERROR(VLOOKUP(AC48,HELPER!$F$8:$G$48,2,FALSE),""))</f>
        <v/>
      </c>
      <c r="AE48" s="135"/>
      <c r="AF48" s="90"/>
    </row>
    <row r="49" spans="1:32" ht="15" customHeight="1" x14ac:dyDescent="0.25">
      <c r="A49" s="135"/>
      <c r="B49" s="66">
        <v>32</v>
      </c>
      <c r="C49" s="204" t="str">
        <f>IF('INPUT DATA'!K42="","",'INPUT DATA'!K42)</f>
        <v/>
      </c>
      <c r="D49" s="205"/>
      <c r="E49" s="205"/>
      <c r="F49" s="123"/>
      <c r="G49" s="119"/>
      <c r="H49" s="119"/>
      <c r="I49" s="119"/>
      <c r="J49" s="124"/>
      <c r="K49" s="143" t="str">
        <f t="shared" si="0"/>
        <v/>
      </c>
      <c r="L49" s="143" t="str">
        <f t="shared" si="1"/>
        <v/>
      </c>
      <c r="M49" s="146" t="str">
        <f t="shared" si="2"/>
        <v/>
      </c>
      <c r="N49" s="123"/>
      <c r="O49" s="119"/>
      <c r="P49" s="124"/>
      <c r="Q49" s="143" t="str">
        <f t="shared" si="3"/>
        <v/>
      </c>
      <c r="R49" s="143" t="str">
        <f t="shared" si="4"/>
        <v/>
      </c>
      <c r="S49" s="143" t="str">
        <f t="shared" si="5"/>
        <v/>
      </c>
      <c r="T49" s="123"/>
      <c r="U49" s="119"/>
      <c r="V49" s="124"/>
      <c r="W49" s="143" t="str">
        <f t="shared" si="6"/>
        <v/>
      </c>
      <c r="X49" s="143" t="str">
        <f t="shared" si="7"/>
        <v/>
      </c>
      <c r="Y49" s="143" t="str">
        <f t="shared" si="8"/>
        <v/>
      </c>
      <c r="Z49" s="150" t="str">
        <f t="shared" si="9"/>
        <v/>
      </c>
      <c r="AA49" s="143" t="str">
        <f t="shared" si="10"/>
        <v/>
      </c>
      <c r="AB49" s="152" t="str">
        <f t="shared" si="11"/>
        <v/>
      </c>
      <c r="AC49" s="158" t="str">
        <f>IF(AB49="","",IFERROR(INDEX(HELPER!$D$8:$D$48,IF(AB49&gt;=HELPER!$B$8,1,MATCH(AB49,HELPER!$B$8:$B$48,-1)+1)),""))</f>
        <v/>
      </c>
      <c r="AD49" s="155" t="str">
        <f>IF(AC49="","",IFERROR(VLOOKUP(AC49,HELPER!$F$8:$G$48,2,FALSE),""))</f>
        <v/>
      </c>
      <c r="AE49" s="135"/>
      <c r="AF49" s="90"/>
    </row>
    <row r="50" spans="1:32" ht="15" customHeight="1" x14ac:dyDescent="0.25">
      <c r="A50" s="135"/>
      <c r="B50" s="66">
        <v>33</v>
      </c>
      <c r="C50" s="204" t="str">
        <f>IF('INPUT DATA'!K43="","",'INPUT DATA'!K43)</f>
        <v/>
      </c>
      <c r="D50" s="205"/>
      <c r="E50" s="205"/>
      <c r="F50" s="123"/>
      <c r="G50" s="119"/>
      <c r="H50" s="119"/>
      <c r="I50" s="119"/>
      <c r="J50" s="124"/>
      <c r="K50" s="143" t="str">
        <f t="shared" si="0"/>
        <v/>
      </c>
      <c r="L50" s="143" t="str">
        <f t="shared" si="1"/>
        <v/>
      </c>
      <c r="M50" s="146" t="str">
        <f t="shared" si="2"/>
        <v/>
      </c>
      <c r="N50" s="123"/>
      <c r="O50" s="119"/>
      <c r="P50" s="124"/>
      <c r="Q50" s="143" t="str">
        <f t="shared" si="3"/>
        <v/>
      </c>
      <c r="R50" s="143" t="str">
        <f t="shared" si="4"/>
        <v/>
      </c>
      <c r="S50" s="143" t="str">
        <f t="shared" si="5"/>
        <v/>
      </c>
      <c r="T50" s="123"/>
      <c r="U50" s="119"/>
      <c r="V50" s="124"/>
      <c r="W50" s="143" t="str">
        <f t="shared" si="6"/>
        <v/>
      </c>
      <c r="X50" s="143" t="str">
        <f t="shared" si="7"/>
        <v/>
      </c>
      <c r="Y50" s="143" t="str">
        <f t="shared" si="8"/>
        <v/>
      </c>
      <c r="Z50" s="150" t="str">
        <f t="shared" si="9"/>
        <v/>
      </c>
      <c r="AA50" s="143" t="str">
        <f t="shared" si="10"/>
        <v/>
      </c>
      <c r="AB50" s="152" t="str">
        <f t="shared" si="11"/>
        <v/>
      </c>
      <c r="AC50" s="158" t="str">
        <f>IF(AB50="","",IFERROR(INDEX(HELPER!$D$8:$D$48,IF(AB50&gt;=HELPER!$B$8,1,MATCH(AB50,HELPER!$B$8:$B$48,-1)+1)),""))</f>
        <v/>
      </c>
      <c r="AD50" s="155" t="str">
        <f>IF(AC50="","",IFERROR(VLOOKUP(AC50,HELPER!$F$8:$G$48,2,FALSE),""))</f>
        <v/>
      </c>
      <c r="AE50" s="135"/>
      <c r="AF50" s="90"/>
    </row>
    <row r="51" spans="1:32" ht="15" customHeight="1" x14ac:dyDescent="0.25">
      <c r="A51" s="135"/>
      <c r="B51" s="66">
        <v>34</v>
      </c>
      <c r="C51" s="204" t="str">
        <f>IF('INPUT DATA'!K44="","",'INPUT DATA'!K44)</f>
        <v/>
      </c>
      <c r="D51" s="205"/>
      <c r="E51" s="205"/>
      <c r="F51" s="123"/>
      <c r="G51" s="119"/>
      <c r="H51" s="119"/>
      <c r="I51" s="119"/>
      <c r="J51" s="124"/>
      <c r="K51" s="143" t="str">
        <f t="shared" si="0"/>
        <v/>
      </c>
      <c r="L51" s="143" t="str">
        <f t="shared" si="1"/>
        <v/>
      </c>
      <c r="M51" s="146" t="str">
        <f t="shared" si="2"/>
        <v/>
      </c>
      <c r="N51" s="123"/>
      <c r="O51" s="119"/>
      <c r="P51" s="124"/>
      <c r="Q51" s="143" t="str">
        <f t="shared" si="3"/>
        <v/>
      </c>
      <c r="R51" s="143" t="str">
        <f t="shared" si="4"/>
        <v/>
      </c>
      <c r="S51" s="143" t="str">
        <f t="shared" si="5"/>
        <v/>
      </c>
      <c r="T51" s="123"/>
      <c r="U51" s="119"/>
      <c r="V51" s="124"/>
      <c r="W51" s="143" t="str">
        <f t="shared" si="6"/>
        <v/>
      </c>
      <c r="X51" s="143" t="str">
        <f t="shared" si="7"/>
        <v/>
      </c>
      <c r="Y51" s="143" t="str">
        <f t="shared" si="8"/>
        <v/>
      </c>
      <c r="Z51" s="150" t="str">
        <f t="shared" si="9"/>
        <v/>
      </c>
      <c r="AA51" s="143" t="str">
        <f t="shared" si="10"/>
        <v/>
      </c>
      <c r="AB51" s="152" t="str">
        <f t="shared" si="11"/>
        <v/>
      </c>
      <c r="AC51" s="158" t="str">
        <f>IF(AB51="","",IFERROR(INDEX(HELPER!$D$8:$D$48,IF(AB51&gt;=HELPER!$B$8,1,MATCH(AB51,HELPER!$B$8:$B$48,-1)+1)),""))</f>
        <v/>
      </c>
      <c r="AD51" s="155" t="str">
        <f>IF(AC51="","",IFERROR(VLOOKUP(AC51,HELPER!$F$8:$G$48,2,FALSE),""))</f>
        <v/>
      </c>
      <c r="AE51" s="135"/>
      <c r="AF51" s="90"/>
    </row>
    <row r="52" spans="1:32" ht="15" customHeight="1" x14ac:dyDescent="0.25">
      <c r="A52" s="135"/>
      <c r="B52" s="66">
        <v>35</v>
      </c>
      <c r="C52" s="204" t="str">
        <f>IF('INPUT DATA'!K45="","",'INPUT DATA'!K45)</f>
        <v/>
      </c>
      <c r="D52" s="205"/>
      <c r="E52" s="205"/>
      <c r="F52" s="123"/>
      <c r="G52" s="119"/>
      <c r="H52" s="119"/>
      <c r="I52" s="119"/>
      <c r="J52" s="124"/>
      <c r="K52" s="143" t="str">
        <f t="shared" si="0"/>
        <v/>
      </c>
      <c r="L52" s="143" t="str">
        <f t="shared" si="1"/>
        <v/>
      </c>
      <c r="M52" s="146" t="str">
        <f t="shared" si="2"/>
        <v/>
      </c>
      <c r="N52" s="123"/>
      <c r="O52" s="119"/>
      <c r="P52" s="124"/>
      <c r="Q52" s="143" t="str">
        <f t="shared" si="3"/>
        <v/>
      </c>
      <c r="R52" s="143" t="str">
        <f t="shared" si="4"/>
        <v/>
      </c>
      <c r="S52" s="143" t="str">
        <f t="shared" si="5"/>
        <v/>
      </c>
      <c r="T52" s="123"/>
      <c r="U52" s="119"/>
      <c r="V52" s="124"/>
      <c r="W52" s="143" t="str">
        <f t="shared" si="6"/>
        <v/>
      </c>
      <c r="X52" s="143" t="str">
        <f t="shared" si="7"/>
        <v/>
      </c>
      <c r="Y52" s="143" t="str">
        <f t="shared" si="8"/>
        <v/>
      </c>
      <c r="Z52" s="150" t="str">
        <f t="shared" si="9"/>
        <v/>
      </c>
      <c r="AA52" s="143" t="str">
        <f t="shared" si="10"/>
        <v/>
      </c>
      <c r="AB52" s="152" t="str">
        <f t="shared" si="11"/>
        <v/>
      </c>
      <c r="AC52" s="158" t="str">
        <f>IF(AB52="","",IFERROR(INDEX(HELPER!$D$8:$D$48,IF(AB52&gt;=HELPER!$B$8,1,MATCH(AB52,HELPER!$B$8:$B$48,-1)+1)),""))</f>
        <v/>
      </c>
      <c r="AD52" s="155" t="str">
        <f>IF(AC52="","",IFERROR(VLOOKUP(AC52,HELPER!$F$8:$G$48,2,FALSE),""))</f>
        <v/>
      </c>
      <c r="AE52" s="135"/>
      <c r="AF52" s="90"/>
    </row>
    <row r="53" spans="1:32" ht="15" customHeight="1" x14ac:dyDescent="0.25">
      <c r="A53" s="135"/>
      <c r="B53" s="66">
        <v>36</v>
      </c>
      <c r="C53" s="204" t="str">
        <f>IF('INPUT DATA'!K46="","",'INPUT DATA'!K46)</f>
        <v/>
      </c>
      <c r="D53" s="205"/>
      <c r="E53" s="205"/>
      <c r="F53" s="123"/>
      <c r="G53" s="119"/>
      <c r="H53" s="119"/>
      <c r="I53" s="119"/>
      <c r="J53" s="124"/>
      <c r="K53" s="143" t="str">
        <f t="shared" si="0"/>
        <v/>
      </c>
      <c r="L53" s="143" t="str">
        <f t="shared" si="1"/>
        <v/>
      </c>
      <c r="M53" s="146" t="str">
        <f t="shared" si="2"/>
        <v/>
      </c>
      <c r="N53" s="123"/>
      <c r="O53" s="119"/>
      <c r="P53" s="124"/>
      <c r="Q53" s="143" t="str">
        <f t="shared" si="3"/>
        <v/>
      </c>
      <c r="R53" s="143" t="str">
        <f t="shared" si="4"/>
        <v/>
      </c>
      <c r="S53" s="143" t="str">
        <f t="shared" si="5"/>
        <v/>
      </c>
      <c r="T53" s="123"/>
      <c r="U53" s="119"/>
      <c r="V53" s="124"/>
      <c r="W53" s="143" t="str">
        <f t="shared" si="6"/>
        <v/>
      </c>
      <c r="X53" s="143" t="str">
        <f t="shared" si="7"/>
        <v/>
      </c>
      <c r="Y53" s="143" t="str">
        <f t="shared" si="8"/>
        <v/>
      </c>
      <c r="Z53" s="150" t="str">
        <f t="shared" si="9"/>
        <v/>
      </c>
      <c r="AA53" s="143" t="str">
        <f t="shared" si="10"/>
        <v/>
      </c>
      <c r="AB53" s="152" t="str">
        <f t="shared" si="11"/>
        <v/>
      </c>
      <c r="AC53" s="158" t="str">
        <f>IF(AB53="","",IFERROR(INDEX(HELPER!$D$8:$D$48,IF(AB53&gt;=HELPER!$B$8,1,MATCH(AB53,HELPER!$B$8:$B$48,-1)+1)),""))</f>
        <v/>
      </c>
      <c r="AD53" s="155" t="str">
        <f>IF(AC53="","",IFERROR(VLOOKUP(AC53,HELPER!$F$8:$G$48,2,FALSE),""))</f>
        <v/>
      </c>
      <c r="AE53" s="135"/>
      <c r="AF53" s="90"/>
    </row>
    <row r="54" spans="1:32" ht="15" customHeight="1" x14ac:dyDescent="0.25">
      <c r="A54" s="135"/>
      <c r="B54" s="66">
        <v>37</v>
      </c>
      <c r="C54" s="204" t="str">
        <f>IF('INPUT DATA'!K47="","",'INPUT DATA'!K47)</f>
        <v/>
      </c>
      <c r="D54" s="205"/>
      <c r="E54" s="205"/>
      <c r="F54" s="123"/>
      <c r="G54" s="119"/>
      <c r="H54" s="119"/>
      <c r="I54" s="119"/>
      <c r="J54" s="124"/>
      <c r="K54" s="143" t="str">
        <f t="shared" si="0"/>
        <v/>
      </c>
      <c r="L54" s="143" t="str">
        <f t="shared" si="1"/>
        <v/>
      </c>
      <c r="M54" s="146" t="str">
        <f t="shared" si="2"/>
        <v/>
      </c>
      <c r="N54" s="123"/>
      <c r="O54" s="119"/>
      <c r="P54" s="124"/>
      <c r="Q54" s="143" t="str">
        <f t="shared" si="3"/>
        <v/>
      </c>
      <c r="R54" s="143" t="str">
        <f t="shared" si="4"/>
        <v/>
      </c>
      <c r="S54" s="143" t="str">
        <f t="shared" si="5"/>
        <v/>
      </c>
      <c r="T54" s="123"/>
      <c r="U54" s="119"/>
      <c r="V54" s="124"/>
      <c r="W54" s="143" t="str">
        <f t="shared" si="6"/>
        <v/>
      </c>
      <c r="X54" s="143" t="str">
        <f t="shared" si="7"/>
        <v/>
      </c>
      <c r="Y54" s="143" t="str">
        <f t="shared" si="8"/>
        <v/>
      </c>
      <c r="Z54" s="150" t="str">
        <f t="shared" si="9"/>
        <v/>
      </c>
      <c r="AA54" s="143" t="str">
        <f t="shared" si="10"/>
        <v/>
      </c>
      <c r="AB54" s="152" t="str">
        <f t="shared" si="11"/>
        <v/>
      </c>
      <c r="AC54" s="158" t="str">
        <f>IF(AB54="","",IFERROR(INDEX(HELPER!$D$8:$D$48,IF(AB54&gt;=HELPER!$B$8,1,MATCH(AB54,HELPER!$B$8:$B$48,-1)+1)),""))</f>
        <v/>
      </c>
      <c r="AD54" s="155" t="str">
        <f>IF(AC54="","",IFERROR(VLOOKUP(AC54,HELPER!$F$8:$G$48,2,FALSE),""))</f>
        <v/>
      </c>
      <c r="AE54" s="135"/>
      <c r="AF54" s="90"/>
    </row>
    <row r="55" spans="1:32" ht="15" customHeight="1" x14ac:dyDescent="0.25">
      <c r="A55" s="135"/>
      <c r="B55" s="66">
        <v>38</v>
      </c>
      <c r="C55" s="204" t="str">
        <f>IF('INPUT DATA'!K48="","",'INPUT DATA'!K48)</f>
        <v/>
      </c>
      <c r="D55" s="205"/>
      <c r="E55" s="205"/>
      <c r="F55" s="123"/>
      <c r="G55" s="119"/>
      <c r="H55" s="119"/>
      <c r="I55" s="119"/>
      <c r="J55" s="124"/>
      <c r="K55" s="143" t="str">
        <f t="shared" si="0"/>
        <v/>
      </c>
      <c r="L55" s="143" t="str">
        <f t="shared" si="1"/>
        <v/>
      </c>
      <c r="M55" s="146" t="str">
        <f t="shared" si="2"/>
        <v/>
      </c>
      <c r="N55" s="123"/>
      <c r="O55" s="119"/>
      <c r="P55" s="124"/>
      <c r="Q55" s="143" t="str">
        <f t="shared" si="3"/>
        <v/>
      </c>
      <c r="R55" s="143" t="str">
        <f t="shared" si="4"/>
        <v/>
      </c>
      <c r="S55" s="143" t="str">
        <f t="shared" si="5"/>
        <v/>
      </c>
      <c r="T55" s="123"/>
      <c r="U55" s="119"/>
      <c r="V55" s="124"/>
      <c r="W55" s="143" t="str">
        <f t="shared" si="6"/>
        <v/>
      </c>
      <c r="X55" s="143" t="str">
        <f t="shared" si="7"/>
        <v/>
      </c>
      <c r="Y55" s="143" t="str">
        <f t="shared" si="8"/>
        <v/>
      </c>
      <c r="Z55" s="150" t="str">
        <f t="shared" si="9"/>
        <v/>
      </c>
      <c r="AA55" s="143" t="str">
        <f t="shared" si="10"/>
        <v/>
      </c>
      <c r="AB55" s="152" t="str">
        <f t="shared" si="11"/>
        <v/>
      </c>
      <c r="AC55" s="158" t="str">
        <f>IF(AB55="","",IFERROR(INDEX(HELPER!$D$8:$D$48,IF(AB55&gt;=HELPER!$B$8,1,MATCH(AB55,HELPER!$B$8:$B$48,-1)+1)),""))</f>
        <v/>
      </c>
      <c r="AD55" s="155" t="str">
        <f>IF(AC55="","",IFERROR(VLOOKUP(AC55,HELPER!$F$8:$G$48,2,FALSE),""))</f>
        <v/>
      </c>
      <c r="AE55" s="135"/>
      <c r="AF55" s="90"/>
    </row>
    <row r="56" spans="1:32" ht="15" customHeight="1" x14ac:dyDescent="0.25">
      <c r="A56" s="135"/>
      <c r="B56" s="66">
        <v>39</v>
      </c>
      <c r="C56" s="204" t="str">
        <f>IF('INPUT DATA'!K49="","",'INPUT DATA'!K49)</f>
        <v/>
      </c>
      <c r="D56" s="205"/>
      <c r="E56" s="205"/>
      <c r="F56" s="123"/>
      <c r="G56" s="119"/>
      <c r="H56" s="119"/>
      <c r="I56" s="119"/>
      <c r="J56" s="124"/>
      <c r="K56" s="143" t="str">
        <f t="shared" si="0"/>
        <v/>
      </c>
      <c r="L56" s="143" t="str">
        <f t="shared" si="1"/>
        <v/>
      </c>
      <c r="M56" s="146" t="str">
        <f t="shared" si="2"/>
        <v/>
      </c>
      <c r="N56" s="123"/>
      <c r="O56" s="119"/>
      <c r="P56" s="124"/>
      <c r="Q56" s="143" t="str">
        <f t="shared" si="3"/>
        <v/>
      </c>
      <c r="R56" s="143" t="str">
        <f t="shared" si="4"/>
        <v/>
      </c>
      <c r="S56" s="143" t="str">
        <f t="shared" si="5"/>
        <v/>
      </c>
      <c r="T56" s="123"/>
      <c r="U56" s="119"/>
      <c r="V56" s="124"/>
      <c r="W56" s="143" t="str">
        <f t="shared" si="6"/>
        <v/>
      </c>
      <c r="X56" s="143" t="str">
        <f t="shared" si="7"/>
        <v/>
      </c>
      <c r="Y56" s="143" t="str">
        <f t="shared" si="8"/>
        <v/>
      </c>
      <c r="Z56" s="150" t="str">
        <f t="shared" si="9"/>
        <v/>
      </c>
      <c r="AA56" s="143" t="str">
        <f t="shared" si="10"/>
        <v/>
      </c>
      <c r="AB56" s="152" t="str">
        <f t="shared" si="11"/>
        <v/>
      </c>
      <c r="AC56" s="158" t="str">
        <f>IF(AB56="","",IFERROR(INDEX(HELPER!$D$8:$D$48,IF(AB56&gt;=HELPER!$B$8,1,MATCH(AB56,HELPER!$B$8:$B$48,-1)+1)),""))</f>
        <v/>
      </c>
      <c r="AD56" s="155" t="str">
        <f>IF(AC56="","",IFERROR(VLOOKUP(AC56,HELPER!$F$8:$G$48,2,FALSE),""))</f>
        <v/>
      </c>
      <c r="AE56" s="135"/>
      <c r="AF56" s="90"/>
    </row>
    <row r="57" spans="1:32" ht="15" customHeight="1" x14ac:dyDescent="0.25">
      <c r="A57" s="135"/>
      <c r="B57" s="66">
        <v>40</v>
      </c>
      <c r="C57" s="204" t="str">
        <f>IF('INPUT DATA'!K50="","",'INPUT DATA'!K50)</f>
        <v/>
      </c>
      <c r="D57" s="205"/>
      <c r="E57" s="205"/>
      <c r="F57" s="123"/>
      <c r="G57" s="119"/>
      <c r="H57" s="119"/>
      <c r="I57" s="119"/>
      <c r="J57" s="124"/>
      <c r="K57" s="143" t="str">
        <f t="shared" si="0"/>
        <v/>
      </c>
      <c r="L57" s="143" t="str">
        <f t="shared" si="1"/>
        <v/>
      </c>
      <c r="M57" s="146" t="str">
        <f t="shared" si="2"/>
        <v/>
      </c>
      <c r="N57" s="123"/>
      <c r="O57" s="119"/>
      <c r="P57" s="124"/>
      <c r="Q57" s="143" t="str">
        <f t="shared" si="3"/>
        <v/>
      </c>
      <c r="R57" s="143" t="str">
        <f t="shared" si="4"/>
        <v/>
      </c>
      <c r="S57" s="143" t="str">
        <f t="shared" si="5"/>
        <v/>
      </c>
      <c r="T57" s="123"/>
      <c r="U57" s="119"/>
      <c r="V57" s="124"/>
      <c r="W57" s="143" t="str">
        <f t="shared" si="6"/>
        <v/>
      </c>
      <c r="X57" s="143" t="str">
        <f t="shared" si="7"/>
        <v/>
      </c>
      <c r="Y57" s="143" t="str">
        <f t="shared" si="8"/>
        <v/>
      </c>
      <c r="Z57" s="150" t="str">
        <f t="shared" si="9"/>
        <v/>
      </c>
      <c r="AA57" s="143" t="str">
        <f t="shared" si="10"/>
        <v/>
      </c>
      <c r="AB57" s="152" t="str">
        <f t="shared" si="11"/>
        <v/>
      </c>
      <c r="AC57" s="158" t="str">
        <f>IF(AB57="","",IFERROR(INDEX(HELPER!$D$8:$D$48,IF(AB57&gt;=HELPER!$B$8,1,MATCH(AB57,HELPER!$B$8:$B$48,-1)+1)),""))</f>
        <v/>
      </c>
      <c r="AD57" s="155" t="str">
        <f>IF(AC57="","",IFERROR(VLOOKUP(AC57,HELPER!$F$8:$G$48,2,FALSE),""))</f>
        <v/>
      </c>
      <c r="AE57" s="135"/>
      <c r="AF57" s="90"/>
    </row>
    <row r="58" spans="1:32" ht="15" customHeight="1" x14ac:dyDescent="0.25">
      <c r="A58" s="135"/>
      <c r="B58" s="66">
        <v>41</v>
      </c>
      <c r="C58" s="204" t="str">
        <f>IF('INPUT DATA'!K51="","",'INPUT DATA'!K51)</f>
        <v/>
      </c>
      <c r="D58" s="205"/>
      <c r="E58" s="205"/>
      <c r="F58" s="123"/>
      <c r="G58" s="119"/>
      <c r="H58" s="119"/>
      <c r="I58" s="119"/>
      <c r="J58" s="124"/>
      <c r="K58" s="143" t="str">
        <f t="shared" si="0"/>
        <v/>
      </c>
      <c r="L58" s="143" t="str">
        <f t="shared" si="1"/>
        <v/>
      </c>
      <c r="M58" s="146" t="str">
        <f t="shared" si="2"/>
        <v/>
      </c>
      <c r="N58" s="123"/>
      <c r="O58" s="119"/>
      <c r="P58" s="124"/>
      <c r="Q58" s="143" t="str">
        <f t="shared" si="3"/>
        <v/>
      </c>
      <c r="R58" s="143" t="str">
        <f t="shared" si="4"/>
        <v/>
      </c>
      <c r="S58" s="143" t="str">
        <f t="shared" si="5"/>
        <v/>
      </c>
      <c r="T58" s="123"/>
      <c r="U58" s="119"/>
      <c r="V58" s="124"/>
      <c r="W58" s="143" t="str">
        <f t="shared" si="6"/>
        <v/>
      </c>
      <c r="X58" s="143" t="str">
        <f t="shared" si="7"/>
        <v/>
      </c>
      <c r="Y58" s="143" t="str">
        <f t="shared" si="8"/>
        <v/>
      </c>
      <c r="Z58" s="150" t="str">
        <f t="shared" si="9"/>
        <v/>
      </c>
      <c r="AA58" s="143" t="str">
        <f t="shared" si="10"/>
        <v/>
      </c>
      <c r="AB58" s="152" t="str">
        <f t="shared" si="11"/>
        <v/>
      </c>
      <c r="AC58" s="158" t="str">
        <f>IF(AB58="","",IFERROR(INDEX(HELPER!$D$8:$D$48,IF(AB58&gt;=HELPER!$B$8,1,MATCH(AB58,HELPER!$B$8:$B$48,-1)+1)),""))</f>
        <v/>
      </c>
      <c r="AD58" s="155" t="str">
        <f>IF(AC58="","",IFERROR(VLOOKUP(AC58,HELPER!$F$8:$G$48,2,FALSE),""))</f>
        <v/>
      </c>
      <c r="AE58" s="135"/>
      <c r="AF58" s="90"/>
    </row>
    <row r="59" spans="1:32" ht="15" customHeight="1" x14ac:dyDescent="0.25">
      <c r="A59" s="135"/>
      <c r="B59" s="66">
        <v>42</v>
      </c>
      <c r="C59" s="204" t="str">
        <f>IF('INPUT DATA'!K52="","",'INPUT DATA'!K52)</f>
        <v/>
      </c>
      <c r="D59" s="205"/>
      <c r="E59" s="205"/>
      <c r="F59" s="123"/>
      <c r="G59" s="119"/>
      <c r="H59" s="119"/>
      <c r="I59" s="119"/>
      <c r="J59" s="124"/>
      <c r="K59" s="143" t="str">
        <f t="shared" si="0"/>
        <v/>
      </c>
      <c r="L59" s="143" t="str">
        <f t="shared" si="1"/>
        <v/>
      </c>
      <c r="M59" s="146" t="str">
        <f t="shared" si="2"/>
        <v/>
      </c>
      <c r="N59" s="123"/>
      <c r="O59" s="119"/>
      <c r="P59" s="124"/>
      <c r="Q59" s="143" t="str">
        <f t="shared" si="3"/>
        <v/>
      </c>
      <c r="R59" s="143" t="str">
        <f t="shared" si="4"/>
        <v/>
      </c>
      <c r="S59" s="143" t="str">
        <f t="shared" si="5"/>
        <v/>
      </c>
      <c r="T59" s="123"/>
      <c r="U59" s="119"/>
      <c r="V59" s="124"/>
      <c r="W59" s="143" t="str">
        <f t="shared" si="6"/>
        <v/>
      </c>
      <c r="X59" s="143" t="str">
        <f t="shared" si="7"/>
        <v/>
      </c>
      <c r="Y59" s="143" t="str">
        <f t="shared" si="8"/>
        <v/>
      </c>
      <c r="Z59" s="150" t="str">
        <f t="shared" si="9"/>
        <v/>
      </c>
      <c r="AA59" s="143" t="str">
        <f t="shared" si="10"/>
        <v/>
      </c>
      <c r="AB59" s="152" t="str">
        <f t="shared" si="11"/>
        <v/>
      </c>
      <c r="AC59" s="158" t="str">
        <f>IF(AB59="","",IFERROR(INDEX(HELPER!$D$8:$D$48,IF(AB59&gt;=HELPER!$B$8,1,MATCH(AB59,HELPER!$B$8:$B$48,-1)+1)),""))</f>
        <v/>
      </c>
      <c r="AD59" s="155" t="str">
        <f>IF(AC59="","",IFERROR(VLOOKUP(AC59,HELPER!$F$8:$G$48,2,FALSE),""))</f>
        <v/>
      </c>
      <c r="AE59" s="135"/>
      <c r="AF59" s="90"/>
    </row>
    <row r="60" spans="1:32" ht="15" customHeight="1" x14ac:dyDescent="0.25">
      <c r="A60" s="135"/>
      <c r="B60" s="66">
        <v>43</v>
      </c>
      <c r="C60" s="204" t="str">
        <f>IF('INPUT DATA'!K53="","",'INPUT DATA'!K53)</f>
        <v/>
      </c>
      <c r="D60" s="205"/>
      <c r="E60" s="205"/>
      <c r="F60" s="123"/>
      <c r="G60" s="119"/>
      <c r="H60" s="119"/>
      <c r="I60" s="119"/>
      <c r="J60" s="124"/>
      <c r="K60" s="143" t="str">
        <f t="shared" si="0"/>
        <v/>
      </c>
      <c r="L60" s="143" t="str">
        <f t="shared" si="1"/>
        <v/>
      </c>
      <c r="M60" s="146" t="str">
        <f t="shared" si="2"/>
        <v/>
      </c>
      <c r="N60" s="123"/>
      <c r="O60" s="119"/>
      <c r="P60" s="124"/>
      <c r="Q60" s="143" t="str">
        <f t="shared" si="3"/>
        <v/>
      </c>
      <c r="R60" s="143" t="str">
        <f t="shared" si="4"/>
        <v/>
      </c>
      <c r="S60" s="143" t="str">
        <f t="shared" si="5"/>
        <v/>
      </c>
      <c r="T60" s="123"/>
      <c r="U60" s="119"/>
      <c r="V60" s="124"/>
      <c r="W60" s="143" t="str">
        <f t="shared" si="6"/>
        <v/>
      </c>
      <c r="X60" s="143" t="str">
        <f t="shared" si="7"/>
        <v/>
      </c>
      <c r="Y60" s="143" t="str">
        <f t="shared" si="8"/>
        <v/>
      </c>
      <c r="Z60" s="150" t="str">
        <f t="shared" si="9"/>
        <v/>
      </c>
      <c r="AA60" s="143" t="str">
        <f t="shared" si="10"/>
        <v/>
      </c>
      <c r="AB60" s="152" t="str">
        <f t="shared" si="11"/>
        <v/>
      </c>
      <c r="AC60" s="158" t="str">
        <f>IF(AB60="","",IFERROR(INDEX(HELPER!$D$8:$D$48,IF(AB60&gt;=HELPER!$B$8,1,MATCH(AB60,HELPER!$B$8:$B$48,-1)+1)),""))</f>
        <v/>
      </c>
      <c r="AD60" s="155" t="str">
        <f>IF(AC60="","",IFERROR(VLOOKUP(AC60,HELPER!$F$8:$G$48,2,FALSE),""))</f>
        <v/>
      </c>
      <c r="AE60" s="135"/>
      <c r="AF60" s="90"/>
    </row>
    <row r="61" spans="1:32" ht="15" customHeight="1" x14ac:dyDescent="0.25">
      <c r="A61" s="135"/>
      <c r="B61" s="66">
        <v>44</v>
      </c>
      <c r="C61" s="204" t="str">
        <f>IF('INPUT DATA'!K54="","",'INPUT DATA'!K54)</f>
        <v/>
      </c>
      <c r="D61" s="205"/>
      <c r="E61" s="205"/>
      <c r="F61" s="123"/>
      <c r="G61" s="119"/>
      <c r="H61" s="119"/>
      <c r="I61" s="119"/>
      <c r="J61" s="124"/>
      <c r="K61" s="143" t="str">
        <f t="shared" si="0"/>
        <v/>
      </c>
      <c r="L61" s="143" t="str">
        <f t="shared" si="1"/>
        <v/>
      </c>
      <c r="M61" s="146" t="str">
        <f t="shared" si="2"/>
        <v/>
      </c>
      <c r="N61" s="123"/>
      <c r="O61" s="119"/>
      <c r="P61" s="124"/>
      <c r="Q61" s="143" t="str">
        <f t="shared" si="3"/>
        <v/>
      </c>
      <c r="R61" s="143" t="str">
        <f t="shared" si="4"/>
        <v/>
      </c>
      <c r="S61" s="143" t="str">
        <f t="shared" si="5"/>
        <v/>
      </c>
      <c r="T61" s="123"/>
      <c r="U61" s="119"/>
      <c r="V61" s="124"/>
      <c r="W61" s="143" t="str">
        <f t="shared" si="6"/>
        <v/>
      </c>
      <c r="X61" s="143" t="str">
        <f t="shared" si="7"/>
        <v/>
      </c>
      <c r="Y61" s="143" t="str">
        <f t="shared" si="8"/>
        <v/>
      </c>
      <c r="Z61" s="150" t="str">
        <f t="shared" si="9"/>
        <v/>
      </c>
      <c r="AA61" s="143" t="str">
        <f t="shared" si="10"/>
        <v/>
      </c>
      <c r="AB61" s="152" t="str">
        <f t="shared" si="11"/>
        <v/>
      </c>
      <c r="AC61" s="158" t="str">
        <f>IF(AB61="","",IFERROR(INDEX(HELPER!$D$8:$D$48,IF(AB61&gt;=HELPER!$B$8,1,MATCH(AB61,HELPER!$B$8:$B$48,-1)+1)),""))</f>
        <v/>
      </c>
      <c r="AD61" s="155" t="str">
        <f>IF(AC61="","",IFERROR(VLOOKUP(AC61,HELPER!$F$8:$G$48,2,FALSE),""))</f>
        <v/>
      </c>
      <c r="AE61" s="135"/>
      <c r="AF61" s="90"/>
    </row>
    <row r="62" spans="1:32" ht="15" customHeight="1" x14ac:dyDescent="0.25">
      <c r="A62" s="135"/>
      <c r="B62" s="66">
        <v>45</v>
      </c>
      <c r="C62" s="204" t="str">
        <f>IF('INPUT DATA'!K55="","",'INPUT DATA'!K55)</f>
        <v/>
      </c>
      <c r="D62" s="205"/>
      <c r="E62" s="205"/>
      <c r="F62" s="123"/>
      <c r="G62" s="119"/>
      <c r="H62" s="119"/>
      <c r="I62" s="119"/>
      <c r="J62" s="124"/>
      <c r="K62" s="143" t="str">
        <f t="shared" si="0"/>
        <v/>
      </c>
      <c r="L62" s="143" t="str">
        <f t="shared" si="1"/>
        <v/>
      </c>
      <c r="M62" s="146" t="str">
        <f t="shared" si="2"/>
        <v/>
      </c>
      <c r="N62" s="123"/>
      <c r="O62" s="119"/>
      <c r="P62" s="124"/>
      <c r="Q62" s="143" t="str">
        <f t="shared" si="3"/>
        <v/>
      </c>
      <c r="R62" s="143" t="str">
        <f t="shared" si="4"/>
        <v/>
      </c>
      <c r="S62" s="143" t="str">
        <f t="shared" si="5"/>
        <v/>
      </c>
      <c r="T62" s="123"/>
      <c r="U62" s="119"/>
      <c r="V62" s="124"/>
      <c r="W62" s="143" t="str">
        <f t="shared" si="6"/>
        <v/>
      </c>
      <c r="X62" s="143" t="str">
        <f t="shared" si="7"/>
        <v/>
      </c>
      <c r="Y62" s="143" t="str">
        <f t="shared" si="8"/>
        <v/>
      </c>
      <c r="Z62" s="150" t="str">
        <f t="shared" si="9"/>
        <v/>
      </c>
      <c r="AA62" s="143" t="str">
        <f t="shared" si="10"/>
        <v/>
      </c>
      <c r="AB62" s="152" t="str">
        <f t="shared" si="11"/>
        <v/>
      </c>
      <c r="AC62" s="158" t="str">
        <f>IF(AB62="","",IFERROR(INDEX(HELPER!$D$8:$D$48,IF(AB62&gt;=HELPER!$B$8,1,MATCH(AB62,HELPER!$B$8:$B$48,-1)+1)),""))</f>
        <v/>
      </c>
      <c r="AD62" s="155" t="str">
        <f>IF(AC62="","",IFERROR(VLOOKUP(AC62,HELPER!$F$8:$G$48,2,FALSE),""))</f>
        <v/>
      </c>
      <c r="AE62" s="135"/>
      <c r="AF62" s="90"/>
    </row>
    <row r="63" spans="1:32" ht="15" customHeight="1" x14ac:dyDescent="0.25">
      <c r="A63" s="135"/>
      <c r="B63" s="66">
        <v>46</v>
      </c>
      <c r="C63" s="204" t="str">
        <f>IF('INPUT DATA'!K56="","",'INPUT DATA'!K56)</f>
        <v/>
      </c>
      <c r="D63" s="205"/>
      <c r="E63" s="205"/>
      <c r="F63" s="123"/>
      <c r="G63" s="119"/>
      <c r="H63" s="119"/>
      <c r="I63" s="119"/>
      <c r="J63" s="124"/>
      <c r="K63" s="143" t="str">
        <f t="shared" si="0"/>
        <v/>
      </c>
      <c r="L63" s="143" t="str">
        <f t="shared" si="1"/>
        <v/>
      </c>
      <c r="M63" s="146" t="str">
        <f t="shared" si="2"/>
        <v/>
      </c>
      <c r="N63" s="123"/>
      <c r="O63" s="119"/>
      <c r="P63" s="124"/>
      <c r="Q63" s="143" t="str">
        <f t="shared" si="3"/>
        <v/>
      </c>
      <c r="R63" s="143" t="str">
        <f t="shared" si="4"/>
        <v/>
      </c>
      <c r="S63" s="143" t="str">
        <f t="shared" si="5"/>
        <v/>
      </c>
      <c r="T63" s="123"/>
      <c r="U63" s="119"/>
      <c r="V63" s="124"/>
      <c r="W63" s="143" t="str">
        <f t="shared" si="6"/>
        <v/>
      </c>
      <c r="X63" s="143" t="str">
        <f t="shared" si="7"/>
        <v/>
      </c>
      <c r="Y63" s="143" t="str">
        <f t="shared" si="8"/>
        <v/>
      </c>
      <c r="Z63" s="150" t="str">
        <f t="shared" si="9"/>
        <v/>
      </c>
      <c r="AA63" s="143" t="str">
        <f t="shared" si="10"/>
        <v/>
      </c>
      <c r="AB63" s="152" t="str">
        <f t="shared" si="11"/>
        <v/>
      </c>
      <c r="AC63" s="158" t="str">
        <f>IF(AB63="","",IFERROR(INDEX(HELPER!$D$8:$D$48,IF(AB63&gt;=HELPER!$B$8,1,MATCH(AB63,HELPER!$B$8:$B$48,-1)+1)),""))</f>
        <v/>
      </c>
      <c r="AD63" s="155" t="str">
        <f>IF(AC63="","",IFERROR(VLOOKUP(AC63,HELPER!$F$8:$G$48,2,FALSE),""))</f>
        <v/>
      </c>
      <c r="AE63" s="135"/>
      <c r="AF63" s="90"/>
    </row>
    <row r="64" spans="1:32" ht="15" customHeight="1" x14ac:dyDescent="0.25">
      <c r="A64" s="135"/>
      <c r="B64" s="66">
        <v>47</v>
      </c>
      <c r="C64" s="204" t="str">
        <f>IF('INPUT DATA'!K57="","",'INPUT DATA'!K57)</f>
        <v/>
      </c>
      <c r="D64" s="205"/>
      <c r="E64" s="205"/>
      <c r="F64" s="123"/>
      <c r="G64" s="119"/>
      <c r="H64" s="119"/>
      <c r="I64" s="119"/>
      <c r="J64" s="124"/>
      <c r="K64" s="143" t="str">
        <f t="shared" si="0"/>
        <v/>
      </c>
      <c r="L64" s="143" t="str">
        <f t="shared" si="1"/>
        <v/>
      </c>
      <c r="M64" s="146" t="str">
        <f t="shared" si="2"/>
        <v/>
      </c>
      <c r="N64" s="123"/>
      <c r="O64" s="119"/>
      <c r="P64" s="124"/>
      <c r="Q64" s="143" t="str">
        <f t="shared" si="3"/>
        <v/>
      </c>
      <c r="R64" s="143" t="str">
        <f t="shared" si="4"/>
        <v/>
      </c>
      <c r="S64" s="143" t="str">
        <f t="shared" si="5"/>
        <v/>
      </c>
      <c r="T64" s="123"/>
      <c r="U64" s="119"/>
      <c r="V64" s="124"/>
      <c r="W64" s="143" t="str">
        <f t="shared" si="6"/>
        <v/>
      </c>
      <c r="X64" s="143" t="str">
        <f t="shared" si="7"/>
        <v/>
      </c>
      <c r="Y64" s="143" t="str">
        <f t="shared" si="8"/>
        <v/>
      </c>
      <c r="Z64" s="150" t="str">
        <f t="shared" si="9"/>
        <v/>
      </c>
      <c r="AA64" s="143" t="str">
        <f t="shared" si="10"/>
        <v/>
      </c>
      <c r="AB64" s="152" t="str">
        <f t="shared" si="11"/>
        <v/>
      </c>
      <c r="AC64" s="158" t="str">
        <f>IF(AB64="","",IFERROR(INDEX(HELPER!$D$8:$D$48,IF(AB64&gt;=HELPER!$B$8,1,MATCH(AB64,HELPER!$B$8:$B$48,-1)+1)),""))</f>
        <v/>
      </c>
      <c r="AD64" s="155" t="str">
        <f>IF(AC64="","",IFERROR(VLOOKUP(AC64,HELPER!$F$8:$G$48,2,FALSE),""))</f>
        <v/>
      </c>
      <c r="AE64" s="135"/>
      <c r="AF64" s="90"/>
    </row>
    <row r="65" spans="1:32" ht="15" customHeight="1" x14ac:dyDescent="0.25">
      <c r="A65" s="135"/>
      <c r="B65" s="66">
        <v>48</v>
      </c>
      <c r="C65" s="204" t="str">
        <f>IF('INPUT DATA'!K58="","",'INPUT DATA'!K58)</f>
        <v/>
      </c>
      <c r="D65" s="205"/>
      <c r="E65" s="205"/>
      <c r="F65" s="123"/>
      <c r="G65" s="119"/>
      <c r="H65" s="119"/>
      <c r="I65" s="119"/>
      <c r="J65" s="124"/>
      <c r="K65" s="143" t="str">
        <f t="shared" si="0"/>
        <v/>
      </c>
      <c r="L65" s="143" t="str">
        <f t="shared" si="1"/>
        <v/>
      </c>
      <c r="M65" s="146" t="str">
        <f t="shared" si="2"/>
        <v/>
      </c>
      <c r="N65" s="123"/>
      <c r="O65" s="119"/>
      <c r="P65" s="124"/>
      <c r="Q65" s="143" t="str">
        <f t="shared" si="3"/>
        <v/>
      </c>
      <c r="R65" s="143" t="str">
        <f t="shared" si="4"/>
        <v/>
      </c>
      <c r="S65" s="143" t="str">
        <f t="shared" si="5"/>
        <v/>
      </c>
      <c r="T65" s="123"/>
      <c r="U65" s="119"/>
      <c r="V65" s="124"/>
      <c r="W65" s="143" t="str">
        <f t="shared" si="6"/>
        <v/>
      </c>
      <c r="X65" s="143" t="str">
        <f t="shared" si="7"/>
        <v/>
      </c>
      <c r="Y65" s="143" t="str">
        <f t="shared" si="8"/>
        <v/>
      </c>
      <c r="Z65" s="150" t="str">
        <f t="shared" si="9"/>
        <v/>
      </c>
      <c r="AA65" s="143" t="str">
        <f t="shared" si="10"/>
        <v/>
      </c>
      <c r="AB65" s="152" t="str">
        <f t="shared" si="11"/>
        <v/>
      </c>
      <c r="AC65" s="158" t="str">
        <f>IF(AB65="","",IFERROR(INDEX(HELPER!$D$8:$D$48,IF(AB65&gt;=HELPER!$B$8,1,MATCH(AB65,HELPER!$B$8:$B$48,-1)+1)),""))</f>
        <v/>
      </c>
      <c r="AD65" s="155" t="str">
        <f>IF(AC65="","",IFERROR(VLOOKUP(AC65,HELPER!$F$8:$G$48,2,FALSE),""))</f>
        <v/>
      </c>
      <c r="AE65" s="135"/>
      <c r="AF65" s="90"/>
    </row>
    <row r="66" spans="1:32" ht="15" customHeight="1" x14ac:dyDescent="0.25">
      <c r="A66" s="135"/>
      <c r="B66" s="66">
        <v>49</v>
      </c>
      <c r="C66" s="204" t="str">
        <f>IF('INPUT DATA'!K59="","",'INPUT DATA'!K59)</f>
        <v/>
      </c>
      <c r="D66" s="205"/>
      <c r="E66" s="205"/>
      <c r="F66" s="123"/>
      <c r="G66" s="119"/>
      <c r="H66" s="119"/>
      <c r="I66" s="119"/>
      <c r="J66" s="124"/>
      <c r="K66" s="143" t="str">
        <f t="shared" si="0"/>
        <v/>
      </c>
      <c r="L66" s="143" t="str">
        <f t="shared" si="1"/>
        <v/>
      </c>
      <c r="M66" s="146" t="str">
        <f t="shared" si="2"/>
        <v/>
      </c>
      <c r="N66" s="123"/>
      <c r="O66" s="119"/>
      <c r="P66" s="124"/>
      <c r="Q66" s="143" t="str">
        <f t="shared" si="3"/>
        <v/>
      </c>
      <c r="R66" s="143" t="str">
        <f t="shared" si="4"/>
        <v/>
      </c>
      <c r="S66" s="143" t="str">
        <f t="shared" si="5"/>
        <v/>
      </c>
      <c r="T66" s="123"/>
      <c r="U66" s="119"/>
      <c r="V66" s="124"/>
      <c r="W66" s="143" t="str">
        <f t="shared" si="6"/>
        <v/>
      </c>
      <c r="X66" s="143" t="str">
        <f t="shared" si="7"/>
        <v/>
      </c>
      <c r="Y66" s="143" t="str">
        <f t="shared" si="8"/>
        <v/>
      </c>
      <c r="Z66" s="150" t="str">
        <f t="shared" si="9"/>
        <v/>
      </c>
      <c r="AA66" s="143" t="str">
        <f t="shared" si="10"/>
        <v/>
      </c>
      <c r="AB66" s="152" t="str">
        <f t="shared" si="11"/>
        <v/>
      </c>
      <c r="AC66" s="158" t="str">
        <f>IF(AB66="","",IFERROR(INDEX(HELPER!$D$8:$D$48,IF(AB66&gt;=HELPER!$B$8,1,MATCH(AB66,HELPER!$B$8:$B$48,-1)+1)),""))</f>
        <v/>
      </c>
      <c r="AD66" s="155" t="str">
        <f>IF(AC66="","",IFERROR(VLOOKUP(AC66,HELPER!$F$8:$G$48,2,FALSE),""))</f>
        <v/>
      </c>
      <c r="AE66" s="135"/>
      <c r="AF66" s="90"/>
    </row>
    <row r="67" spans="1:32" ht="15" customHeight="1" thickBot="1" x14ac:dyDescent="0.3">
      <c r="A67" s="135"/>
      <c r="B67" s="66">
        <v>50</v>
      </c>
      <c r="C67" s="204" t="str">
        <f>IF('INPUT DATA'!K60="","",'INPUT DATA'!K60)</f>
        <v/>
      </c>
      <c r="D67" s="205"/>
      <c r="E67" s="205"/>
      <c r="F67" s="125"/>
      <c r="G67" s="126"/>
      <c r="H67" s="126"/>
      <c r="I67" s="126"/>
      <c r="J67" s="127"/>
      <c r="K67" s="144" t="str">
        <f t="shared" si="0"/>
        <v/>
      </c>
      <c r="L67" s="144" t="str">
        <f t="shared" si="1"/>
        <v/>
      </c>
      <c r="M67" s="147" t="str">
        <f t="shared" si="2"/>
        <v/>
      </c>
      <c r="N67" s="125"/>
      <c r="O67" s="126"/>
      <c r="P67" s="127"/>
      <c r="Q67" s="144" t="str">
        <f t="shared" si="3"/>
        <v/>
      </c>
      <c r="R67" s="144" t="str">
        <f t="shared" si="4"/>
        <v/>
      </c>
      <c r="S67" s="144" t="str">
        <f t="shared" si="5"/>
        <v/>
      </c>
      <c r="T67" s="125"/>
      <c r="U67" s="126"/>
      <c r="V67" s="127"/>
      <c r="W67" s="144" t="str">
        <f t="shared" si="6"/>
        <v/>
      </c>
      <c r="X67" s="144" t="str">
        <f t="shared" si="7"/>
        <v/>
      </c>
      <c r="Y67" s="144" t="str">
        <f t="shared" si="8"/>
        <v/>
      </c>
      <c r="Z67" s="148" t="str">
        <f t="shared" si="9"/>
        <v/>
      </c>
      <c r="AA67" s="144" t="str">
        <f t="shared" si="10"/>
        <v/>
      </c>
      <c r="AB67" s="153" t="str">
        <f t="shared" si="11"/>
        <v/>
      </c>
      <c r="AC67" s="159" t="str">
        <f>IF(AB67="","",IFERROR(INDEX(HELPER!$D$8:$D$48,IF(AB67&gt;=HELPER!$B$8,1,MATCH(AB67,HELPER!$B$8:$B$48,-1)+1)),""))</f>
        <v/>
      </c>
      <c r="AD67" s="156" t="str">
        <f>IF(AC67="","",IFERROR(VLOOKUP(AC67,HELPER!$F$8:$G$48,2,FALSE),""))</f>
        <v/>
      </c>
      <c r="AE67" s="135"/>
      <c r="AF67" s="90"/>
    </row>
    <row r="68" spans="1:32" ht="14.4" customHeight="1" thickBot="1" x14ac:dyDescent="0.3">
      <c r="A68" s="135"/>
      <c r="B68" s="245" t="s">
        <v>6</v>
      </c>
      <c r="C68" s="242"/>
      <c r="D68" s="242"/>
      <c r="E68" s="242"/>
      <c r="F68" s="246"/>
      <c r="G68" s="246"/>
      <c r="H68" s="246"/>
      <c r="I68" s="246"/>
      <c r="J68" s="246"/>
      <c r="K68" s="246"/>
      <c r="L68" s="246"/>
      <c r="M68" s="246"/>
      <c r="N68" s="246"/>
      <c r="O68" s="246"/>
      <c r="P68" s="246"/>
      <c r="Q68" s="246"/>
      <c r="R68" s="246"/>
      <c r="S68" s="246"/>
      <c r="T68" s="246"/>
      <c r="U68" s="246"/>
      <c r="V68" s="246"/>
      <c r="W68" s="246"/>
      <c r="X68" s="246"/>
      <c r="Y68" s="246"/>
      <c r="Z68" s="246"/>
      <c r="AA68" s="246"/>
      <c r="AB68" s="246"/>
      <c r="AC68" s="246"/>
      <c r="AD68" s="247"/>
      <c r="AE68" s="135"/>
      <c r="AF68" s="90"/>
    </row>
    <row r="69" spans="1:32" ht="15" customHeight="1" x14ac:dyDescent="0.25">
      <c r="A69" s="135"/>
      <c r="B69" s="110">
        <v>1</v>
      </c>
      <c r="C69" s="236" t="str">
        <f>IF('INPUT DATA'!N11="","",'INPUT DATA'!N11)</f>
        <v/>
      </c>
      <c r="D69" s="237"/>
      <c r="E69" s="237"/>
      <c r="F69" s="120"/>
      <c r="G69" s="121"/>
      <c r="H69" s="121"/>
      <c r="I69" s="121"/>
      <c r="J69" s="122"/>
      <c r="K69" s="142" t="str">
        <f t="shared" si="0"/>
        <v/>
      </c>
      <c r="L69" s="142" t="str">
        <f t="shared" ref="L69:L118" si="12">IF(COUNT(F69:J69)=0,"",IFERROR(K69/$K$15*$L$15,""))</f>
        <v/>
      </c>
      <c r="M69" s="145" t="str">
        <f t="shared" ref="M69:M118" si="13">IF(L69="","",L69*$M$15)</f>
        <v/>
      </c>
      <c r="N69" s="120"/>
      <c r="O69" s="121"/>
      <c r="P69" s="122"/>
      <c r="Q69" s="142" t="str">
        <f t="shared" ref="Q69:Q118" si="14">IF(COUNT(N69:P69)=0,"",SUM(N69:P69))</f>
        <v/>
      </c>
      <c r="R69" s="142" t="str">
        <f t="shared" ref="R69:R118" si="15">IF(COUNT(N69:P69)=0,"",IFERROR(Q69/$Q$15*$R$15,""))</f>
        <v/>
      </c>
      <c r="S69" s="142" t="str">
        <f t="shared" ref="S69:S118" si="16">IF(R69="","",R69*$S$15)</f>
        <v/>
      </c>
      <c r="T69" s="120"/>
      <c r="U69" s="121"/>
      <c r="V69" s="122"/>
      <c r="W69" s="142" t="str">
        <f t="shared" ref="W69:W118" si="17">IF(T69="","",IFERROR(T69/$T$15*$W$15,""))</f>
        <v/>
      </c>
      <c r="X69" s="142" t="str">
        <f t="shared" ref="X69:X118" si="18">IF(U69="","",IFERROR(U69/$U$15*$X$15,""))</f>
        <v/>
      </c>
      <c r="Y69" s="142" t="str">
        <f t="shared" ref="Y69:Y118" si="19">IF(V69="","",IFERROR(V69/$V$15*$Y$15,""))</f>
        <v/>
      </c>
      <c r="Z69" s="149" t="str">
        <f t="shared" ref="Z69:Z118" si="20">IF(COUNT(T69:V69)=0,"",SUM(W69:Y69))</f>
        <v/>
      </c>
      <c r="AA69" s="142" t="str">
        <f t="shared" ref="AA69:AA118" si="21">IF(Z69="","",Z69*$AA$15)</f>
        <v/>
      </c>
      <c r="AB69" s="151" t="str">
        <f t="shared" ref="AB69:AB118" si="22">IF(COUNT(F69:J69,N69:P69,T69:V69)=0,"",SUM(M69,S69,AA69))</f>
        <v/>
      </c>
      <c r="AC69" s="157" t="str">
        <f>IF(AB69="","",IFERROR(INDEX(HELPER!$D$8:$D$48,IF(AB69&gt;=HELPER!$B$8,1,MATCH(AB69,HELPER!$B$8:$B$48,-1)+1)),""))</f>
        <v/>
      </c>
      <c r="AD69" s="154" t="str">
        <f>IF(AC69="","",IFERROR(VLOOKUP(AC69,HELPER!$F$8:$G$48,2,FALSE),""))</f>
        <v/>
      </c>
      <c r="AE69" s="135"/>
      <c r="AF69" s="90"/>
    </row>
    <row r="70" spans="1:32" ht="15" customHeight="1" x14ac:dyDescent="0.25">
      <c r="A70" s="135"/>
      <c r="B70" s="111">
        <v>2</v>
      </c>
      <c r="C70" s="209" t="str">
        <f>IF('INPUT DATA'!N12="","",'INPUT DATA'!N12)</f>
        <v/>
      </c>
      <c r="D70" s="210"/>
      <c r="E70" s="210"/>
      <c r="F70" s="123"/>
      <c r="G70" s="119"/>
      <c r="H70" s="119"/>
      <c r="I70" s="119"/>
      <c r="J70" s="124"/>
      <c r="K70" s="143" t="str">
        <f t="shared" si="0"/>
        <v/>
      </c>
      <c r="L70" s="143" t="str">
        <f t="shared" si="12"/>
        <v/>
      </c>
      <c r="M70" s="146" t="str">
        <f t="shared" si="13"/>
        <v/>
      </c>
      <c r="N70" s="123"/>
      <c r="O70" s="119"/>
      <c r="P70" s="124"/>
      <c r="Q70" s="143" t="str">
        <f t="shared" si="14"/>
        <v/>
      </c>
      <c r="R70" s="143" t="str">
        <f t="shared" si="15"/>
        <v/>
      </c>
      <c r="S70" s="143" t="str">
        <f t="shared" si="16"/>
        <v/>
      </c>
      <c r="T70" s="123"/>
      <c r="U70" s="119"/>
      <c r="V70" s="124"/>
      <c r="W70" s="143" t="str">
        <f t="shared" si="17"/>
        <v/>
      </c>
      <c r="X70" s="143" t="str">
        <f t="shared" si="18"/>
        <v/>
      </c>
      <c r="Y70" s="143" t="str">
        <f t="shared" si="19"/>
        <v/>
      </c>
      <c r="Z70" s="150" t="str">
        <f t="shared" si="20"/>
        <v/>
      </c>
      <c r="AA70" s="143" t="str">
        <f t="shared" si="21"/>
        <v/>
      </c>
      <c r="AB70" s="152" t="str">
        <f t="shared" si="22"/>
        <v/>
      </c>
      <c r="AC70" s="158" t="str">
        <f>IF(AB70="","",IFERROR(INDEX(HELPER!$D$8:$D$48,IF(AB70&gt;=HELPER!$B$8,1,MATCH(AB70,HELPER!$B$8:$B$48,-1)+1)),""))</f>
        <v/>
      </c>
      <c r="AD70" s="155" t="str">
        <f>IF(AC70="","",IFERROR(VLOOKUP(AC70,HELPER!$F$8:$G$48,2,FALSE),""))</f>
        <v/>
      </c>
      <c r="AE70" s="135"/>
      <c r="AF70" s="90"/>
    </row>
    <row r="71" spans="1:32" ht="15" customHeight="1" x14ac:dyDescent="0.25">
      <c r="A71" s="135"/>
      <c r="B71" s="111">
        <v>3</v>
      </c>
      <c r="C71" s="209" t="str">
        <f>IF('INPUT DATA'!N13="","",'INPUT DATA'!N13)</f>
        <v/>
      </c>
      <c r="D71" s="210"/>
      <c r="E71" s="210"/>
      <c r="F71" s="123"/>
      <c r="G71" s="119"/>
      <c r="H71" s="119"/>
      <c r="I71" s="119"/>
      <c r="J71" s="124"/>
      <c r="K71" s="143" t="str">
        <f t="shared" si="0"/>
        <v/>
      </c>
      <c r="L71" s="143" t="str">
        <f t="shared" si="12"/>
        <v/>
      </c>
      <c r="M71" s="146" t="str">
        <f t="shared" si="13"/>
        <v/>
      </c>
      <c r="N71" s="123"/>
      <c r="O71" s="119"/>
      <c r="P71" s="124"/>
      <c r="Q71" s="143" t="str">
        <f t="shared" si="14"/>
        <v/>
      </c>
      <c r="R71" s="143" t="str">
        <f t="shared" si="15"/>
        <v/>
      </c>
      <c r="S71" s="143" t="str">
        <f t="shared" si="16"/>
        <v/>
      </c>
      <c r="T71" s="123"/>
      <c r="U71" s="119"/>
      <c r="V71" s="124"/>
      <c r="W71" s="143" t="str">
        <f t="shared" si="17"/>
        <v/>
      </c>
      <c r="X71" s="143" t="str">
        <f t="shared" si="18"/>
        <v/>
      </c>
      <c r="Y71" s="143" t="str">
        <f t="shared" si="19"/>
        <v/>
      </c>
      <c r="Z71" s="150" t="str">
        <f t="shared" si="20"/>
        <v/>
      </c>
      <c r="AA71" s="143" t="str">
        <f t="shared" si="21"/>
        <v/>
      </c>
      <c r="AB71" s="152" t="str">
        <f t="shared" si="22"/>
        <v/>
      </c>
      <c r="AC71" s="158" t="str">
        <f>IF(AB71="","",IFERROR(INDEX(HELPER!$D$8:$D$48,IF(AB71&gt;=HELPER!$B$8,1,MATCH(AB71,HELPER!$B$8:$B$48,-1)+1)),""))</f>
        <v/>
      </c>
      <c r="AD71" s="155" t="str">
        <f>IF(AC71="","",IFERROR(VLOOKUP(AC71,HELPER!$F$8:$G$48,2,FALSE),""))</f>
        <v/>
      </c>
      <c r="AE71" s="135"/>
      <c r="AF71" s="90"/>
    </row>
    <row r="72" spans="1:32" ht="15" customHeight="1" x14ac:dyDescent="0.25">
      <c r="A72" s="135"/>
      <c r="B72" s="111">
        <v>4</v>
      </c>
      <c r="C72" s="209" t="str">
        <f>IF('INPUT DATA'!N14="","",'INPUT DATA'!N14)</f>
        <v/>
      </c>
      <c r="D72" s="210"/>
      <c r="E72" s="210"/>
      <c r="F72" s="123"/>
      <c r="G72" s="119"/>
      <c r="H72" s="119"/>
      <c r="I72" s="119"/>
      <c r="J72" s="124"/>
      <c r="K72" s="143" t="str">
        <f t="shared" si="0"/>
        <v/>
      </c>
      <c r="L72" s="143" t="str">
        <f t="shared" si="12"/>
        <v/>
      </c>
      <c r="M72" s="146" t="str">
        <f t="shared" si="13"/>
        <v/>
      </c>
      <c r="N72" s="123"/>
      <c r="O72" s="119"/>
      <c r="P72" s="124"/>
      <c r="Q72" s="143" t="str">
        <f t="shared" si="14"/>
        <v/>
      </c>
      <c r="R72" s="143" t="str">
        <f t="shared" si="15"/>
        <v/>
      </c>
      <c r="S72" s="143" t="str">
        <f t="shared" si="16"/>
        <v/>
      </c>
      <c r="T72" s="123"/>
      <c r="U72" s="119"/>
      <c r="V72" s="124"/>
      <c r="W72" s="143" t="str">
        <f t="shared" si="17"/>
        <v/>
      </c>
      <c r="X72" s="143" t="str">
        <f t="shared" si="18"/>
        <v/>
      </c>
      <c r="Y72" s="143" t="str">
        <f t="shared" si="19"/>
        <v/>
      </c>
      <c r="Z72" s="150" t="str">
        <f t="shared" si="20"/>
        <v/>
      </c>
      <c r="AA72" s="143" t="str">
        <f t="shared" si="21"/>
        <v/>
      </c>
      <c r="AB72" s="152" t="str">
        <f t="shared" si="22"/>
        <v/>
      </c>
      <c r="AC72" s="158" t="str">
        <f>IF(AB72="","",IFERROR(INDEX(HELPER!$D$8:$D$48,IF(AB72&gt;=HELPER!$B$8,1,MATCH(AB72,HELPER!$B$8:$B$48,-1)+1)),""))</f>
        <v/>
      </c>
      <c r="AD72" s="155" t="str">
        <f>IF(AC72="","",IFERROR(VLOOKUP(AC72,HELPER!$F$8:$G$48,2,FALSE),""))</f>
        <v/>
      </c>
      <c r="AE72" s="135"/>
      <c r="AF72" s="90"/>
    </row>
    <row r="73" spans="1:32" ht="15" customHeight="1" x14ac:dyDescent="0.25">
      <c r="A73" s="135"/>
      <c r="B73" s="111">
        <v>5</v>
      </c>
      <c r="C73" s="209" t="str">
        <f>IF('INPUT DATA'!N15="","",'INPUT DATA'!N15)</f>
        <v/>
      </c>
      <c r="D73" s="210"/>
      <c r="E73" s="210"/>
      <c r="F73" s="123"/>
      <c r="G73" s="119"/>
      <c r="H73" s="119"/>
      <c r="I73" s="119"/>
      <c r="J73" s="124"/>
      <c r="K73" s="143" t="str">
        <f t="shared" si="0"/>
        <v/>
      </c>
      <c r="L73" s="143" t="str">
        <f t="shared" si="12"/>
        <v/>
      </c>
      <c r="M73" s="146" t="str">
        <f t="shared" si="13"/>
        <v/>
      </c>
      <c r="N73" s="123"/>
      <c r="O73" s="119"/>
      <c r="P73" s="124"/>
      <c r="Q73" s="143" t="str">
        <f t="shared" si="14"/>
        <v/>
      </c>
      <c r="R73" s="143" t="str">
        <f t="shared" si="15"/>
        <v/>
      </c>
      <c r="S73" s="143" t="str">
        <f t="shared" si="16"/>
        <v/>
      </c>
      <c r="T73" s="123"/>
      <c r="U73" s="119"/>
      <c r="V73" s="124"/>
      <c r="W73" s="143" t="str">
        <f t="shared" si="17"/>
        <v/>
      </c>
      <c r="X73" s="143" t="str">
        <f t="shared" si="18"/>
        <v/>
      </c>
      <c r="Y73" s="143" t="str">
        <f t="shared" si="19"/>
        <v/>
      </c>
      <c r="Z73" s="150" t="str">
        <f t="shared" si="20"/>
        <v/>
      </c>
      <c r="AA73" s="143" t="str">
        <f t="shared" si="21"/>
        <v/>
      </c>
      <c r="AB73" s="152" t="str">
        <f t="shared" si="22"/>
        <v/>
      </c>
      <c r="AC73" s="158" t="str">
        <f>IF(AB73="","",IFERROR(INDEX(HELPER!$D$8:$D$48,IF(AB73&gt;=HELPER!$B$8,1,MATCH(AB73,HELPER!$B$8:$B$48,-1)+1)),""))</f>
        <v/>
      </c>
      <c r="AD73" s="155" t="str">
        <f>IF(AC73="","",IFERROR(VLOOKUP(AC73,HELPER!$F$8:$G$48,2,FALSE),""))</f>
        <v/>
      </c>
      <c r="AE73" s="135"/>
      <c r="AF73" s="90"/>
    </row>
    <row r="74" spans="1:32" ht="15" customHeight="1" x14ac:dyDescent="0.25">
      <c r="A74" s="135"/>
      <c r="B74" s="111">
        <v>6</v>
      </c>
      <c r="C74" s="209" t="str">
        <f>IF('INPUT DATA'!N16="","",'INPUT DATA'!N16)</f>
        <v/>
      </c>
      <c r="D74" s="210"/>
      <c r="E74" s="210"/>
      <c r="F74" s="123"/>
      <c r="G74" s="119"/>
      <c r="H74" s="119"/>
      <c r="I74" s="119"/>
      <c r="J74" s="124"/>
      <c r="K74" s="143" t="str">
        <f t="shared" si="0"/>
        <v/>
      </c>
      <c r="L74" s="143" t="str">
        <f t="shared" si="12"/>
        <v/>
      </c>
      <c r="M74" s="146" t="str">
        <f t="shared" si="13"/>
        <v/>
      </c>
      <c r="N74" s="123"/>
      <c r="O74" s="119"/>
      <c r="P74" s="124"/>
      <c r="Q74" s="143" t="str">
        <f t="shared" si="14"/>
        <v/>
      </c>
      <c r="R74" s="143" t="str">
        <f t="shared" si="15"/>
        <v/>
      </c>
      <c r="S74" s="143" t="str">
        <f t="shared" si="16"/>
        <v/>
      </c>
      <c r="T74" s="123"/>
      <c r="U74" s="119"/>
      <c r="V74" s="124"/>
      <c r="W74" s="143" t="str">
        <f t="shared" si="17"/>
        <v/>
      </c>
      <c r="X74" s="143" t="str">
        <f t="shared" si="18"/>
        <v/>
      </c>
      <c r="Y74" s="143" t="str">
        <f t="shared" si="19"/>
        <v/>
      </c>
      <c r="Z74" s="150" t="str">
        <f t="shared" si="20"/>
        <v/>
      </c>
      <c r="AA74" s="143" t="str">
        <f t="shared" si="21"/>
        <v/>
      </c>
      <c r="AB74" s="152" t="str">
        <f t="shared" si="22"/>
        <v/>
      </c>
      <c r="AC74" s="158" t="str">
        <f>IF(AB74="","",IFERROR(INDEX(HELPER!$D$8:$D$48,IF(AB74&gt;=HELPER!$B$8,1,MATCH(AB74,HELPER!$B$8:$B$48,-1)+1)),""))</f>
        <v/>
      </c>
      <c r="AD74" s="155" t="str">
        <f>IF(AC74="","",IFERROR(VLOOKUP(AC74,HELPER!$F$8:$G$48,2,FALSE),""))</f>
        <v/>
      </c>
      <c r="AE74" s="135"/>
      <c r="AF74" s="90"/>
    </row>
    <row r="75" spans="1:32" ht="15" customHeight="1" x14ac:dyDescent="0.25">
      <c r="A75" s="135"/>
      <c r="B75" s="111">
        <v>7</v>
      </c>
      <c r="C75" s="209" t="str">
        <f>IF('INPUT DATA'!N17="","",'INPUT DATA'!N17)</f>
        <v/>
      </c>
      <c r="D75" s="210"/>
      <c r="E75" s="210"/>
      <c r="F75" s="123"/>
      <c r="G75" s="119"/>
      <c r="H75" s="119"/>
      <c r="I75" s="119"/>
      <c r="J75" s="124"/>
      <c r="K75" s="143" t="str">
        <f t="shared" si="0"/>
        <v/>
      </c>
      <c r="L75" s="143" t="str">
        <f t="shared" si="12"/>
        <v/>
      </c>
      <c r="M75" s="146" t="str">
        <f t="shared" si="13"/>
        <v/>
      </c>
      <c r="N75" s="123"/>
      <c r="O75" s="119"/>
      <c r="P75" s="124"/>
      <c r="Q75" s="143" t="str">
        <f t="shared" si="14"/>
        <v/>
      </c>
      <c r="R75" s="143" t="str">
        <f t="shared" si="15"/>
        <v/>
      </c>
      <c r="S75" s="143" t="str">
        <f t="shared" si="16"/>
        <v/>
      </c>
      <c r="T75" s="123"/>
      <c r="U75" s="119"/>
      <c r="V75" s="124"/>
      <c r="W75" s="143" t="str">
        <f t="shared" si="17"/>
        <v/>
      </c>
      <c r="X75" s="143" t="str">
        <f t="shared" si="18"/>
        <v/>
      </c>
      <c r="Y75" s="143" t="str">
        <f t="shared" si="19"/>
        <v/>
      </c>
      <c r="Z75" s="150" t="str">
        <f t="shared" si="20"/>
        <v/>
      </c>
      <c r="AA75" s="143" t="str">
        <f t="shared" si="21"/>
        <v/>
      </c>
      <c r="AB75" s="152" t="str">
        <f t="shared" si="22"/>
        <v/>
      </c>
      <c r="AC75" s="158" t="str">
        <f>IF(AB75="","",IFERROR(INDEX(HELPER!$D$8:$D$48,IF(AB75&gt;=HELPER!$B$8,1,MATCH(AB75,HELPER!$B$8:$B$48,-1)+1)),""))</f>
        <v/>
      </c>
      <c r="AD75" s="155" t="str">
        <f>IF(AC75="","",IFERROR(VLOOKUP(AC75,HELPER!$F$8:$G$48,2,FALSE),""))</f>
        <v/>
      </c>
      <c r="AE75" s="135"/>
      <c r="AF75" s="90"/>
    </row>
    <row r="76" spans="1:32" ht="15" customHeight="1" x14ac:dyDescent="0.25">
      <c r="A76" s="135"/>
      <c r="B76" s="111">
        <v>8</v>
      </c>
      <c r="C76" s="209" t="str">
        <f>IF('INPUT DATA'!N18="","",'INPUT DATA'!N18)</f>
        <v/>
      </c>
      <c r="D76" s="210"/>
      <c r="E76" s="210"/>
      <c r="F76" s="123"/>
      <c r="G76" s="119"/>
      <c r="H76" s="119"/>
      <c r="I76" s="119"/>
      <c r="J76" s="124"/>
      <c r="K76" s="143" t="str">
        <f t="shared" si="0"/>
        <v/>
      </c>
      <c r="L76" s="143" t="str">
        <f t="shared" si="12"/>
        <v/>
      </c>
      <c r="M76" s="146" t="str">
        <f t="shared" si="13"/>
        <v/>
      </c>
      <c r="N76" s="123"/>
      <c r="O76" s="119"/>
      <c r="P76" s="124"/>
      <c r="Q76" s="143" t="str">
        <f t="shared" si="14"/>
        <v/>
      </c>
      <c r="R76" s="143" t="str">
        <f t="shared" si="15"/>
        <v/>
      </c>
      <c r="S76" s="143" t="str">
        <f t="shared" si="16"/>
        <v/>
      </c>
      <c r="T76" s="123"/>
      <c r="U76" s="119"/>
      <c r="V76" s="124"/>
      <c r="W76" s="143" t="str">
        <f t="shared" si="17"/>
        <v/>
      </c>
      <c r="X76" s="143" t="str">
        <f t="shared" si="18"/>
        <v/>
      </c>
      <c r="Y76" s="143" t="str">
        <f t="shared" si="19"/>
        <v/>
      </c>
      <c r="Z76" s="150" t="str">
        <f t="shared" si="20"/>
        <v/>
      </c>
      <c r="AA76" s="143" t="str">
        <f t="shared" si="21"/>
        <v/>
      </c>
      <c r="AB76" s="152" t="str">
        <f t="shared" si="22"/>
        <v/>
      </c>
      <c r="AC76" s="158" t="str">
        <f>IF(AB76="","",IFERROR(INDEX(HELPER!$D$8:$D$48,IF(AB76&gt;=HELPER!$B$8,1,MATCH(AB76,HELPER!$B$8:$B$48,-1)+1)),""))</f>
        <v/>
      </c>
      <c r="AD76" s="155" t="str">
        <f>IF(AC76="","",IFERROR(VLOOKUP(AC76,HELPER!$F$8:$G$48,2,FALSE),""))</f>
        <v/>
      </c>
      <c r="AE76" s="135"/>
      <c r="AF76" s="90"/>
    </row>
    <row r="77" spans="1:32" ht="15" customHeight="1" x14ac:dyDescent="0.25">
      <c r="A77" s="135"/>
      <c r="B77" s="111">
        <v>9</v>
      </c>
      <c r="C77" s="209" t="str">
        <f>IF('INPUT DATA'!N19="","",'INPUT DATA'!N19)</f>
        <v/>
      </c>
      <c r="D77" s="210"/>
      <c r="E77" s="210"/>
      <c r="F77" s="123"/>
      <c r="G77" s="119"/>
      <c r="H77" s="119"/>
      <c r="I77" s="119"/>
      <c r="J77" s="124"/>
      <c r="K77" s="143" t="str">
        <f t="shared" si="0"/>
        <v/>
      </c>
      <c r="L77" s="143" t="str">
        <f t="shared" si="12"/>
        <v/>
      </c>
      <c r="M77" s="146" t="str">
        <f t="shared" si="13"/>
        <v/>
      </c>
      <c r="N77" s="123"/>
      <c r="O77" s="119"/>
      <c r="P77" s="124"/>
      <c r="Q77" s="143" t="str">
        <f t="shared" si="14"/>
        <v/>
      </c>
      <c r="R77" s="143" t="str">
        <f t="shared" si="15"/>
        <v/>
      </c>
      <c r="S77" s="143" t="str">
        <f t="shared" si="16"/>
        <v/>
      </c>
      <c r="T77" s="123"/>
      <c r="U77" s="119"/>
      <c r="V77" s="124"/>
      <c r="W77" s="143" t="str">
        <f t="shared" si="17"/>
        <v/>
      </c>
      <c r="X77" s="143" t="str">
        <f t="shared" si="18"/>
        <v/>
      </c>
      <c r="Y77" s="143" t="str">
        <f t="shared" si="19"/>
        <v/>
      </c>
      <c r="Z77" s="150" t="str">
        <f t="shared" si="20"/>
        <v/>
      </c>
      <c r="AA77" s="143" t="str">
        <f t="shared" si="21"/>
        <v/>
      </c>
      <c r="AB77" s="152" t="str">
        <f t="shared" si="22"/>
        <v/>
      </c>
      <c r="AC77" s="158" t="str">
        <f>IF(AB77="","",IFERROR(INDEX(HELPER!$D$8:$D$48,IF(AB77&gt;=HELPER!$B$8,1,MATCH(AB77,HELPER!$B$8:$B$48,-1)+1)),""))</f>
        <v/>
      </c>
      <c r="AD77" s="155" t="str">
        <f>IF(AC77="","",IFERROR(VLOOKUP(AC77,HELPER!$F$8:$G$48,2,FALSE),""))</f>
        <v/>
      </c>
      <c r="AE77" s="135"/>
      <c r="AF77" s="90"/>
    </row>
    <row r="78" spans="1:32" ht="15" customHeight="1" x14ac:dyDescent="0.25">
      <c r="A78" s="135"/>
      <c r="B78" s="111">
        <v>10</v>
      </c>
      <c r="C78" s="209" t="str">
        <f>IF('INPUT DATA'!N20="","",'INPUT DATA'!N20)</f>
        <v/>
      </c>
      <c r="D78" s="210"/>
      <c r="E78" s="210"/>
      <c r="F78" s="123"/>
      <c r="G78" s="119"/>
      <c r="H78" s="119"/>
      <c r="I78" s="119"/>
      <c r="J78" s="124"/>
      <c r="K78" s="143" t="str">
        <f t="shared" si="0"/>
        <v/>
      </c>
      <c r="L78" s="143" t="str">
        <f t="shared" si="12"/>
        <v/>
      </c>
      <c r="M78" s="146" t="str">
        <f t="shared" si="13"/>
        <v/>
      </c>
      <c r="N78" s="123"/>
      <c r="O78" s="119"/>
      <c r="P78" s="124"/>
      <c r="Q78" s="143" t="str">
        <f t="shared" si="14"/>
        <v/>
      </c>
      <c r="R78" s="143" t="str">
        <f t="shared" si="15"/>
        <v/>
      </c>
      <c r="S78" s="143" t="str">
        <f t="shared" si="16"/>
        <v/>
      </c>
      <c r="T78" s="123"/>
      <c r="U78" s="119"/>
      <c r="V78" s="124"/>
      <c r="W78" s="143" t="str">
        <f t="shared" si="17"/>
        <v/>
      </c>
      <c r="X78" s="143" t="str">
        <f t="shared" si="18"/>
        <v/>
      </c>
      <c r="Y78" s="143" t="str">
        <f t="shared" si="19"/>
        <v/>
      </c>
      <c r="Z78" s="150" t="str">
        <f t="shared" si="20"/>
        <v/>
      </c>
      <c r="AA78" s="143" t="str">
        <f t="shared" si="21"/>
        <v/>
      </c>
      <c r="AB78" s="152" t="str">
        <f t="shared" si="22"/>
        <v/>
      </c>
      <c r="AC78" s="158" t="str">
        <f>IF(AB78="","",IFERROR(INDEX(HELPER!$D$8:$D$48,IF(AB78&gt;=HELPER!$B$8,1,MATCH(AB78,HELPER!$B$8:$B$48,-1)+1)),""))</f>
        <v/>
      </c>
      <c r="AD78" s="155" t="str">
        <f>IF(AC78="","",IFERROR(VLOOKUP(AC78,HELPER!$F$8:$G$48,2,FALSE),""))</f>
        <v/>
      </c>
      <c r="AE78" s="135"/>
      <c r="AF78" s="90"/>
    </row>
    <row r="79" spans="1:32" ht="15" customHeight="1" x14ac:dyDescent="0.25">
      <c r="A79" s="135"/>
      <c r="B79" s="111">
        <v>11</v>
      </c>
      <c r="C79" s="209" t="str">
        <f>IF('INPUT DATA'!N21="","",'INPUT DATA'!N21)</f>
        <v/>
      </c>
      <c r="D79" s="210"/>
      <c r="E79" s="210"/>
      <c r="F79" s="123"/>
      <c r="G79" s="119"/>
      <c r="H79" s="119"/>
      <c r="I79" s="119"/>
      <c r="J79" s="124"/>
      <c r="K79" s="143" t="str">
        <f t="shared" si="0"/>
        <v/>
      </c>
      <c r="L79" s="143" t="str">
        <f t="shared" si="12"/>
        <v/>
      </c>
      <c r="M79" s="146" t="str">
        <f t="shared" si="13"/>
        <v/>
      </c>
      <c r="N79" s="123"/>
      <c r="O79" s="119"/>
      <c r="P79" s="124"/>
      <c r="Q79" s="143" t="str">
        <f t="shared" si="14"/>
        <v/>
      </c>
      <c r="R79" s="143" t="str">
        <f t="shared" si="15"/>
        <v/>
      </c>
      <c r="S79" s="143" t="str">
        <f t="shared" si="16"/>
        <v/>
      </c>
      <c r="T79" s="123"/>
      <c r="U79" s="119"/>
      <c r="V79" s="124"/>
      <c r="W79" s="143" t="str">
        <f t="shared" si="17"/>
        <v/>
      </c>
      <c r="X79" s="143" t="str">
        <f t="shared" si="18"/>
        <v/>
      </c>
      <c r="Y79" s="143" t="str">
        <f t="shared" si="19"/>
        <v/>
      </c>
      <c r="Z79" s="150" t="str">
        <f t="shared" si="20"/>
        <v/>
      </c>
      <c r="AA79" s="143" t="str">
        <f t="shared" si="21"/>
        <v/>
      </c>
      <c r="AB79" s="152" t="str">
        <f t="shared" si="22"/>
        <v/>
      </c>
      <c r="AC79" s="158" t="str">
        <f>IF(AB79="","",IFERROR(INDEX(HELPER!$D$8:$D$48,IF(AB79&gt;=HELPER!$B$8,1,MATCH(AB79,HELPER!$B$8:$B$48,-1)+1)),""))</f>
        <v/>
      </c>
      <c r="AD79" s="155" t="str">
        <f>IF(AC79="","",IFERROR(VLOOKUP(AC79,HELPER!$F$8:$G$48,2,FALSE),""))</f>
        <v/>
      </c>
      <c r="AE79" s="135"/>
      <c r="AF79" s="90"/>
    </row>
    <row r="80" spans="1:32" ht="15" customHeight="1" x14ac:dyDescent="0.25">
      <c r="A80" s="135"/>
      <c r="B80" s="111">
        <v>12</v>
      </c>
      <c r="C80" s="209" t="str">
        <f>IF('INPUT DATA'!N22="","",'INPUT DATA'!N22)</f>
        <v/>
      </c>
      <c r="D80" s="210"/>
      <c r="E80" s="210"/>
      <c r="F80" s="123"/>
      <c r="G80" s="119"/>
      <c r="H80" s="119"/>
      <c r="I80" s="119"/>
      <c r="J80" s="124"/>
      <c r="K80" s="143" t="str">
        <f t="shared" si="0"/>
        <v/>
      </c>
      <c r="L80" s="143" t="str">
        <f t="shared" si="12"/>
        <v/>
      </c>
      <c r="M80" s="146" t="str">
        <f t="shared" si="13"/>
        <v/>
      </c>
      <c r="N80" s="123"/>
      <c r="O80" s="119"/>
      <c r="P80" s="124"/>
      <c r="Q80" s="143" t="str">
        <f t="shared" si="14"/>
        <v/>
      </c>
      <c r="R80" s="143" t="str">
        <f t="shared" si="15"/>
        <v/>
      </c>
      <c r="S80" s="143" t="str">
        <f t="shared" si="16"/>
        <v/>
      </c>
      <c r="T80" s="123"/>
      <c r="U80" s="119"/>
      <c r="V80" s="124"/>
      <c r="W80" s="143" t="str">
        <f t="shared" si="17"/>
        <v/>
      </c>
      <c r="X80" s="143" t="str">
        <f t="shared" si="18"/>
        <v/>
      </c>
      <c r="Y80" s="143" t="str">
        <f t="shared" si="19"/>
        <v/>
      </c>
      <c r="Z80" s="150" t="str">
        <f t="shared" si="20"/>
        <v/>
      </c>
      <c r="AA80" s="143" t="str">
        <f t="shared" si="21"/>
        <v/>
      </c>
      <c r="AB80" s="152" t="str">
        <f t="shared" si="22"/>
        <v/>
      </c>
      <c r="AC80" s="158" t="str">
        <f>IF(AB80="","",IFERROR(INDEX(HELPER!$D$8:$D$48,IF(AB80&gt;=HELPER!$B$8,1,MATCH(AB80,HELPER!$B$8:$B$48,-1)+1)),""))</f>
        <v/>
      </c>
      <c r="AD80" s="155" t="str">
        <f>IF(AC80="","",IFERROR(VLOOKUP(AC80,HELPER!$F$8:$G$48,2,FALSE),""))</f>
        <v/>
      </c>
      <c r="AE80" s="135"/>
      <c r="AF80" s="90"/>
    </row>
    <row r="81" spans="1:32" ht="15" customHeight="1" x14ac:dyDescent="0.25">
      <c r="A81" s="135"/>
      <c r="B81" s="111">
        <v>13</v>
      </c>
      <c r="C81" s="209" t="str">
        <f>IF('INPUT DATA'!N23="","",'INPUT DATA'!N23)</f>
        <v/>
      </c>
      <c r="D81" s="210"/>
      <c r="E81" s="210"/>
      <c r="F81" s="123"/>
      <c r="G81" s="119"/>
      <c r="H81" s="119"/>
      <c r="I81" s="119"/>
      <c r="J81" s="124"/>
      <c r="K81" s="143" t="str">
        <f t="shared" si="0"/>
        <v/>
      </c>
      <c r="L81" s="143" t="str">
        <f t="shared" si="12"/>
        <v/>
      </c>
      <c r="M81" s="146" t="str">
        <f t="shared" si="13"/>
        <v/>
      </c>
      <c r="N81" s="123"/>
      <c r="O81" s="119"/>
      <c r="P81" s="124"/>
      <c r="Q81" s="143" t="str">
        <f t="shared" si="14"/>
        <v/>
      </c>
      <c r="R81" s="143" t="str">
        <f t="shared" si="15"/>
        <v/>
      </c>
      <c r="S81" s="143" t="str">
        <f t="shared" si="16"/>
        <v/>
      </c>
      <c r="T81" s="123"/>
      <c r="U81" s="119"/>
      <c r="V81" s="124"/>
      <c r="W81" s="143" t="str">
        <f t="shared" si="17"/>
        <v/>
      </c>
      <c r="X81" s="143" t="str">
        <f t="shared" si="18"/>
        <v/>
      </c>
      <c r="Y81" s="143" t="str">
        <f t="shared" si="19"/>
        <v/>
      </c>
      <c r="Z81" s="150" t="str">
        <f t="shared" si="20"/>
        <v/>
      </c>
      <c r="AA81" s="143" t="str">
        <f t="shared" si="21"/>
        <v/>
      </c>
      <c r="AB81" s="152" t="str">
        <f t="shared" si="22"/>
        <v/>
      </c>
      <c r="AC81" s="158" t="str">
        <f>IF(AB81="","",IFERROR(INDEX(HELPER!$D$8:$D$48,IF(AB81&gt;=HELPER!$B$8,1,MATCH(AB81,HELPER!$B$8:$B$48,-1)+1)),""))</f>
        <v/>
      </c>
      <c r="AD81" s="155" t="str">
        <f>IF(AC81="","",IFERROR(VLOOKUP(AC81,HELPER!$F$8:$G$48,2,FALSE),""))</f>
        <v/>
      </c>
      <c r="AE81" s="135"/>
      <c r="AF81" s="90"/>
    </row>
    <row r="82" spans="1:32" ht="15" customHeight="1" x14ac:dyDescent="0.25">
      <c r="A82" s="135"/>
      <c r="B82" s="111">
        <v>14</v>
      </c>
      <c r="C82" s="209" t="str">
        <f>IF('INPUT DATA'!N24="","",'INPUT DATA'!N24)</f>
        <v/>
      </c>
      <c r="D82" s="210"/>
      <c r="E82" s="210"/>
      <c r="F82" s="123"/>
      <c r="G82" s="119"/>
      <c r="H82" s="119"/>
      <c r="I82" s="119"/>
      <c r="J82" s="124"/>
      <c r="K82" s="143" t="str">
        <f t="shared" ref="K82:K118" si="23">IF(COUNT($F82:$J82)=0,"",SUM($F82:$J82))</f>
        <v/>
      </c>
      <c r="L82" s="143" t="str">
        <f t="shared" si="12"/>
        <v/>
      </c>
      <c r="M82" s="146" t="str">
        <f t="shared" si="13"/>
        <v/>
      </c>
      <c r="N82" s="123"/>
      <c r="O82" s="119"/>
      <c r="P82" s="124"/>
      <c r="Q82" s="143" t="str">
        <f t="shared" si="14"/>
        <v/>
      </c>
      <c r="R82" s="143" t="str">
        <f t="shared" si="15"/>
        <v/>
      </c>
      <c r="S82" s="143" t="str">
        <f t="shared" si="16"/>
        <v/>
      </c>
      <c r="T82" s="123"/>
      <c r="U82" s="119"/>
      <c r="V82" s="124"/>
      <c r="W82" s="143" t="str">
        <f t="shared" si="17"/>
        <v/>
      </c>
      <c r="X82" s="143" t="str">
        <f t="shared" si="18"/>
        <v/>
      </c>
      <c r="Y82" s="143" t="str">
        <f t="shared" si="19"/>
        <v/>
      </c>
      <c r="Z82" s="150" t="str">
        <f t="shared" si="20"/>
        <v/>
      </c>
      <c r="AA82" s="143" t="str">
        <f t="shared" si="21"/>
        <v/>
      </c>
      <c r="AB82" s="152" t="str">
        <f t="shared" si="22"/>
        <v/>
      </c>
      <c r="AC82" s="158" t="str">
        <f>IF(AB82="","",IFERROR(INDEX(HELPER!$D$8:$D$48,IF(AB82&gt;=HELPER!$B$8,1,MATCH(AB82,HELPER!$B$8:$B$48,-1)+1)),""))</f>
        <v/>
      </c>
      <c r="AD82" s="155" t="str">
        <f>IF(AC82="","",IFERROR(VLOOKUP(AC82,HELPER!$F$8:$G$48,2,FALSE),""))</f>
        <v/>
      </c>
      <c r="AE82" s="135"/>
      <c r="AF82" s="90"/>
    </row>
    <row r="83" spans="1:32" ht="15" customHeight="1" x14ac:dyDescent="0.25">
      <c r="A83" s="135"/>
      <c r="B83" s="111">
        <v>15</v>
      </c>
      <c r="C83" s="209" t="str">
        <f>IF('INPUT DATA'!N25="","",'INPUT DATA'!N25)</f>
        <v/>
      </c>
      <c r="D83" s="210"/>
      <c r="E83" s="210"/>
      <c r="F83" s="123"/>
      <c r="G83" s="119"/>
      <c r="H83" s="119"/>
      <c r="I83" s="119"/>
      <c r="J83" s="124"/>
      <c r="K83" s="143" t="str">
        <f t="shared" si="23"/>
        <v/>
      </c>
      <c r="L83" s="143" t="str">
        <f t="shared" si="12"/>
        <v/>
      </c>
      <c r="M83" s="146" t="str">
        <f t="shared" si="13"/>
        <v/>
      </c>
      <c r="N83" s="123"/>
      <c r="O83" s="119"/>
      <c r="P83" s="124"/>
      <c r="Q83" s="143" t="str">
        <f t="shared" si="14"/>
        <v/>
      </c>
      <c r="R83" s="143" t="str">
        <f t="shared" si="15"/>
        <v/>
      </c>
      <c r="S83" s="143" t="str">
        <f t="shared" si="16"/>
        <v/>
      </c>
      <c r="T83" s="123"/>
      <c r="U83" s="119"/>
      <c r="V83" s="124"/>
      <c r="W83" s="143" t="str">
        <f t="shared" si="17"/>
        <v/>
      </c>
      <c r="X83" s="143" t="str">
        <f t="shared" si="18"/>
        <v/>
      </c>
      <c r="Y83" s="143" t="str">
        <f t="shared" si="19"/>
        <v/>
      </c>
      <c r="Z83" s="150" t="str">
        <f t="shared" si="20"/>
        <v/>
      </c>
      <c r="AA83" s="143" t="str">
        <f t="shared" si="21"/>
        <v/>
      </c>
      <c r="AB83" s="152" t="str">
        <f t="shared" si="22"/>
        <v/>
      </c>
      <c r="AC83" s="158" t="str">
        <f>IF(AB83="","",IFERROR(INDEX(HELPER!$D$8:$D$48,IF(AB83&gt;=HELPER!$B$8,1,MATCH(AB83,HELPER!$B$8:$B$48,-1)+1)),""))</f>
        <v/>
      </c>
      <c r="AD83" s="155" t="str">
        <f>IF(AC83="","",IFERROR(VLOOKUP(AC83,HELPER!$F$8:$G$48,2,FALSE),""))</f>
        <v/>
      </c>
      <c r="AE83" s="135"/>
      <c r="AF83" s="90"/>
    </row>
    <row r="84" spans="1:32" ht="15" customHeight="1" x14ac:dyDescent="0.25">
      <c r="A84" s="135"/>
      <c r="B84" s="111">
        <v>16</v>
      </c>
      <c r="C84" s="209" t="str">
        <f>IF('INPUT DATA'!N26="","",'INPUT DATA'!N26)</f>
        <v/>
      </c>
      <c r="D84" s="210"/>
      <c r="E84" s="210"/>
      <c r="F84" s="123"/>
      <c r="G84" s="119"/>
      <c r="H84" s="119"/>
      <c r="I84" s="119"/>
      <c r="J84" s="124"/>
      <c r="K84" s="143" t="str">
        <f t="shared" si="23"/>
        <v/>
      </c>
      <c r="L84" s="143" t="str">
        <f t="shared" si="12"/>
        <v/>
      </c>
      <c r="M84" s="146" t="str">
        <f t="shared" si="13"/>
        <v/>
      </c>
      <c r="N84" s="123"/>
      <c r="O84" s="119"/>
      <c r="P84" s="124"/>
      <c r="Q84" s="143" t="str">
        <f t="shared" si="14"/>
        <v/>
      </c>
      <c r="R84" s="143" t="str">
        <f t="shared" si="15"/>
        <v/>
      </c>
      <c r="S84" s="143" t="str">
        <f t="shared" si="16"/>
        <v/>
      </c>
      <c r="T84" s="123"/>
      <c r="U84" s="119"/>
      <c r="V84" s="124"/>
      <c r="W84" s="143" t="str">
        <f t="shared" si="17"/>
        <v/>
      </c>
      <c r="X84" s="143" t="str">
        <f t="shared" si="18"/>
        <v/>
      </c>
      <c r="Y84" s="143" t="str">
        <f t="shared" si="19"/>
        <v/>
      </c>
      <c r="Z84" s="150" t="str">
        <f t="shared" si="20"/>
        <v/>
      </c>
      <c r="AA84" s="143" t="str">
        <f t="shared" si="21"/>
        <v/>
      </c>
      <c r="AB84" s="152" t="str">
        <f t="shared" si="22"/>
        <v/>
      </c>
      <c r="AC84" s="158" t="str">
        <f>IF(AB84="","",IFERROR(INDEX(HELPER!$D$8:$D$48,IF(AB84&gt;=HELPER!$B$8,1,MATCH(AB84,HELPER!$B$8:$B$48,-1)+1)),""))</f>
        <v/>
      </c>
      <c r="AD84" s="155" t="str">
        <f>IF(AC84="","",IFERROR(VLOOKUP(AC84,HELPER!$F$8:$G$48,2,FALSE),""))</f>
        <v/>
      </c>
      <c r="AE84" s="135"/>
      <c r="AF84" s="90"/>
    </row>
    <row r="85" spans="1:32" ht="15" customHeight="1" x14ac:dyDescent="0.25">
      <c r="A85" s="135"/>
      <c r="B85" s="111">
        <v>17</v>
      </c>
      <c r="C85" s="209" t="str">
        <f>IF('INPUT DATA'!N27="","",'INPUT DATA'!N27)</f>
        <v/>
      </c>
      <c r="D85" s="210"/>
      <c r="E85" s="210"/>
      <c r="F85" s="123"/>
      <c r="G85" s="119"/>
      <c r="H85" s="119"/>
      <c r="I85" s="119"/>
      <c r="J85" s="124"/>
      <c r="K85" s="143" t="str">
        <f t="shared" si="23"/>
        <v/>
      </c>
      <c r="L85" s="143" t="str">
        <f t="shared" si="12"/>
        <v/>
      </c>
      <c r="M85" s="146" t="str">
        <f t="shared" si="13"/>
        <v/>
      </c>
      <c r="N85" s="123"/>
      <c r="O85" s="119"/>
      <c r="P85" s="124"/>
      <c r="Q85" s="143" t="str">
        <f t="shared" si="14"/>
        <v/>
      </c>
      <c r="R85" s="143" t="str">
        <f t="shared" si="15"/>
        <v/>
      </c>
      <c r="S85" s="143" t="str">
        <f t="shared" si="16"/>
        <v/>
      </c>
      <c r="T85" s="123"/>
      <c r="U85" s="119"/>
      <c r="V85" s="124"/>
      <c r="W85" s="143" t="str">
        <f t="shared" si="17"/>
        <v/>
      </c>
      <c r="X85" s="143" t="str">
        <f t="shared" si="18"/>
        <v/>
      </c>
      <c r="Y85" s="143" t="str">
        <f t="shared" si="19"/>
        <v/>
      </c>
      <c r="Z85" s="150" t="str">
        <f t="shared" si="20"/>
        <v/>
      </c>
      <c r="AA85" s="143" t="str">
        <f t="shared" si="21"/>
        <v/>
      </c>
      <c r="AB85" s="152" t="str">
        <f t="shared" si="22"/>
        <v/>
      </c>
      <c r="AC85" s="158" t="str">
        <f>IF(AB85="","",IFERROR(INDEX(HELPER!$D$8:$D$48,IF(AB85&gt;=HELPER!$B$8,1,MATCH(AB85,HELPER!$B$8:$B$48,-1)+1)),""))</f>
        <v/>
      </c>
      <c r="AD85" s="155" t="str">
        <f>IF(AC85="","",IFERROR(VLOOKUP(AC85,HELPER!$F$8:$G$48,2,FALSE),""))</f>
        <v/>
      </c>
      <c r="AE85" s="135"/>
      <c r="AF85" s="90"/>
    </row>
    <row r="86" spans="1:32" ht="15" customHeight="1" x14ac:dyDescent="0.25">
      <c r="A86" s="135"/>
      <c r="B86" s="111">
        <v>18</v>
      </c>
      <c r="C86" s="209" t="str">
        <f>IF('INPUT DATA'!N28="","",'INPUT DATA'!N28)</f>
        <v/>
      </c>
      <c r="D86" s="210"/>
      <c r="E86" s="210"/>
      <c r="F86" s="123"/>
      <c r="G86" s="119"/>
      <c r="H86" s="119"/>
      <c r="I86" s="119"/>
      <c r="J86" s="124"/>
      <c r="K86" s="143" t="str">
        <f t="shared" si="23"/>
        <v/>
      </c>
      <c r="L86" s="143" t="str">
        <f t="shared" si="12"/>
        <v/>
      </c>
      <c r="M86" s="146" t="str">
        <f t="shared" si="13"/>
        <v/>
      </c>
      <c r="N86" s="123"/>
      <c r="O86" s="119"/>
      <c r="P86" s="124"/>
      <c r="Q86" s="143" t="str">
        <f t="shared" si="14"/>
        <v/>
      </c>
      <c r="R86" s="143" t="str">
        <f t="shared" si="15"/>
        <v/>
      </c>
      <c r="S86" s="143" t="str">
        <f t="shared" si="16"/>
        <v/>
      </c>
      <c r="T86" s="123"/>
      <c r="U86" s="119"/>
      <c r="V86" s="124"/>
      <c r="W86" s="143" t="str">
        <f t="shared" si="17"/>
        <v/>
      </c>
      <c r="X86" s="143" t="str">
        <f t="shared" si="18"/>
        <v/>
      </c>
      <c r="Y86" s="143" t="str">
        <f t="shared" si="19"/>
        <v/>
      </c>
      <c r="Z86" s="150" t="str">
        <f t="shared" si="20"/>
        <v/>
      </c>
      <c r="AA86" s="143" t="str">
        <f t="shared" si="21"/>
        <v/>
      </c>
      <c r="AB86" s="152" t="str">
        <f t="shared" si="22"/>
        <v/>
      </c>
      <c r="AC86" s="158" t="str">
        <f>IF(AB86="","",IFERROR(INDEX(HELPER!$D$8:$D$48,IF(AB86&gt;=HELPER!$B$8,1,MATCH(AB86,HELPER!$B$8:$B$48,-1)+1)),""))</f>
        <v/>
      </c>
      <c r="AD86" s="155" t="str">
        <f>IF(AC86="","",IFERROR(VLOOKUP(AC86,HELPER!$F$8:$G$48,2,FALSE),""))</f>
        <v/>
      </c>
      <c r="AE86" s="135"/>
      <c r="AF86" s="90"/>
    </row>
    <row r="87" spans="1:32" ht="15" customHeight="1" x14ac:dyDescent="0.25">
      <c r="A87" s="135"/>
      <c r="B87" s="111">
        <v>19</v>
      </c>
      <c r="C87" s="209" t="str">
        <f>IF('INPUT DATA'!N29="","",'INPUT DATA'!N29)</f>
        <v/>
      </c>
      <c r="D87" s="210"/>
      <c r="E87" s="210"/>
      <c r="F87" s="123"/>
      <c r="G87" s="119"/>
      <c r="H87" s="119"/>
      <c r="I87" s="119"/>
      <c r="J87" s="124"/>
      <c r="K87" s="143" t="str">
        <f t="shared" si="23"/>
        <v/>
      </c>
      <c r="L87" s="143" t="str">
        <f t="shared" si="12"/>
        <v/>
      </c>
      <c r="M87" s="146" t="str">
        <f t="shared" si="13"/>
        <v/>
      </c>
      <c r="N87" s="123"/>
      <c r="O87" s="119"/>
      <c r="P87" s="124"/>
      <c r="Q87" s="143" t="str">
        <f t="shared" si="14"/>
        <v/>
      </c>
      <c r="R87" s="143" t="str">
        <f t="shared" si="15"/>
        <v/>
      </c>
      <c r="S87" s="143" t="str">
        <f t="shared" si="16"/>
        <v/>
      </c>
      <c r="T87" s="123"/>
      <c r="U87" s="119"/>
      <c r="V87" s="124"/>
      <c r="W87" s="143" t="str">
        <f t="shared" si="17"/>
        <v/>
      </c>
      <c r="X87" s="143" t="str">
        <f t="shared" si="18"/>
        <v/>
      </c>
      <c r="Y87" s="143" t="str">
        <f t="shared" si="19"/>
        <v/>
      </c>
      <c r="Z87" s="150" t="str">
        <f t="shared" si="20"/>
        <v/>
      </c>
      <c r="AA87" s="143" t="str">
        <f t="shared" si="21"/>
        <v/>
      </c>
      <c r="AB87" s="152" t="str">
        <f t="shared" si="22"/>
        <v/>
      </c>
      <c r="AC87" s="158" t="str">
        <f>IF(AB87="","",IFERROR(INDEX(HELPER!$D$8:$D$48,IF(AB87&gt;=HELPER!$B$8,1,MATCH(AB87,HELPER!$B$8:$B$48,-1)+1)),""))</f>
        <v/>
      </c>
      <c r="AD87" s="155" t="str">
        <f>IF(AC87="","",IFERROR(VLOOKUP(AC87,HELPER!$F$8:$G$48,2,FALSE),""))</f>
        <v/>
      </c>
      <c r="AE87" s="135"/>
      <c r="AF87" s="90"/>
    </row>
    <row r="88" spans="1:32" ht="15" customHeight="1" x14ac:dyDescent="0.25">
      <c r="A88" s="135"/>
      <c r="B88" s="112">
        <v>20</v>
      </c>
      <c r="C88" s="209" t="str">
        <f>IF('INPUT DATA'!N30="","",'INPUT DATA'!N30)</f>
        <v/>
      </c>
      <c r="D88" s="210"/>
      <c r="E88" s="210"/>
      <c r="F88" s="123"/>
      <c r="G88" s="119"/>
      <c r="H88" s="119"/>
      <c r="I88" s="119"/>
      <c r="J88" s="124"/>
      <c r="K88" s="143" t="str">
        <f t="shared" si="23"/>
        <v/>
      </c>
      <c r="L88" s="143" t="str">
        <f t="shared" si="12"/>
        <v/>
      </c>
      <c r="M88" s="146" t="str">
        <f t="shared" si="13"/>
        <v/>
      </c>
      <c r="N88" s="123"/>
      <c r="O88" s="119"/>
      <c r="P88" s="124"/>
      <c r="Q88" s="143" t="str">
        <f t="shared" si="14"/>
        <v/>
      </c>
      <c r="R88" s="143" t="str">
        <f t="shared" si="15"/>
        <v/>
      </c>
      <c r="S88" s="143" t="str">
        <f t="shared" si="16"/>
        <v/>
      </c>
      <c r="T88" s="123"/>
      <c r="U88" s="119"/>
      <c r="V88" s="124"/>
      <c r="W88" s="143" t="str">
        <f t="shared" si="17"/>
        <v/>
      </c>
      <c r="X88" s="143" t="str">
        <f t="shared" si="18"/>
        <v/>
      </c>
      <c r="Y88" s="143" t="str">
        <f t="shared" si="19"/>
        <v/>
      </c>
      <c r="Z88" s="150" t="str">
        <f t="shared" si="20"/>
        <v/>
      </c>
      <c r="AA88" s="143" t="str">
        <f t="shared" si="21"/>
        <v/>
      </c>
      <c r="AB88" s="152" t="str">
        <f t="shared" si="22"/>
        <v/>
      </c>
      <c r="AC88" s="158" t="str">
        <f>IF(AB88="","",IFERROR(INDEX(HELPER!$D$8:$D$48,IF(AB88&gt;=HELPER!$B$8,1,MATCH(AB88,HELPER!$B$8:$B$48,-1)+1)),""))</f>
        <v/>
      </c>
      <c r="AD88" s="155" t="str">
        <f>IF(AC88="","",IFERROR(VLOOKUP(AC88,HELPER!$F$8:$G$48,2,FALSE),""))</f>
        <v/>
      </c>
      <c r="AE88" s="135"/>
      <c r="AF88" s="90"/>
    </row>
    <row r="89" spans="1:32" ht="15" customHeight="1" x14ac:dyDescent="0.25">
      <c r="A89" s="135"/>
      <c r="B89" s="112">
        <v>21</v>
      </c>
      <c r="C89" s="209" t="str">
        <f>IF('INPUT DATA'!N31="","",'INPUT DATA'!N31)</f>
        <v/>
      </c>
      <c r="D89" s="210"/>
      <c r="E89" s="210"/>
      <c r="F89" s="123"/>
      <c r="G89" s="119"/>
      <c r="H89" s="119"/>
      <c r="I89" s="119"/>
      <c r="J89" s="124"/>
      <c r="K89" s="143" t="str">
        <f t="shared" si="23"/>
        <v/>
      </c>
      <c r="L89" s="143" t="str">
        <f t="shared" si="12"/>
        <v/>
      </c>
      <c r="M89" s="146" t="str">
        <f t="shared" si="13"/>
        <v/>
      </c>
      <c r="N89" s="123"/>
      <c r="O89" s="119"/>
      <c r="P89" s="124"/>
      <c r="Q89" s="143" t="str">
        <f t="shared" si="14"/>
        <v/>
      </c>
      <c r="R89" s="143" t="str">
        <f t="shared" si="15"/>
        <v/>
      </c>
      <c r="S89" s="143" t="str">
        <f t="shared" si="16"/>
        <v/>
      </c>
      <c r="T89" s="123"/>
      <c r="U89" s="119"/>
      <c r="V89" s="124"/>
      <c r="W89" s="143" t="str">
        <f t="shared" si="17"/>
        <v/>
      </c>
      <c r="X89" s="143" t="str">
        <f t="shared" si="18"/>
        <v/>
      </c>
      <c r="Y89" s="143" t="str">
        <f t="shared" si="19"/>
        <v/>
      </c>
      <c r="Z89" s="150" t="str">
        <f t="shared" si="20"/>
        <v/>
      </c>
      <c r="AA89" s="143" t="str">
        <f t="shared" si="21"/>
        <v/>
      </c>
      <c r="AB89" s="152" t="str">
        <f t="shared" si="22"/>
        <v/>
      </c>
      <c r="AC89" s="158" t="str">
        <f>IF(AB89="","",IFERROR(INDEX(HELPER!$D$8:$D$48,IF(AB89&gt;=HELPER!$B$8,1,MATCH(AB89,HELPER!$B$8:$B$48,-1)+1)),""))</f>
        <v/>
      </c>
      <c r="AD89" s="155" t="str">
        <f>IF(AC89="","",IFERROR(VLOOKUP(AC89,HELPER!$F$8:$G$48,2,FALSE),""))</f>
        <v/>
      </c>
      <c r="AE89" s="135"/>
      <c r="AF89" s="90"/>
    </row>
    <row r="90" spans="1:32" ht="15" customHeight="1" x14ac:dyDescent="0.25">
      <c r="A90" s="135"/>
      <c r="B90" s="112">
        <v>22</v>
      </c>
      <c r="C90" s="209" t="str">
        <f>IF('INPUT DATA'!N32="","",'INPUT DATA'!N32)</f>
        <v/>
      </c>
      <c r="D90" s="210"/>
      <c r="E90" s="210"/>
      <c r="F90" s="123"/>
      <c r="G90" s="119"/>
      <c r="H90" s="119"/>
      <c r="I90" s="119"/>
      <c r="J90" s="124"/>
      <c r="K90" s="143" t="str">
        <f t="shared" si="23"/>
        <v/>
      </c>
      <c r="L90" s="143" t="str">
        <f t="shared" si="12"/>
        <v/>
      </c>
      <c r="M90" s="146" t="str">
        <f t="shared" si="13"/>
        <v/>
      </c>
      <c r="N90" s="123"/>
      <c r="O90" s="119"/>
      <c r="P90" s="124"/>
      <c r="Q90" s="143" t="str">
        <f t="shared" si="14"/>
        <v/>
      </c>
      <c r="R90" s="143" t="str">
        <f t="shared" si="15"/>
        <v/>
      </c>
      <c r="S90" s="143" t="str">
        <f t="shared" si="16"/>
        <v/>
      </c>
      <c r="T90" s="123"/>
      <c r="U90" s="119"/>
      <c r="V90" s="124"/>
      <c r="W90" s="143" t="str">
        <f t="shared" si="17"/>
        <v/>
      </c>
      <c r="X90" s="143" t="str">
        <f t="shared" si="18"/>
        <v/>
      </c>
      <c r="Y90" s="143" t="str">
        <f t="shared" si="19"/>
        <v/>
      </c>
      <c r="Z90" s="150" t="str">
        <f t="shared" si="20"/>
        <v/>
      </c>
      <c r="AA90" s="143" t="str">
        <f t="shared" si="21"/>
        <v/>
      </c>
      <c r="AB90" s="152" t="str">
        <f t="shared" si="22"/>
        <v/>
      </c>
      <c r="AC90" s="158" t="str">
        <f>IF(AB90="","",IFERROR(INDEX(HELPER!$D$8:$D$48,IF(AB90&gt;=HELPER!$B$8,1,MATCH(AB90,HELPER!$B$8:$B$48,-1)+1)),""))</f>
        <v/>
      </c>
      <c r="AD90" s="155" t="str">
        <f>IF(AC90="","",IFERROR(VLOOKUP(AC90,HELPER!$F$8:$G$48,2,FALSE),""))</f>
        <v/>
      </c>
      <c r="AE90" s="135"/>
      <c r="AF90" s="90"/>
    </row>
    <row r="91" spans="1:32" ht="15" customHeight="1" x14ac:dyDescent="0.25">
      <c r="A91" s="135"/>
      <c r="B91" s="112">
        <v>23</v>
      </c>
      <c r="C91" s="209" t="str">
        <f>IF('INPUT DATA'!N33="","",'INPUT DATA'!N33)</f>
        <v/>
      </c>
      <c r="D91" s="210"/>
      <c r="E91" s="210"/>
      <c r="F91" s="123"/>
      <c r="G91" s="119"/>
      <c r="H91" s="119"/>
      <c r="I91" s="119"/>
      <c r="J91" s="124"/>
      <c r="K91" s="143" t="str">
        <f t="shared" si="23"/>
        <v/>
      </c>
      <c r="L91" s="143" t="str">
        <f t="shared" si="12"/>
        <v/>
      </c>
      <c r="M91" s="146" t="str">
        <f t="shared" si="13"/>
        <v/>
      </c>
      <c r="N91" s="123"/>
      <c r="O91" s="119"/>
      <c r="P91" s="124"/>
      <c r="Q91" s="143" t="str">
        <f t="shared" si="14"/>
        <v/>
      </c>
      <c r="R91" s="143" t="str">
        <f t="shared" si="15"/>
        <v/>
      </c>
      <c r="S91" s="143" t="str">
        <f t="shared" si="16"/>
        <v/>
      </c>
      <c r="T91" s="123"/>
      <c r="U91" s="119"/>
      <c r="V91" s="124"/>
      <c r="W91" s="143" t="str">
        <f t="shared" si="17"/>
        <v/>
      </c>
      <c r="X91" s="143" t="str">
        <f t="shared" si="18"/>
        <v/>
      </c>
      <c r="Y91" s="143" t="str">
        <f t="shared" si="19"/>
        <v/>
      </c>
      <c r="Z91" s="150" t="str">
        <f t="shared" si="20"/>
        <v/>
      </c>
      <c r="AA91" s="143" t="str">
        <f t="shared" si="21"/>
        <v/>
      </c>
      <c r="AB91" s="152" t="str">
        <f t="shared" si="22"/>
        <v/>
      </c>
      <c r="AC91" s="158" t="str">
        <f>IF(AB91="","",IFERROR(INDEX(HELPER!$D$8:$D$48,IF(AB91&gt;=HELPER!$B$8,1,MATCH(AB91,HELPER!$B$8:$B$48,-1)+1)),""))</f>
        <v/>
      </c>
      <c r="AD91" s="155" t="str">
        <f>IF(AC91="","",IFERROR(VLOOKUP(AC91,HELPER!$F$8:$G$48,2,FALSE),""))</f>
        <v/>
      </c>
      <c r="AE91" s="135"/>
      <c r="AF91" s="90"/>
    </row>
    <row r="92" spans="1:32" ht="15" customHeight="1" x14ac:dyDescent="0.25">
      <c r="A92" s="135"/>
      <c r="B92" s="112">
        <v>24</v>
      </c>
      <c r="C92" s="209" t="str">
        <f>IF('INPUT DATA'!N34="","",'INPUT DATA'!N34)</f>
        <v/>
      </c>
      <c r="D92" s="210"/>
      <c r="E92" s="210"/>
      <c r="F92" s="123"/>
      <c r="G92" s="119"/>
      <c r="H92" s="119"/>
      <c r="I92" s="119"/>
      <c r="J92" s="124"/>
      <c r="K92" s="143" t="str">
        <f t="shared" si="23"/>
        <v/>
      </c>
      <c r="L92" s="143" t="str">
        <f t="shared" si="12"/>
        <v/>
      </c>
      <c r="M92" s="146" t="str">
        <f t="shared" si="13"/>
        <v/>
      </c>
      <c r="N92" s="123"/>
      <c r="O92" s="119"/>
      <c r="P92" s="124"/>
      <c r="Q92" s="143" t="str">
        <f t="shared" si="14"/>
        <v/>
      </c>
      <c r="R92" s="143" t="str">
        <f t="shared" si="15"/>
        <v/>
      </c>
      <c r="S92" s="143" t="str">
        <f t="shared" si="16"/>
        <v/>
      </c>
      <c r="T92" s="123"/>
      <c r="U92" s="119"/>
      <c r="V92" s="124"/>
      <c r="W92" s="143" t="str">
        <f t="shared" si="17"/>
        <v/>
      </c>
      <c r="X92" s="143" t="str">
        <f t="shared" si="18"/>
        <v/>
      </c>
      <c r="Y92" s="143" t="str">
        <f t="shared" si="19"/>
        <v/>
      </c>
      <c r="Z92" s="150" t="str">
        <f t="shared" si="20"/>
        <v/>
      </c>
      <c r="AA92" s="143" t="str">
        <f t="shared" si="21"/>
        <v/>
      </c>
      <c r="AB92" s="152" t="str">
        <f t="shared" si="22"/>
        <v/>
      </c>
      <c r="AC92" s="158" t="str">
        <f>IF(AB92="","",IFERROR(INDEX(HELPER!$D$8:$D$48,IF(AB92&gt;=HELPER!$B$8,1,MATCH(AB92,HELPER!$B$8:$B$48,-1)+1)),""))</f>
        <v/>
      </c>
      <c r="AD92" s="155" t="str">
        <f>IF(AC92="","",IFERROR(VLOOKUP(AC92,HELPER!$F$8:$G$48,2,FALSE),""))</f>
        <v/>
      </c>
      <c r="AE92" s="135"/>
      <c r="AF92" s="90"/>
    </row>
    <row r="93" spans="1:32" ht="15" customHeight="1" x14ac:dyDescent="0.25">
      <c r="A93" s="135"/>
      <c r="B93" s="112">
        <v>25</v>
      </c>
      <c r="C93" s="209" t="str">
        <f>IF('INPUT DATA'!N35="","",'INPUT DATA'!N35)</f>
        <v/>
      </c>
      <c r="D93" s="210"/>
      <c r="E93" s="210"/>
      <c r="F93" s="123"/>
      <c r="G93" s="119"/>
      <c r="H93" s="119"/>
      <c r="I93" s="119"/>
      <c r="J93" s="124"/>
      <c r="K93" s="143" t="str">
        <f t="shared" si="23"/>
        <v/>
      </c>
      <c r="L93" s="143" t="str">
        <f t="shared" si="12"/>
        <v/>
      </c>
      <c r="M93" s="146" t="str">
        <f t="shared" si="13"/>
        <v/>
      </c>
      <c r="N93" s="123"/>
      <c r="O93" s="119"/>
      <c r="P93" s="124"/>
      <c r="Q93" s="143" t="str">
        <f t="shared" si="14"/>
        <v/>
      </c>
      <c r="R93" s="143" t="str">
        <f t="shared" si="15"/>
        <v/>
      </c>
      <c r="S93" s="143" t="str">
        <f t="shared" si="16"/>
        <v/>
      </c>
      <c r="T93" s="123"/>
      <c r="U93" s="119"/>
      <c r="V93" s="124"/>
      <c r="W93" s="143" t="str">
        <f t="shared" si="17"/>
        <v/>
      </c>
      <c r="X93" s="143" t="str">
        <f t="shared" si="18"/>
        <v/>
      </c>
      <c r="Y93" s="143" t="str">
        <f t="shared" si="19"/>
        <v/>
      </c>
      <c r="Z93" s="150" t="str">
        <f t="shared" si="20"/>
        <v/>
      </c>
      <c r="AA93" s="143" t="str">
        <f t="shared" si="21"/>
        <v/>
      </c>
      <c r="AB93" s="152" t="str">
        <f t="shared" si="22"/>
        <v/>
      </c>
      <c r="AC93" s="158" t="str">
        <f>IF(AB93="","",IFERROR(INDEX(HELPER!$D$8:$D$48,IF(AB93&gt;=HELPER!$B$8,1,MATCH(AB93,HELPER!$B$8:$B$48,-1)+1)),""))</f>
        <v/>
      </c>
      <c r="AD93" s="155" t="str">
        <f>IF(AC93="","",IFERROR(VLOOKUP(AC93,HELPER!$F$8:$G$48,2,FALSE),""))</f>
        <v/>
      </c>
      <c r="AE93" s="135"/>
      <c r="AF93" s="90"/>
    </row>
    <row r="94" spans="1:32" ht="15" customHeight="1" x14ac:dyDescent="0.25">
      <c r="A94" s="135"/>
      <c r="B94" s="112">
        <v>26</v>
      </c>
      <c r="C94" s="209" t="str">
        <f>IF('INPUT DATA'!N36="","",'INPUT DATA'!N36)</f>
        <v/>
      </c>
      <c r="D94" s="210"/>
      <c r="E94" s="210"/>
      <c r="F94" s="123"/>
      <c r="G94" s="119"/>
      <c r="H94" s="119"/>
      <c r="I94" s="119"/>
      <c r="J94" s="124"/>
      <c r="K94" s="143" t="str">
        <f t="shared" si="23"/>
        <v/>
      </c>
      <c r="L94" s="143" t="str">
        <f t="shared" si="12"/>
        <v/>
      </c>
      <c r="M94" s="146" t="str">
        <f t="shared" si="13"/>
        <v/>
      </c>
      <c r="N94" s="123"/>
      <c r="O94" s="119"/>
      <c r="P94" s="124"/>
      <c r="Q94" s="143" t="str">
        <f t="shared" si="14"/>
        <v/>
      </c>
      <c r="R94" s="143" t="str">
        <f t="shared" si="15"/>
        <v/>
      </c>
      <c r="S94" s="143" t="str">
        <f t="shared" si="16"/>
        <v/>
      </c>
      <c r="T94" s="123"/>
      <c r="U94" s="119"/>
      <c r="V94" s="124"/>
      <c r="W94" s="143" t="str">
        <f t="shared" si="17"/>
        <v/>
      </c>
      <c r="X94" s="143" t="str">
        <f t="shared" si="18"/>
        <v/>
      </c>
      <c r="Y94" s="143" t="str">
        <f t="shared" si="19"/>
        <v/>
      </c>
      <c r="Z94" s="150" t="str">
        <f t="shared" si="20"/>
        <v/>
      </c>
      <c r="AA94" s="143" t="str">
        <f t="shared" si="21"/>
        <v/>
      </c>
      <c r="AB94" s="152" t="str">
        <f t="shared" si="22"/>
        <v/>
      </c>
      <c r="AC94" s="158" t="str">
        <f>IF(AB94="","",IFERROR(INDEX(HELPER!$D$8:$D$48,IF(AB94&gt;=HELPER!$B$8,1,MATCH(AB94,HELPER!$B$8:$B$48,-1)+1)),""))</f>
        <v/>
      </c>
      <c r="AD94" s="155" t="str">
        <f>IF(AC94="","",IFERROR(VLOOKUP(AC94,HELPER!$F$8:$G$48,2,FALSE),""))</f>
        <v/>
      </c>
      <c r="AE94" s="135"/>
      <c r="AF94" s="90"/>
    </row>
    <row r="95" spans="1:32" ht="15" customHeight="1" x14ac:dyDescent="0.25">
      <c r="A95" s="135"/>
      <c r="B95" s="112">
        <v>27</v>
      </c>
      <c r="C95" s="209" t="str">
        <f>IF('INPUT DATA'!N37="","",'INPUT DATA'!N37)</f>
        <v/>
      </c>
      <c r="D95" s="210"/>
      <c r="E95" s="210"/>
      <c r="F95" s="123"/>
      <c r="G95" s="119"/>
      <c r="H95" s="119"/>
      <c r="I95" s="119"/>
      <c r="J95" s="124"/>
      <c r="K95" s="143" t="str">
        <f t="shared" si="23"/>
        <v/>
      </c>
      <c r="L95" s="143" t="str">
        <f t="shared" si="12"/>
        <v/>
      </c>
      <c r="M95" s="146" t="str">
        <f t="shared" si="13"/>
        <v/>
      </c>
      <c r="N95" s="123"/>
      <c r="O95" s="119"/>
      <c r="P95" s="124"/>
      <c r="Q95" s="143" t="str">
        <f t="shared" si="14"/>
        <v/>
      </c>
      <c r="R95" s="143" t="str">
        <f t="shared" si="15"/>
        <v/>
      </c>
      <c r="S95" s="143" t="str">
        <f t="shared" si="16"/>
        <v/>
      </c>
      <c r="T95" s="123"/>
      <c r="U95" s="119"/>
      <c r="V95" s="124"/>
      <c r="W95" s="143" t="str">
        <f t="shared" si="17"/>
        <v/>
      </c>
      <c r="X95" s="143" t="str">
        <f t="shared" si="18"/>
        <v/>
      </c>
      <c r="Y95" s="143" t="str">
        <f t="shared" si="19"/>
        <v/>
      </c>
      <c r="Z95" s="150" t="str">
        <f t="shared" si="20"/>
        <v/>
      </c>
      <c r="AA95" s="143" t="str">
        <f t="shared" si="21"/>
        <v/>
      </c>
      <c r="AB95" s="152" t="str">
        <f t="shared" si="22"/>
        <v/>
      </c>
      <c r="AC95" s="158" t="str">
        <f>IF(AB95="","",IFERROR(INDEX(HELPER!$D$8:$D$48,IF(AB95&gt;=HELPER!$B$8,1,MATCH(AB95,HELPER!$B$8:$B$48,-1)+1)),""))</f>
        <v/>
      </c>
      <c r="AD95" s="155" t="str">
        <f>IF(AC95="","",IFERROR(VLOOKUP(AC95,HELPER!$F$8:$G$48,2,FALSE),""))</f>
        <v/>
      </c>
      <c r="AE95" s="135"/>
      <c r="AF95" s="90"/>
    </row>
    <row r="96" spans="1:32" ht="15" customHeight="1" x14ac:dyDescent="0.25">
      <c r="A96" s="135"/>
      <c r="B96" s="112">
        <v>28</v>
      </c>
      <c r="C96" s="209" t="str">
        <f>IF('INPUT DATA'!N38="","",'INPUT DATA'!N38)</f>
        <v/>
      </c>
      <c r="D96" s="210"/>
      <c r="E96" s="210"/>
      <c r="F96" s="123"/>
      <c r="G96" s="119"/>
      <c r="H96" s="119"/>
      <c r="I96" s="119"/>
      <c r="J96" s="124"/>
      <c r="K96" s="143" t="str">
        <f t="shared" si="23"/>
        <v/>
      </c>
      <c r="L96" s="143" t="str">
        <f t="shared" si="12"/>
        <v/>
      </c>
      <c r="M96" s="146" t="str">
        <f t="shared" si="13"/>
        <v/>
      </c>
      <c r="N96" s="123"/>
      <c r="O96" s="119"/>
      <c r="P96" s="124"/>
      <c r="Q96" s="143" t="str">
        <f t="shared" si="14"/>
        <v/>
      </c>
      <c r="R96" s="143" t="str">
        <f t="shared" si="15"/>
        <v/>
      </c>
      <c r="S96" s="143" t="str">
        <f t="shared" si="16"/>
        <v/>
      </c>
      <c r="T96" s="123"/>
      <c r="U96" s="119"/>
      <c r="V96" s="124"/>
      <c r="W96" s="143" t="str">
        <f t="shared" si="17"/>
        <v/>
      </c>
      <c r="X96" s="143" t="str">
        <f t="shared" si="18"/>
        <v/>
      </c>
      <c r="Y96" s="143" t="str">
        <f t="shared" si="19"/>
        <v/>
      </c>
      <c r="Z96" s="150" t="str">
        <f t="shared" si="20"/>
        <v/>
      </c>
      <c r="AA96" s="143" t="str">
        <f t="shared" si="21"/>
        <v/>
      </c>
      <c r="AB96" s="152" t="str">
        <f t="shared" si="22"/>
        <v/>
      </c>
      <c r="AC96" s="158" t="str">
        <f>IF(AB96="","",IFERROR(INDEX(HELPER!$D$8:$D$48,IF(AB96&gt;=HELPER!$B$8,1,MATCH(AB96,HELPER!$B$8:$B$48,-1)+1)),""))</f>
        <v/>
      </c>
      <c r="AD96" s="155" t="str">
        <f>IF(AC96="","",IFERROR(VLOOKUP(AC96,HELPER!$F$8:$G$48,2,FALSE),""))</f>
        <v/>
      </c>
      <c r="AE96" s="135"/>
      <c r="AF96" s="90"/>
    </row>
    <row r="97" spans="1:32" ht="15" customHeight="1" x14ac:dyDescent="0.25">
      <c r="A97" s="135"/>
      <c r="B97" s="112">
        <v>29</v>
      </c>
      <c r="C97" s="209" t="str">
        <f>IF('INPUT DATA'!N39="","",'INPUT DATA'!N39)</f>
        <v/>
      </c>
      <c r="D97" s="210"/>
      <c r="E97" s="210"/>
      <c r="F97" s="123"/>
      <c r="G97" s="119"/>
      <c r="H97" s="119"/>
      <c r="I97" s="119"/>
      <c r="J97" s="124"/>
      <c r="K97" s="143" t="str">
        <f t="shared" si="23"/>
        <v/>
      </c>
      <c r="L97" s="143" t="str">
        <f t="shared" si="12"/>
        <v/>
      </c>
      <c r="M97" s="146" t="str">
        <f t="shared" si="13"/>
        <v/>
      </c>
      <c r="N97" s="123"/>
      <c r="O97" s="119"/>
      <c r="P97" s="124"/>
      <c r="Q97" s="143" t="str">
        <f t="shared" si="14"/>
        <v/>
      </c>
      <c r="R97" s="143" t="str">
        <f t="shared" si="15"/>
        <v/>
      </c>
      <c r="S97" s="143" t="str">
        <f t="shared" si="16"/>
        <v/>
      </c>
      <c r="T97" s="123"/>
      <c r="U97" s="119"/>
      <c r="V97" s="124"/>
      <c r="W97" s="143" t="str">
        <f t="shared" si="17"/>
        <v/>
      </c>
      <c r="X97" s="143" t="str">
        <f t="shared" si="18"/>
        <v/>
      </c>
      <c r="Y97" s="143" t="str">
        <f t="shared" si="19"/>
        <v/>
      </c>
      <c r="Z97" s="150" t="str">
        <f t="shared" si="20"/>
        <v/>
      </c>
      <c r="AA97" s="143" t="str">
        <f t="shared" si="21"/>
        <v/>
      </c>
      <c r="AB97" s="152" t="str">
        <f t="shared" si="22"/>
        <v/>
      </c>
      <c r="AC97" s="158" t="str">
        <f>IF(AB97="","",IFERROR(INDEX(HELPER!$D$8:$D$48,IF(AB97&gt;=HELPER!$B$8,1,MATCH(AB97,HELPER!$B$8:$B$48,-1)+1)),""))</f>
        <v/>
      </c>
      <c r="AD97" s="155" t="str">
        <f>IF(AC97="","",IFERROR(VLOOKUP(AC97,HELPER!$F$8:$G$48,2,FALSE),""))</f>
        <v/>
      </c>
      <c r="AE97" s="135"/>
      <c r="AF97" s="90"/>
    </row>
    <row r="98" spans="1:32" ht="15" customHeight="1" x14ac:dyDescent="0.25">
      <c r="A98" s="135"/>
      <c r="B98" s="112">
        <v>30</v>
      </c>
      <c r="C98" s="209" t="str">
        <f>IF('INPUT DATA'!N40="","",'INPUT DATA'!N40)</f>
        <v/>
      </c>
      <c r="D98" s="210"/>
      <c r="E98" s="210"/>
      <c r="F98" s="123"/>
      <c r="G98" s="119"/>
      <c r="H98" s="119"/>
      <c r="I98" s="119"/>
      <c r="J98" s="124"/>
      <c r="K98" s="143" t="str">
        <f t="shared" si="23"/>
        <v/>
      </c>
      <c r="L98" s="143" t="str">
        <f t="shared" si="12"/>
        <v/>
      </c>
      <c r="M98" s="146" t="str">
        <f t="shared" si="13"/>
        <v/>
      </c>
      <c r="N98" s="123"/>
      <c r="O98" s="119"/>
      <c r="P98" s="124"/>
      <c r="Q98" s="143" t="str">
        <f t="shared" si="14"/>
        <v/>
      </c>
      <c r="R98" s="143" t="str">
        <f t="shared" si="15"/>
        <v/>
      </c>
      <c r="S98" s="143" t="str">
        <f t="shared" si="16"/>
        <v/>
      </c>
      <c r="T98" s="123"/>
      <c r="U98" s="119"/>
      <c r="V98" s="124"/>
      <c r="W98" s="143" t="str">
        <f t="shared" si="17"/>
        <v/>
      </c>
      <c r="X98" s="143" t="str">
        <f t="shared" si="18"/>
        <v/>
      </c>
      <c r="Y98" s="143" t="str">
        <f t="shared" si="19"/>
        <v/>
      </c>
      <c r="Z98" s="150" t="str">
        <f t="shared" si="20"/>
        <v/>
      </c>
      <c r="AA98" s="143" t="str">
        <f t="shared" si="21"/>
        <v/>
      </c>
      <c r="AB98" s="152" t="str">
        <f t="shared" si="22"/>
        <v/>
      </c>
      <c r="AC98" s="158" t="str">
        <f>IF(AB98="","",IFERROR(INDEX(HELPER!$D$8:$D$48,IF(AB98&gt;=HELPER!$B$8,1,MATCH(AB98,HELPER!$B$8:$B$48,-1)+1)),""))</f>
        <v/>
      </c>
      <c r="AD98" s="155" t="str">
        <f>IF(AC98="","",IFERROR(VLOOKUP(AC98,HELPER!$F$8:$G$48,2,FALSE),""))</f>
        <v/>
      </c>
      <c r="AE98" s="135"/>
      <c r="AF98" s="90"/>
    </row>
    <row r="99" spans="1:32" ht="15" customHeight="1" x14ac:dyDescent="0.25">
      <c r="A99" s="135"/>
      <c r="B99" s="112">
        <v>31</v>
      </c>
      <c r="C99" s="209" t="str">
        <f>IF('INPUT DATA'!N41="","",'INPUT DATA'!N41)</f>
        <v/>
      </c>
      <c r="D99" s="210"/>
      <c r="E99" s="210"/>
      <c r="F99" s="123"/>
      <c r="G99" s="119"/>
      <c r="H99" s="119"/>
      <c r="I99" s="119"/>
      <c r="J99" s="124"/>
      <c r="K99" s="143" t="str">
        <f t="shared" si="23"/>
        <v/>
      </c>
      <c r="L99" s="143" t="str">
        <f t="shared" si="12"/>
        <v/>
      </c>
      <c r="M99" s="146" t="str">
        <f t="shared" si="13"/>
        <v/>
      </c>
      <c r="N99" s="123"/>
      <c r="O99" s="119"/>
      <c r="P99" s="124"/>
      <c r="Q99" s="143" t="str">
        <f t="shared" si="14"/>
        <v/>
      </c>
      <c r="R99" s="143" t="str">
        <f t="shared" si="15"/>
        <v/>
      </c>
      <c r="S99" s="143" t="str">
        <f t="shared" si="16"/>
        <v/>
      </c>
      <c r="T99" s="123"/>
      <c r="U99" s="119"/>
      <c r="V99" s="124"/>
      <c r="W99" s="143" t="str">
        <f t="shared" si="17"/>
        <v/>
      </c>
      <c r="X99" s="143" t="str">
        <f t="shared" si="18"/>
        <v/>
      </c>
      <c r="Y99" s="143" t="str">
        <f t="shared" si="19"/>
        <v/>
      </c>
      <c r="Z99" s="150" t="str">
        <f t="shared" si="20"/>
        <v/>
      </c>
      <c r="AA99" s="143" t="str">
        <f t="shared" si="21"/>
        <v/>
      </c>
      <c r="AB99" s="152" t="str">
        <f t="shared" si="22"/>
        <v/>
      </c>
      <c r="AC99" s="158" t="str">
        <f>IF(AB99="","",IFERROR(INDEX(HELPER!$D$8:$D$48,IF(AB99&gt;=HELPER!$B$8,1,MATCH(AB99,HELPER!$B$8:$B$48,-1)+1)),""))</f>
        <v/>
      </c>
      <c r="AD99" s="155" t="str">
        <f>IF(AC99="","",IFERROR(VLOOKUP(AC99,HELPER!$F$8:$G$48,2,FALSE),""))</f>
        <v/>
      </c>
      <c r="AE99" s="135"/>
      <c r="AF99" s="90"/>
    </row>
    <row r="100" spans="1:32" ht="15" customHeight="1" x14ac:dyDescent="0.25">
      <c r="A100" s="135"/>
      <c r="B100" s="112">
        <v>32</v>
      </c>
      <c r="C100" s="209" t="str">
        <f>IF('INPUT DATA'!N42="","",'INPUT DATA'!N42)</f>
        <v/>
      </c>
      <c r="D100" s="210"/>
      <c r="E100" s="210"/>
      <c r="F100" s="123"/>
      <c r="G100" s="119"/>
      <c r="H100" s="119"/>
      <c r="I100" s="119"/>
      <c r="J100" s="124"/>
      <c r="K100" s="143" t="str">
        <f t="shared" si="23"/>
        <v/>
      </c>
      <c r="L100" s="143" t="str">
        <f t="shared" si="12"/>
        <v/>
      </c>
      <c r="M100" s="146" t="str">
        <f t="shared" si="13"/>
        <v/>
      </c>
      <c r="N100" s="123"/>
      <c r="O100" s="119"/>
      <c r="P100" s="124"/>
      <c r="Q100" s="143" t="str">
        <f t="shared" si="14"/>
        <v/>
      </c>
      <c r="R100" s="143" t="str">
        <f t="shared" si="15"/>
        <v/>
      </c>
      <c r="S100" s="143" t="str">
        <f t="shared" si="16"/>
        <v/>
      </c>
      <c r="T100" s="123"/>
      <c r="U100" s="119"/>
      <c r="V100" s="124"/>
      <c r="W100" s="143" t="str">
        <f t="shared" si="17"/>
        <v/>
      </c>
      <c r="X100" s="143" t="str">
        <f t="shared" si="18"/>
        <v/>
      </c>
      <c r="Y100" s="143" t="str">
        <f t="shared" si="19"/>
        <v/>
      </c>
      <c r="Z100" s="150" t="str">
        <f t="shared" si="20"/>
        <v/>
      </c>
      <c r="AA100" s="143" t="str">
        <f t="shared" si="21"/>
        <v/>
      </c>
      <c r="AB100" s="152" t="str">
        <f t="shared" si="22"/>
        <v/>
      </c>
      <c r="AC100" s="158" t="str">
        <f>IF(AB100="","",IFERROR(INDEX(HELPER!$D$8:$D$48,IF(AB100&gt;=HELPER!$B$8,1,MATCH(AB100,HELPER!$B$8:$B$48,-1)+1)),""))</f>
        <v/>
      </c>
      <c r="AD100" s="155" t="str">
        <f>IF(AC100="","",IFERROR(VLOOKUP(AC100,HELPER!$F$8:$G$48,2,FALSE),""))</f>
        <v/>
      </c>
      <c r="AE100" s="135"/>
      <c r="AF100" s="90"/>
    </row>
    <row r="101" spans="1:32" ht="15" customHeight="1" x14ac:dyDescent="0.25">
      <c r="A101" s="135"/>
      <c r="B101" s="112">
        <v>33</v>
      </c>
      <c r="C101" s="209" t="str">
        <f>IF('INPUT DATA'!N43="","",'INPUT DATA'!N43)</f>
        <v/>
      </c>
      <c r="D101" s="210"/>
      <c r="E101" s="210"/>
      <c r="F101" s="123"/>
      <c r="G101" s="119"/>
      <c r="H101" s="119"/>
      <c r="I101" s="119"/>
      <c r="J101" s="124"/>
      <c r="K101" s="143" t="str">
        <f t="shared" si="23"/>
        <v/>
      </c>
      <c r="L101" s="143" t="str">
        <f t="shared" si="12"/>
        <v/>
      </c>
      <c r="M101" s="146" t="str">
        <f t="shared" si="13"/>
        <v/>
      </c>
      <c r="N101" s="123"/>
      <c r="O101" s="119"/>
      <c r="P101" s="124"/>
      <c r="Q101" s="143" t="str">
        <f t="shared" si="14"/>
        <v/>
      </c>
      <c r="R101" s="143" t="str">
        <f t="shared" si="15"/>
        <v/>
      </c>
      <c r="S101" s="143" t="str">
        <f t="shared" si="16"/>
        <v/>
      </c>
      <c r="T101" s="123"/>
      <c r="U101" s="119"/>
      <c r="V101" s="124"/>
      <c r="W101" s="143" t="str">
        <f t="shared" si="17"/>
        <v/>
      </c>
      <c r="X101" s="143" t="str">
        <f t="shared" si="18"/>
        <v/>
      </c>
      <c r="Y101" s="143" t="str">
        <f t="shared" si="19"/>
        <v/>
      </c>
      <c r="Z101" s="150" t="str">
        <f t="shared" si="20"/>
        <v/>
      </c>
      <c r="AA101" s="143" t="str">
        <f t="shared" si="21"/>
        <v/>
      </c>
      <c r="AB101" s="152" t="str">
        <f t="shared" si="22"/>
        <v/>
      </c>
      <c r="AC101" s="158" t="str">
        <f>IF(AB101="","",IFERROR(INDEX(HELPER!$D$8:$D$48,IF(AB101&gt;=HELPER!$B$8,1,MATCH(AB101,HELPER!$B$8:$B$48,-1)+1)),""))</f>
        <v/>
      </c>
      <c r="AD101" s="155" t="str">
        <f>IF(AC101="","",IFERROR(VLOOKUP(AC101,HELPER!$F$8:$G$48,2,FALSE),""))</f>
        <v/>
      </c>
      <c r="AE101" s="135"/>
      <c r="AF101" s="90"/>
    </row>
    <row r="102" spans="1:32" ht="15" customHeight="1" x14ac:dyDescent="0.25">
      <c r="A102" s="135"/>
      <c r="B102" s="112">
        <v>34</v>
      </c>
      <c r="C102" s="209" t="str">
        <f>IF('INPUT DATA'!N44="","",'INPUT DATA'!N44)</f>
        <v/>
      </c>
      <c r="D102" s="210"/>
      <c r="E102" s="210"/>
      <c r="F102" s="123"/>
      <c r="G102" s="119"/>
      <c r="H102" s="119"/>
      <c r="I102" s="119"/>
      <c r="J102" s="124"/>
      <c r="K102" s="143" t="str">
        <f t="shared" si="23"/>
        <v/>
      </c>
      <c r="L102" s="143" t="str">
        <f t="shared" si="12"/>
        <v/>
      </c>
      <c r="M102" s="146" t="str">
        <f t="shared" si="13"/>
        <v/>
      </c>
      <c r="N102" s="123"/>
      <c r="O102" s="119"/>
      <c r="P102" s="124"/>
      <c r="Q102" s="143" t="str">
        <f t="shared" si="14"/>
        <v/>
      </c>
      <c r="R102" s="143" t="str">
        <f t="shared" si="15"/>
        <v/>
      </c>
      <c r="S102" s="143" t="str">
        <f t="shared" si="16"/>
        <v/>
      </c>
      <c r="T102" s="123"/>
      <c r="U102" s="119"/>
      <c r="V102" s="124"/>
      <c r="W102" s="143" t="str">
        <f t="shared" si="17"/>
        <v/>
      </c>
      <c r="X102" s="143" t="str">
        <f t="shared" si="18"/>
        <v/>
      </c>
      <c r="Y102" s="143" t="str">
        <f t="shared" si="19"/>
        <v/>
      </c>
      <c r="Z102" s="150" t="str">
        <f t="shared" si="20"/>
        <v/>
      </c>
      <c r="AA102" s="143" t="str">
        <f t="shared" si="21"/>
        <v/>
      </c>
      <c r="AB102" s="152" t="str">
        <f t="shared" si="22"/>
        <v/>
      </c>
      <c r="AC102" s="158" t="str">
        <f>IF(AB102="","",IFERROR(INDEX(HELPER!$D$8:$D$48,IF(AB102&gt;=HELPER!$B$8,1,MATCH(AB102,HELPER!$B$8:$B$48,-1)+1)),""))</f>
        <v/>
      </c>
      <c r="AD102" s="155" t="str">
        <f>IF(AC102="","",IFERROR(VLOOKUP(AC102,HELPER!$F$8:$G$48,2,FALSE),""))</f>
        <v/>
      </c>
      <c r="AE102" s="135"/>
      <c r="AF102" s="90"/>
    </row>
    <row r="103" spans="1:32" ht="15" customHeight="1" x14ac:dyDescent="0.25">
      <c r="A103" s="135"/>
      <c r="B103" s="112">
        <v>35</v>
      </c>
      <c r="C103" s="209" t="str">
        <f>IF('INPUT DATA'!N45="","",'INPUT DATA'!N45)</f>
        <v/>
      </c>
      <c r="D103" s="210"/>
      <c r="E103" s="210"/>
      <c r="F103" s="123"/>
      <c r="G103" s="119"/>
      <c r="H103" s="119"/>
      <c r="I103" s="119"/>
      <c r="J103" s="124"/>
      <c r="K103" s="143" t="str">
        <f t="shared" si="23"/>
        <v/>
      </c>
      <c r="L103" s="143" t="str">
        <f t="shared" si="12"/>
        <v/>
      </c>
      <c r="M103" s="146" t="str">
        <f t="shared" si="13"/>
        <v/>
      </c>
      <c r="N103" s="123"/>
      <c r="O103" s="119"/>
      <c r="P103" s="124"/>
      <c r="Q103" s="143" t="str">
        <f t="shared" si="14"/>
        <v/>
      </c>
      <c r="R103" s="143" t="str">
        <f t="shared" si="15"/>
        <v/>
      </c>
      <c r="S103" s="143" t="str">
        <f t="shared" si="16"/>
        <v/>
      </c>
      <c r="T103" s="123"/>
      <c r="U103" s="119"/>
      <c r="V103" s="124"/>
      <c r="W103" s="143" t="str">
        <f t="shared" si="17"/>
        <v/>
      </c>
      <c r="X103" s="143" t="str">
        <f t="shared" si="18"/>
        <v/>
      </c>
      <c r="Y103" s="143" t="str">
        <f t="shared" si="19"/>
        <v/>
      </c>
      <c r="Z103" s="150" t="str">
        <f t="shared" si="20"/>
        <v/>
      </c>
      <c r="AA103" s="143" t="str">
        <f t="shared" si="21"/>
        <v/>
      </c>
      <c r="AB103" s="152" t="str">
        <f t="shared" si="22"/>
        <v/>
      </c>
      <c r="AC103" s="158" t="str">
        <f>IF(AB103="","",IFERROR(INDEX(HELPER!$D$8:$D$48,IF(AB103&gt;=HELPER!$B$8,1,MATCH(AB103,HELPER!$B$8:$B$48,-1)+1)),""))</f>
        <v/>
      </c>
      <c r="AD103" s="155" t="str">
        <f>IF(AC103="","",IFERROR(VLOOKUP(AC103,HELPER!$F$8:$G$48,2,FALSE),""))</f>
        <v/>
      </c>
      <c r="AE103" s="135"/>
      <c r="AF103" s="90"/>
    </row>
    <row r="104" spans="1:32" ht="15" customHeight="1" x14ac:dyDescent="0.25">
      <c r="A104" s="135"/>
      <c r="B104" s="112">
        <v>36</v>
      </c>
      <c r="C104" s="209" t="str">
        <f>IF('INPUT DATA'!N46="","",'INPUT DATA'!N46)</f>
        <v/>
      </c>
      <c r="D104" s="210"/>
      <c r="E104" s="210"/>
      <c r="F104" s="123"/>
      <c r="G104" s="119"/>
      <c r="H104" s="119"/>
      <c r="I104" s="119"/>
      <c r="J104" s="124"/>
      <c r="K104" s="143" t="str">
        <f t="shared" si="23"/>
        <v/>
      </c>
      <c r="L104" s="143" t="str">
        <f t="shared" si="12"/>
        <v/>
      </c>
      <c r="M104" s="146" t="str">
        <f t="shared" si="13"/>
        <v/>
      </c>
      <c r="N104" s="123"/>
      <c r="O104" s="119"/>
      <c r="P104" s="124"/>
      <c r="Q104" s="143" t="str">
        <f t="shared" si="14"/>
        <v/>
      </c>
      <c r="R104" s="143" t="str">
        <f t="shared" si="15"/>
        <v/>
      </c>
      <c r="S104" s="143" t="str">
        <f t="shared" si="16"/>
        <v/>
      </c>
      <c r="T104" s="123"/>
      <c r="U104" s="119"/>
      <c r="V104" s="124"/>
      <c r="W104" s="143" t="str">
        <f t="shared" si="17"/>
        <v/>
      </c>
      <c r="X104" s="143" t="str">
        <f t="shared" si="18"/>
        <v/>
      </c>
      <c r="Y104" s="143" t="str">
        <f t="shared" si="19"/>
        <v/>
      </c>
      <c r="Z104" s="150" t="str">
        <f t="shared" si="20"/>
        <v/>
      </c>
      <c r="AA104" s="143" t="str">
        <f t="shared" si="21"/>
        <v/>
      </c>
      <c r="AB104" s="152" t="str">
        <f t="shared" si="22"/>
        <v/>
      </c>
      <c r="AC104" s="158" t="str">
        <f>IF(AB104="","",IFERROR(INDEX(HELPER!$D$8:$D$48,IF(AB104&gt;=HELPER!$B$8,1,MATCH(AB104,HELPER!$B$8:$B$48,-1)+1)),""))</f>
        <v/>
      </c>
      <c r="AD104" s="155" t="str">
        <f>IF(AC104="","",IFERROR(VLOOKUP(AC104,HELPER!$F$8:$G$48,2,FALSE),""))</f>
        <v/>
      </c>
      <c r="AE104" s="135"/>
      <c r="AF104" s="90"/>
    </row>
    <row r="105" spans="1:32" ht="15" customHeight="1" x14ac:dyDescent="0.25">
      <c r="A105" s="135"/>
      <c r="B105" s="112">
        <v>37</v>
      </c>
      <c r="C105" s="209" t="str">
        <f>IF('INPUT DATA'!N47="","",'INPUT DATA'!N47)</f>
        <v/>
      </c>
      <c r="D105" s="210"/>
      <c r="E105" s="210"/>
      <c r="F105" s="123"/>
      <c r="G105" s="119"/>
      <c r="H105" s="119"/>
      <c r="I105" s="119"/>
      <c r="J105" s="124"/>
      <c r="K105" s="143" t="str">
        <f t="shared" si="23"/>
        <v/>
      </c>
      <c r="L105" s="143" t="str">
        <f t="shared" si="12"/>
        <v/>
      </c>
      <c r="M105" s="146" t="str">
        <f t="shared" si="13"/>
        <v/>
      </c>
      <c r="N105" s="123"/>
      <c r="O105" s="119"/>
      <c r="P105" s="124"/>
      <c r="Q105" s="143" t="str">
        <f t="shared" si="14"/>
        <v/>
      </c>
      <c r="R105" s="143" t="str">
        <f t="shared" si="15"/>
        <v/>
      </c>
      <c r="S105" s="143" t="str">
        <f t="shared" si="16"/>
        <v/>
      </c>
      <c r="T105" s="123"/>
      <c r="U105" s="119"/>
      <c r="V105" s="124"/>
      <c r="W105" s="143" t="str">
        <f t="shared" si="17"/>
        <v/>
      </c>
      <c r="X105" s="143" t="str">
        <f t="shared" si="18"/>
        <v/>
      </c>
      <c r="Y105" s="143" t="str">
        <f t="shared" si="19"/>
        <v/>
      </c>
      <c r="Z105" s="150" t="str">
        <f t="shared" si="20"/>
        <v/>
      </c>
      <c r="AA105" s="143" t="str">
        <f t="shared" si="21"/>
        <v/>
      </c>
      <c r="AB105" s="152" t="str">
        <f t="shared" si="22"/>
        <v/>
      </c>
      <c r="AC105" s="158" t="str">
        <f>IF(AB105="","",IFERROR(INDEX(HELPER!$D$8:$D$48,IF(AB105&gt;=HELPER!$B$8,1,MATCH(AB105,HELPER!$B$8:$B$48,-1)+1)),""))</f>
        <v/>
      </c>
      <c r="AD105" s="155" t="str">
        <f>IF(AC105="","",IFERROR(VLOOKUP(AC105,HELPER!$F$8:$G$48,2,FALSE),""))</f>
        <v/>
      </c>
      <c r="AE105" s="135"/>
      <c r="AF105" s="90"/>
    </row>
    <row r="106" spans="1:32" ht="15" customHeight="1" x14ac:dyDescent="0.25">
      <c r="A106" s="135"/>
      <c r="B106" s="112">
        <v>38</v>
      </c>
      <c r="C106" s="209" t="str">
        <f>IF('INPUT DATA'!N48="","",'INPUT DATA'!N48)</f>
        <v/>
      </c>
      <c r="D106" s="210"/>
      <c r="E106" s="210"/>
      <c r="F106" s="123"/>
      <c r="G106" s="119"/>
      <c r="H106" s="119"/>
      <c r="I106" s="119"/>
      <c r="J106" s="124"/>
      <c r="K106" s="143" t="str">
        <f t="shared" si="23"/>
        <v/>
      </c>
      <c r="L106" s="143" t="str">
        <f t="shared" si="12"/>
        <v/>
      </c>
      <c r="M106" s="146" t="str">
        <f t="shared" si="13"/>
        <v/>
      </c>
      <c r="N106" s="123"/>
      <c r="O106" s="119"/>
      <c r="P106" s="124"/>
      <c r="Q106" s="143" t="str">
        <f t="shared" si="14"/>
        <v/>
      </c>
      <c r="R106" s="143" t="str">
        <f t="shared" si="15"/>
        <v/>
      </c>
      <c r="S106" s="143" t="str">
        <f t="shared" si="16"/>
        <v/>
      </c>
      <c r="T106" s="123"/>
      <c r="U106" s="119"/>
      <c r="V106" s="124"/>
      <c r="W106" s="143" t="str">
        <f t="shared" si="17"/>
        <v/>
      </c>
      <c r="X106" s="143" t="str">
        <f t="shared" si="18"/>
        <v/>
      </c>
      <c r="Y106" s="143" t="str">
        <f t="shared" si="19"/>
        <v/>
      </c>
      <c r="Z106" s="150" t="str">
        <f t="shared" si="20"/>
        <v/>
      </c>
      <c r="AA106" s="143" t="str">
        <f t="shared" si="21"/>
        <v/>
      </c>
      <c r="AB106" s="152" t="str">
        <f t="shared" si="22"/>
        <v/>
      </c>
      <c r="AC106" s="158" t="str">
        <f>IF(AB106="","",IFERROR(INDEX(HELPER!$D$8:$D$48,IF(AB106&gt;=HELPER!$B$8,1,MATCH(AB106,HELPER!$B$8:$B$48,-1)+1)),""))</f>
        <v/>
      </c>
      <c r="AD106" s="155" t="str">
        <f>IF(AC106="","",IFERROR(VLOOKUP(AC106,HELPER!$F$8:$G$48,2,FALSE),""))</f>
        <v/>
      </c>
      <c r="AE106" s="135"/>
      <c r="AF106" s="90"/>
    </row>
    <row r="107" spans="1:32" ht="15" customHeight="1" x14ac:dyDescent="0.25">
      <c r="A107" s="135"/>
      <c r="B107" s="112">
        <v>39</v>
      </c>
      <c r="C107" s="209" t="str">
        <f>IF('INPUT DATA'!N49="","",'INPUT DATA'!N49)</f>
        <v/>
      </c>
      <c r="D107" s="210"/>
      <c r="E107" s="210"/>
      <c r="F107" s="123"/>
      <c r="G107" s="119"/>
      <c r="H107" s="119"/>
      <c r="I107" s="119"/>
      <c r="J107" s="124"/>
      <c r="K107" s="143" t="str">
        <f t="shared" si="23"/>
        <v/>
      </c>
      <c r="L107" s="143" t="str">
        <f t="shared" si="12"/>
        <v/>
      </c>
      <c r="M107" s="146" t="str">
        <f t="shared" si="13"/>
        <v/>
      </c>
      <c r="N107" s="123"/>
      <c r="O107" s="119"/>
      <c r="P107" s="124"/>
      <c r="Q107" s="143" t="str">
        <f t="shared" si="14"/>
        <v/>
      </c>
      <c r="R107" s="143" t="str">
        <f t="shared" si="15"/>
        <v/>
      </c>
      <c r="S107" s="143" t="str">
        <f t="shared" si="16"/>
        <v/>
      </c>
      <c r="T107" s="123"/>
      <c r="U107" s="119"/>
      <c r="V107" s="124"/>
      <c r="W107" s="143" t="str">
        <f t="shared" si="17"/>
        <v/>
      </c>
      <c r="X107" s="143" t="str">
        <f t="shared" si="18"/>
        <v/>
      </c>
      <c r="Y107" s="143" t="str">
        <f t="shared" si="19"/>
        <v/>
      </c>
      <c r="Z107" s="150" t="str">
        <f t="shared" si="20"/>
        <v/>
      </c>
      <c r="AA107" s="143" t="str">
        <f t="shared" si="21"/>
        <v/>
      </c>
      <c r="AB107" s="152" t="str">
        <f t="shared" si="22"/>
        <v/>
      </c>
      <c r="AC107" s="158" t="str">
        <f>IF(AB107="","",IFERROR(INDEX(HELPER!$D$8:$D$48,IF(AB107&gt;=HELPER!$B$8,1,MATCH(AB107,HELPER!$B$8:$B$48,-1)+1)),""))</f>
        <v/>
      </c>
      <c r="AD107" s="155" t="str">
        <f>IF(AC107="","",IFERROR(VLOOKUP(AC107,HELPER!$F$8:$G$48,2,FALSE),""))</f>
        <v/>
      </c>
      <c r="AE107" s="135"/>
      <c r="AF107" s="90"/>
    </row>
    <row r="108" spans="1:32" ht="15" customHeight="1" x14ac:dyDescent="0.25">
      <c r="A108" s="135"/>
      <c r="B108" s="112">
        <v>40</v>
      </c>
      <c r="C108" s="209" t="str">
        <f>IF('INPUT DATA'!N50="","",'INPUT DATA'!N50)</f>
        <v/>
      </c>
      <c r="D108" s="210"/>
      <c r="E108" s="210"/>
      <c r="F108" s="123"/>
      <c r="G108" s="119"/>
      <c r="H108" s="119"/>
      <c r="I108" s="119"/>
      <c r="J108" s="124"/>
      <c r="K108" s="143" t="str">
        <f t="shared" si="23"/>
        <v/>
      </c>
      <c r="L108" s="143" t="str">
        <f t="shared" si="12"/>
        <v/>
      </c>
      <c r="M108" s="146" t="str">
        <f t="shared" si="13"/>
        <v/>
      </c>
      <c r="N108" s="123"/>
      <c r="O108" s="119"/>
      <c r="P108" s="124"/>
      <c r="Q108" s="143" t="str">
        <f t="shared" si="14"/>
        <v/>
      </c>
      <c r="R108" s="143" t="str">
        <f t="shared" si="15"/>
        <v/>
      </c>
      <c r="S108" s="143" t="str">
        <f t="shared" si="16"/>
        <v/>
      </c>
      <c r="T108" s="123"/>
      <c r="U108" s="119"/>
      <c r="V108" s="124"/>
      <c r="W108" s="143" t="str">
        <f t="shared" si="17"/>
        <v/>
      </c>
      <c r="X108" s="143" t="str">
        <f t="shared" si="18"/>
        <v/>
      </c>
      <c r="Y108" s="143" t="str">
        <f t="shared" si="19"/>
        <v/>
      </c>
      <c r="Z108" s="150" t="str">
        <f t="shared" si="20"/>
        <v/>
      </c>
      <c r="AA108" s="143" t="str">
        <f t="shared" si="21"/>
        <v/>
      </c>
      <c r="AB108" s="152" t="str">
        <f t="shared" si="22"/>
        <v/>
      </c>
      <c r="AC108" s="158" t="str">
        <f>IF(AB108="","",IFERROR(INDEX(HELPER!$D$8:$D$48,IF(AB108&gt;=HELPER!$B$8,1,MATCH(AB108,HELPER!$B$8:$B$48,-1)+1)),""))</f>
        <v/>
      </c>
      <c r="AD108" s="155" t="str">
        <f>IF(AC108="","",IFERROR(VLOOKUP(AC108,HELPER!$F$8:$G$48,2,FALSE),""))</f>
        <v/>
      </c>
      <c r="AE108" s="135"/>
      <c r="AF108" s="90"/>
    </row>
    <row r="109" spans="1:32" ht="15" customHeight="1" x14ac:dyDescent="0.25">
      <c r="A109" s="135"/>
      <c r="B109" s="112">
        <v>41</v>
      </c>
      <c r="C109" s="209" t="str">
        <f>IF('INPUT DATA'!N51="","",'INPUT DATA'!N51)</f>
        <v/>
      </c>
      <c r="D109" s="210"/>
      <c r="E109" s="210"/>
      <c r="F109" s="123"/>
      <c r="G109" s="119"/>
      <c r="H109" s="119"/>
      <c r="I109" s="119"/>
      <c r="J109" s="124"/>
      <c r="K109" s="143" t="str">
        <f t="shared" si="23"/>
        <v/>
      </c>
      <c r="L109" s="143" t="str">
        <f t="shared" si="12"/>
        <v/>
      </c>
      <c r="M109" s="146" t="str">
        <f t="shared" si="13"/>
        <v/>
      </c>
      <c r="N109" s="123"/>
      <c r="O109" s="119"/>
      <c r="P109" s="124"/>
      <c r="Q109" s="143" t="str">
        <f t="shared" si="14"/>
        <v/>
      </c>
      <c r="R109" s="143" t="str">
        <f t="shared" si="15"/>
        <v/>
      </c>
      <c r="S109" s="143" t="str">
        <f t="shared" si="16"/>
        <v/>
      </c>
      <c r="T109" s="123"/>
      <c r="U109" s="119"/>
      <c r="V109" s="124"/>
      <c r="W109" s="143" t="str">
        <f t="shared" si="17"/>
        <v/>
      </c>
      <c r="X109" s="143" t="str">
        <f t="shared" si="18"/>
        <v/>
      </c>
      <c r="Y109" s="143" t="str">
        <f t="shared" si="19"/>
        <v/>
      </c>
      <c r="Z109" s="150" t="str">
        <f t="shared" si="20"/>
        <v/>
      </c>
      <c r="AA109" s="143" t="str">
        <f t="shared" si="21"/>
        <v/>
      </c>
      <c r="AB109" s="152" t="str">
        <f t="shared" si="22"/>
        <v/>
      </c>
      <c r="AC109" s="158" t="str">
        <f>IF(AB109="","",IFERROR(INDEX(HELPER!$D$8:$D$48,IF(AB109&gt;=HELPER!$B$8,1,MATCH(AB109,HELPER!$B$8:$B$48,-1)+1)),""))</f>
        <v/>
      </c>
      <c r="AD109" s="155" t="str">
        <f>IF(AC109="","",IFERROR(VLOOKUP(AC109,HELPER!$F$8:$G$48,2,FALSE),""))</f>
        <v/>
      </c>
      <c r="AE109" s="135"/>
      <c r="AF109" s="90"/>
    </row>
    <row r="110" spans="1:32" ht="15" customHeight="1" x14ac:dyDescent="0.25">
      <c r="A110" s="135"/>
      <c r="B110" s="112">
        <v>42</v>
      </c>
      <c r="C110" s="209" t="str">
        <f>IF('INPUT DATA'!N52="","",'INPUT DATA'!N52)</f>
        <v/>
      </c>
      <c r="D110" s="210"/>
      <c r="E110" s="210"/>
      <c r="F110" s="123"/>
      <c r="G110" s="119"/>
      <c r="H110" s="119"/>
      <c r="I110" s="119"/>
      <c r="J110" s="124"/>
      <c r="K110" s="143" t="str">
        <f t="shared" si="23"/>
        <v/>
      </c>
      <c r="L110" s="143" t="str">
        <f t="shared" si="12"/>
        <v/>
      </c>
      <c r="M110" s="146" t="str">
        <f t="shared" si="13"/>
        <v/>
      </c>
      <c r="N110" s="123"/>
      <c r="O110" s="119"/>
      <c r="P110" s="124"/>
      <c r="Q110" s="143" t="str">
        <f t="shared" si="14"/>
        <v/>
      </c>
      <c r="R110" s="143" t="str">
        <f t="shared" si="15"/>
        <v/>
      </c>
      <c r="S110" s="143" t="str">
        <f t="shared" si="16"/>
        <v/>
      </c>
      <c r="T110" s="123"/>
      <c r="U110" s="119"/>
      <c r="V110" s="124"/>
      <c r="W110" s="143" t="str">
        <f t="shared" si="17"/>
        <v/>
      </c>
      <c r="X110" s="143" t="str">
        <f t="shared" si="18"/>
        <v/>
      </c>
      <c r="Y110" s="143" t="str">
        <f t="shared" si="19"/>
        <v/>
      </c>
      <c r="Z110" s="150" t="str">
        <f t="shared" si="20"/>
        <v/>
      </c>
      <c r="AA110" s="143" t="str">
        <f t="shared" si="21"/>
        <v/>
      </c>
      <c r="AB110" s="152" t="str">
        <f t="shared" si="22"/>
        <v/>
      </c>
      <c r="AC110" s="158" t="str">
        <f>IF(AB110="","",IFERROR(INDEX(HELPER!$D$8:$D$48,IF(AB110&gt;=HELPER!$B$8,1,MATCH(AB110,HELPER!$B$8:$B$48,-1)+1)),""))</f>
        <v/>
      </c>
      <c r="AD110" s="155" t="str">
        <f>IF(AC110="","",IFERROR(VLOOKUP(AC110,HELPER!$F$8:$G$48,2,FALSE),""))</f>
        <v/>
      </c>
      <c r="AE110" s="135"/>
      <c r="AF110" s="90"/>
    </row>
    <row r="111" spans="1:32" ht="15" customHeight="1" x14ac:dyDescent="0.25">
      <c r="A111" s="135"/>
      <c r="B111" s="112">
        <v>43</v>
      </c>
      <c r="C111" s="209" t="str">
        <f>IF('INPUT DATA'!N53="","",'INPUT DATA'!N53)</f>
        <v/>
      </c>
      <c r="D111" s="210"/>
      <c r="E111" s="210"/>
      <c r="F111" s="123"/>
      <c r="G111" s="119"/>
      <c r="H111" s="119"/>
      <c r="I111" s="119"/>
      <c r="J111" s="124"/>
      <c r="K111" s="143" t="str">
        <f t="shared" si="23"/>
        <v/>
      </c>
      <c r="L111" s="143" t="str">
        <f t="shared" si="12"/>
        <v/>
      </c>
      <c r="M111" s="146" t="str">
        <f t="shared" si="13"/>
        <v/>
      </c>
      <c r="N111" s="123"/>
      <c r="O111" s="119"/>
      <c r="P111" s="124"/>
      <c r="Q111" s="143" t="str">
        <f t="shared" si="14"/>
        <v/>
      </c>
      <c r="R111" s="143" t="str">
        <f t="shared" si="15"/>
        <v/>
      </c>
      <c r="S111" s="143" t="str">
        <f t="shared" si="16"/>
        <v/>
      </c>
      <c r="T111" s="123"/>
      <c r="U111" s="119"/>
      <c r="V111" s="124"/>
      <c r="W111" s="143" t="str">
        <f t="shared" si="17"/>
        <v/>
      </c>
      <c r="X111" s="143" t="str">
        <f t="shared" si="18"/>
        <v/>
      </c>
      <c r="Y111" s="143" t="str">
        <f t="shared" si="19"/>
        <v/>
      </c>
      <c r="Z111" s="150" t="str">
        <f t="shared" si="20"/>
        <v/>
      </c>
      <c r="AA111" s="143" t="str">
        <f t="shared" si="21"/>
        <v/>
      </c>
      <c r="AB111" s="152" t="str">
        <f t="shared" si="22"/>
        <v/>
      </c>
      <c r="AC111" s="158" t="str">
        <f>IF(AB111="","",IFERROR(INDEX(HELPER!$D$8:$D$48,IF(AB111&gt;=HELPER!$B$8,1,MATCH(AB111,HELPER!$B$8:$B$48,-1)+1)),""))</f>
        <v/>
      </c>
      <c r="AD111" s="155" t="str">
        <f>IF(AC111="","",IFERROR(VLOOKUP(AC111,HELPER!$F$8:$G$48,2,FALSE),""))</f>
        <v/>
      </c>
      <c r="AE111" s="135"/>
      <c r="AF111" s="90"/>
    </row>
    <row r="112" spans="1:32" ht="15" customHeight="1" x14ac:dyDescent="0.25">
      <c r="A112" s="135"/>
      <c r="B112" s="112">
        <v>44</v>
      </c>
      <c r="C112" s="209" t="str">
        <f>IF('INPUT DATA'!N54="","",'INPUT DATA'!N54)</f>
        <v/>
      </c>
      <c r="D112" s="210"/>
      <c r="E112" s="210"/>
      <c r="F112" s="123"/>
      <c r="G112" s="119"/>
      <c r="H112" s="119"/>
      <c r="I112" s="119"/>
      <c r="J112" s="124"/>
      <c r="K112" s="143" t="str">
        <f t="shared" si="23"/>
        <v/>
      </c>
      <c r="L112" s="143" t="str">
        <f t="shared" si="12"/>
        <v/>
      </c>
      <c r="M112" s="146" t="str">
        <f t="shared" si="13"/>
        <v/>
      </c>
      <c r="N112" s="123"/>
      <c r="O112" s="119"/>
      <c r="P112" s="124"/>
      <c r="Q112" s="143" t="str">
        <f t="shared" si="14"/>
        <v/>
      </c>
      <c r="R112" s="143" t="str">
        <f t="shared" si="15"/>
        <v/>
      </c>
      <c r="S112" s="143" t="str">
        <f t="shared" si="16"/>
        <v/>
      </c>
      <c r="T112" s="123"/>
      <c r="U112" s="119"/>
      <c r="V112" s="124"/>
      <c r="W112" s="143" t="str">
        <f t="shared" si="17"/>
        <v/>
      </c>
      <c r="X112" s="143" t="str">
        <f t="shared" si="18"/>
        <v/>
      </c>
      <c r="Y112" s="143" t="str">
        <f t="shared" si="19"/>
        <v/>
      </c>
      <c r="Z112" s="150" t="str">
        <f t="shared" si="20"/>
        <v/>
      </c>
      <c r="AA112" s="143" t="str">
        <f t="shared" si="21"/>
        <v/>
      </c>
      <c r="AB112" s="152" t="str">
        <f t="shared" si="22"/>
        <v/>
      </c>
      <c r="AC112" s="158" t="str">
        <f>IF(AB112="","",IFERROR(INDEX(HELPER!$D$8:$D$48,IF(AB112&gt;=HELPER!$B$8,1,MATCH(AB112,HELPER!$B$8:$B$48,-1)+1)),""))</f>
        <v/>
      </c>
      <c r="AD112" s="155" t="str">
        <f>IF(AC112="","",IFERROR(VLOOKUP(AC112,HELPER!$F$8:$G$48,2,FALSE),""))</f>
        <v/>
      </c>
      <c r="AE112" s="135"/>
      <c r="AF112" s="90"/>
    </row>
    <row r="113" spans="1:32" ht="15" customHeight="1" x14ac:dyDescent="0.25">
      <c r="A113" s="135"/>
      <c r="B113" s="112">
        <v>45</v>
      </c>
      <c r="C113" s="209" t="str">
        <f>IF('INPUT DATA'!N55="","",'INPUT DATA'!N55)</f>
        <v/>
      </c>
      <c r="D113" s="210"/>
      <c r="E113" s="210"/>
      <c r="F113" s="123"/>
      <c r="G113" s="119"/>
      <c r="H113" s="119"/>
      <c r="I113" s="119"/>
      <c r="J113" s="124"/>
      <c r="K113" s="143" t="str">
        <f t="shared" si="23"/>
        <v/>
      </c>
      <c r="L113" s="143" t="str">
        <f t="shared" si="12"/>
        <v/>
      </c>
      <c r="M113" s="146" t="str">
        <f t="shared" si="13"/>
        <v/>
      </c>
      <c r="N113" s="123"/>
      <c r="O113" s="119"/>
      <c r="P113" s="124"/>
      <c r="Q113" s="143" t="str">
        <f t="shared" si="14"/>
        <v/>
      </c>
      <c r="R113" s="143" t="str">
        <f t="shared" si="15"/>
        <v/>
      </c>
      <c r="S113" s="143" t="str">
        <f t="shared" si="16"/>
        <v/>
      </c>
      <c r="T113" s="123"/>
      <c r="U113" s="119"/>
      <c r="V113" s="124"/>
      <c r="W113" s="143" t="str">
        <f t="shared" si="17"/>
        <v/>
      </c>
      <c r="X113" s="143" t="str">
        <f t="shared" si="18"/>
        <v/>
      </c>
      <c r="Y113" s="143" t="str">
        <f t="shared" si="19"/>
        <v/>
      </c>
      <c r="Z113" s="150" t="str">
        <f t="shared" si="20"/>
        <v/>
      </c>
      <c r="AA113" s="143" t="str">
        <f t="shared" si="21"/>
        <v/>
      </c>
      <c r="AB113" s="152" t="str">
        <f t="shared" si="22"/>
        <v/>
      </c>
      <c r="AC113" s="158" t="str">
        <f>IF(AB113="","",IFERROR(INDEX(HELPER!$D$8:$D$48,IF(AB113&gt;=HELPER!$B$8,1,MATCH(AB113,HELPER!$B$8:$B$48,-1)+1)),""))</f>
        <v/>
      </c>
      <c r="AD113" s="155" t="str">
        <f>IF(AC113="","",IFERROR(VLOOKUP(AC113,HELPER!$F$8:$G$48,2,FALSE),""))</f>
        <v/>
      </c>
      <c r="AE113" s="135"/>
      <c r="AF113" s="90"/>
    </row>
    <row r="114" spans="1:32" ht="15" customHeight="1" x14ac:dyDescent="0.25">
      <c r="A114" s="135"/>
      <c r="B114" s="112">
        <v>46</v>
      </c>
      <c r="C114" s="209" t="str">
        <f>IF('INPUT DATA'!N56="","",'INPUT DATA'!N56)</f>
        <v/>
      </c>
      <c r="D114" s="210"/>
      <c r="E114" s="210"/>
      <c r="F114" s="123"/>
      <c r="G114" s="119"/>
      <c r="H114" s="119"/>
      <c r="I114" s="119"/>
      <c r="J114" s="124"/>
      <c r="K114" s="143" t="str">
        <f t="shared" si="23"/>
        <v/>
      </c>
      <c r="L114" s="143" t="str">
        <f t="shared" si="12"/>
        <v/>
      </c>
      <c r="M114" s="146" t="str">
        <f t="shared" si="13"/>
        <v/>
      </c>
      <c r="N114" s="123"/>
      <c r="O114" s="119"/>
      <c r="P114" s="124"/>
      <c r="Q114" s="143" t="str">
        <f t="shared" si="14"/>
        <v/>
      </c>
      <c r="R114" s="143" t="str">
        <f t="shared" si="15"/>
        <v/>
      </c>
      <c r="S114" s="143" t="str">
        <f t="shared" si="16"/>
        <v/>
      </c>
      <c r="T114" s="123"/>
      <c r="U114" s="119"/>
      <c r="V114" s="124"/>
      <c r="W114" s="143" t="str">
        <f t="shared" si="17"/>
        <v/>
      </c>
      <c r="X114" s="143" t="str">
        <f t="shared" si="18"/>
        <v/>
      </c>
      <c r="Y114" s="143" t="str">
        <f t="shared" si="19"/>
        <v/>
      </c>
      <c r="Z114" s="150" t="str">
        <f t="shared" si="20"/>
        <v/>
      </c>
      <c r="AA114" s="143" t="str">
        <f t="shared" si="21"/>
        <v/>
      </c>
      <c r="AB114" s="152" t="str">
        <f t="shared" si="22"/>
        <v/>
      </c>
      <c r="AC114" s="158" t="str">
        <f>IF(AB114="","",IFERROR(INDEX(HELPER!$D$8:$D$48,IF(AB114&gt;=HELPER!$B$8,1,MATCH(AB114,HELPER!$B$8:$B$48,-1)+1)),""))</f>
        <v/>
      </c>
      <c r="AD114" s="155" t="str">
        <f>IF(AC114="","",IFERROR(VLOOKUP(AC114,HELPER!$F$8:$G$48,2,FALSE),""))</f>
        <v/>
      </c>
      <c r="AE114" s="135"/>
      <c r="AF114" s="90"/>
    </row>
    <row r="115" spans="1:32" ht="15" customHeight="1" x14ac:dyDescent="0.25">
      <c r="A115" s="135"/>
      <c r="B115" s="112">
        <v>47</v>
      </c>
      <c r="C115" s="209" t="str">
        <f>IF('INPUT DATA'!N57="","",'INPUT DATA'!N57)</f>
        <v/>
      </c>
      <c r="D115" s="210"/>
      <c r="E115" s="210"/>
      <c r="F115" s="123"/>
      <c r="G115" s="119"/>
      <c r="H115" s="119"/>
      <c r="I115" s="119"/>
      <c r="J115" s="124"/>
      <c r="K115" s="143" t="str">
        <f t="shared" si="23"/>
        <v/>
      </c>
      <c r="L115" s="143" t="str">
        <f t="shared" si="12"/>
        <v/>
      </c>
      <c r="M115" s="146" t="str">
        <f t="shared" si="13"/>
        <v/>
      </c>
      <c r="N115" s="123"/>
      <c r="O115" s="119"/>
      <c r="P115" s="124"/>
      <c r="Q115" s="143" t="str">
        <f t="shared" si="14"/>
        <v/>
      </c>
      <c r="R115" s="143" t="str">
        <f t="shared" si="15"/>
        <v/>
      </c>
      <c r="S115" s="143" t="str">
        <f t="shared" si="16"/>
        <v/>
      </c>
      <c r="T115" s="123"/>
      <c r="U115" s="119"/>
      <c r="V115" s="124"/>
      <c r="W115" s="143" t="str">
        <f t="shared" si="17"/>
        <v/>
      </c>
      <c r="X115" s="143" t="str">
        <f t="shared" si="18"/>
        <v/>
      </c>
      <c r="Y115" s="143" t="str">
        <f t="shared" si="19"/>
        <v/>
      </c>
      <c r="Z115" s="150" t="str">
        <f t="shared" si="20"/>
        <v/>
      </c>
      <c r="AA115" s="143" t="str">
        <f t="shared" si="21"/>
        <v/>
      </c>
      <c r="AB115" s="152" t="str">
        <f t="shared" si="22"/>
        <v/>
      </c>
      <c r="AC115" s="158" t="str">
        <f>IF(AB115="","",IFERROR(INDEX(HELPER!$D$8:$D$48,IF(AB115&gt;=HELPER!$B$8,1,MATCH(AB115,HELPER!$B$8:$B$48,-1)+1)),""))</f>
        <v/>
      </c>
      <c r="AD115" s="155" t="str">
        <f>IF(AC115="","",IFERROR(VLOOKUP(AC115,HELPER!$F$8:$G$48,2,FALSE),""))</f>
        <v/>
      </c>
      <c r="AE115" s="135"/>
      <c r="AF115" s="90"/>
    </row>
    <row r="116" spans="1:32" ht="15" customHeight="1" x14ac:dyDescent="0.25">
      <c r="A116" s="135"/>
      <c r="B116" s="112">
        <v>48</v>
      </c>
      <c r="C116" s="209" t="str">
        <f>IF('INPUT DATA'!N58="","",'INPUT DATA'!N58)</f>
        <v/>
      </c>
      <c r="D116" s="210"/>
      <c r="E116" s="210"/>
      <c r="F116" s="123"/>
      <c r="G116" s="119"/>
      <c r="H116" s="119"/>
      <c r="I116" s="119"/>
      <c r="J116" s="124"/>
      <c r="K116" s="143" t="str">
        <f t="shared" si="23"/>
        <v/>
      </c>
      <c r="L116" s="143" t="str">
        <f t="shared" si="12"/>
        <v/>
      </c>
      <c r="M116" s="146" t="str">
        <f t="shared" si="13"/>
        <v/>
      </c>
      <c r="N116" s="123"/>
      <c r="O116" s="119"/>
      <c r="P116" s="124"/>
      <c r="Q116" s="143" t="str">
        <f t="shared" si="14"/>
        <v/>
      </c>
      <c r="R116" s="143" t="str">
        <f t="shared" si="15"/>
        <v/>
      </c>
      <c r="S116" s="143" t="str">
        <f t="shared" si="16"/>
        <v/>
      </c>
      <c r="T116" s="123"/>
      <c r="U116" s="119"/>
      <c r="V116" s="124"/>
      <c r="W116" s="143" t="str">
        <f t="shared" si="17"/>
        <v/>
      </c>
      <c r="X116" s="143" t="str">
        <f t="shared" si="18"/>
        <v/>
      </c>
      <c r="Y116" s="143" t="str">
        <f t="shared" si="19"/>
        <v/>
      </c>
      <c r="Z116" s="150" t="str">
        <f t="shared" si="20"/>
        <v/>
      </c>
      <c r="AA116" s="143" t="str">
        <f t="shared" si="21"/>
        <v/>
      </c>
      <c r="AB116" s="152" t="str">
        <f t="shared" si="22"/>
        <v/>
      </c>
      <c r="AC116" s="158" t="str">
        <f>IF(AB116="","",IFERROR(INDEX(HELPER!$D$8:$D$48,IF(AB116&gt;=HELPER!$B$8,1,MATCH(AB116,HELPER!$B$8:$B$48,-1)+1)),""))</f>
        <v/>
      </c>
      <c r="AD116" s="155" t="str">
        <f>IF(AC116="","",IFERROR(VLOOKUP(AC116,HELPER!$F$8:$G$48,2,FALSE),""))</f>
        <v/>
      </c>
      <c r="AE116" s="135"/>
      <c r="AF116" s="90"/>
    </row>
    <row r="117" spans="1:32" ht="15" customHeight="1" x14ac:dyDescent="0.25">
      <c r="A117" s="135"/>
      <c r="B117" s="112">
        <v>49</v>
      </c>
      <c r="C117" s="209" t="str">
        <f>IF('INPUT DATA'!N59="","",'INPUT DATA'!N59)</f>
        <v/>
      </c>
      <c r="D117" s="210"/>
      <c r="E117" s="210"/>
      <c r="F117" s="123"/>
      <c r="G117" s="119"/>
      <c r="H117" s="119"/>
      <c r="I117" s="119"/>
      <c r="J117" s="124"/>
      <c r="K117" s="143" t="str">
        <f t="shared" si="23"/>
        <v/>
      </c>
      <c r="L117" s="143" t="str">
        <f t="shared" si="12"/>
        <v/>
      </c>
      <c r="M117" s="146" t="str">
        <f t="shared" si="13"/>
        <v/>
      </c>
      <c r="N117" s="123"/>
      <c r="O117" s="119"/>
      <c r="P117" s="124"/>
      <c r="Q117" s="143" t="str">
        <f t="shared" si="14"/>
        <v/>
      </c>
      <c r="R117" s="143" t="str">
        <f t="shared" si="15"/>
        <v/>
      </c>
      <c r="S117" s="143" t="str">
        <f t="shared" si="16"/>
        <v/>
      </c>
      <c r="T117" s="123"/>
      <c r="U117" s="119"/>
      <c r="V117" s="124"/>
      <c r="W117" s="143" t="str">
        <f t="shared" si="17"/>
        <v/>
      </c>
      <c r="X117" s="143" t="str">
        <f t="shared" si="18"/>
        <v/>
      </c>
      <c r="Y117" s="143" t="str">
        <f t="shared" si="19"/>
        <v/>
      </c>
      <c r="Z117" s="150" t="str">
        <f t="shared" si="20"/>
        <v/>
      </c>
      <c r="AA117" s="143" t="str">
        <f t="shared" si="21"/>
        <v/>
      </c>
      <c r="AB117" s="152" t="str">
        <f t="shared" si="22"/>
        <v/>
      </c>
      <c r="AC117" s="158" t="str">
        <f>IF(AB117="","",IFERROR(INDEX(HELPER!$D$8:$D$48,IF(AB117&gt;=HELPER!$B$8,1,MATCH(AB117,HELPER!$B$8:$B$48,-1)+1)),""))</f>
        <v/>
      </c>
      <c r="AD117" s="155" t="str">
        <f>IF(AC117="","",IFERROR(VLOOKUP(AC117,HELPER!$F$8:$G$48,2,FALSE),""))</f>
        <v/>
      </c>
      <c r="AE117" s="135"/>
      <c r="AF117" s="90"/>
    </row>
    <row r="118" spans="1:32" ht="15" customHeight="1" thickBot="1" x14ac:dyDescent="0.3">
      <c r="A118" s="135"/>
      <c r="B118" s="113">
        <v>50</v>
      </c>
      <c r="C118" s="229" t="str">
        <f>IF('INPUT DATA'!N60="","",'INPUT DATA'!N60)</f>
        <v/>
      </c>
      <c r="D118" s="230"/>
      <c r="E118" s="230"/>
      <c r="F118" s="125"/>
      <c r="G118" s="126"/>
      <c r="H118" s="126"/>
      <c r="I118" s="126"/>
      <c r="J118" s="127"/>
      <c r="K118" s="144" t="str">
        <f t="shared" si="23"/>
        <v/>
      </c>
      <c r="L118" s="144" t="str">
        <f t="shared" si="12"/>
        <v/>
      </c>
      <c r="M118" s="147" t="str">
        <f t="shared" si="13"/>
        <v/>
      </c>
      <c r="N118" s="125"/>
      <c r="O118" s="126"/>
      <c r="P118" s="127"/>
      <c r="Q118" s="144" t="str">
        <f t="shared" si="14"/>
        <v/>
      </c>
      <c r="R118" s="144" t="str">
        <f t="shared" si="15"/>
        <v/>
      </c>
      <c r="S118" s="144" t="str">
        <f t="shared" si="16"/>
        <v/>
      </c>
      <c r="T118" s="125"/>
      <c r="U118" s="126"/>
      <c r="V118" s="127"/>
      <c r="W118" s="144" t="str">
        <f t="shared" si="17"/>
        <v/>
      </c>
      <c r="X118" s="144" t="str">
        <f t="shared" si="18"/>
        <v/>
      </c>
      <c r="Y118" s="144" t="str">
        <f t="shared" si="19"/>
        <v/>
      </c>
      <c r="Z118" s="148" t="str">
        <f t="shared" si="20"/>
        <v/>
      </c>
      <c r="AA118" s="144" t="str">
        <f t="shared" si="21"/>
        <v/>
      </c>
      <c r="AB118" s="153" t="str">
        <f t="shared" si="22"/>
        <v/>
      </c>
      <c r="AC118" s="159" t="str">
        <f>IF(AB118="","",IFERROR(INDEX(HELPER!$D$8:$D$48,IF(AB118&gt;=HELPER!$B$8,1,MATCH(AB118,HELPER!$B$8:$B$48,-1)+1)),""))</f>
        <v/>
      </c>
      <c r="AD118" s="156" t="str">
        <f>IF(AC118="","",IFERROR(VLOOKUP(AC118,HELPER!$F$8:$G$48,2,FALSE),""))</f>
        <v/>
      </c>
      <c r="AE118" s="135"/>
      <c r="AF118" s="90"/>
    </row>
    <row r="119" spans="1:32" ht="13.2" customHeight="1" x14ac:dyDescent="0.25">
      <c r="A119" s="135"/>
      <c r="B119" s="135"/>
      <c r="C119" s="239"/>
      <c r="D119" s="226"/>
      <c r="E119" s="226"/>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90"/>
    </row>
    <row r="120" spans="1:32" ht="13.2" customHeight="1" x14ac:dyDescent="0.25">
      <c r="A120" s="135"/>
      <c r="B120" s="135"/>
      <c r="C120" s="239"/>
      <c r="D120" s="226"/>
      <c r="E120" s="226"/>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90"/>
    </row>
  </sheetData>
  <sheetProtection algorithmName="SHA-512" hashValue="qjBOUC8DiDsbbtb125Yok1xHoXCcCSOy73LQdw+OLsxy32wS2Rh1E1xQ7/btgJ2ve0We+BWUp9eMRhHrgVhlRw==" saltValue="vce6HnO+MPl69fpM2hv9RA==" spinCount="100000" sheet="1" objects="1" scenarios="1" formatCells="0" formatColumns="0" formatRows="0"/>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27">
    <dataValidation type="custom" allowBlank="1" showInputMessage="1" showErrorMessage="1" errorTitle="Invalid Input" error="The score cannot be greater than the HPS." promptTitle="Score Entry" prompt="Enter learners' raw scores." sqref="V18:V67 V69:V118" xr:uid="{96B2B76C-3A60-41FA-9744-76DD4C19F30B}">
      <formula1>V18&lt;=$V$15</formula1>
    </dataValidation>
    <dataValidation type="custom" allowBlank="1" showInputMessage="1" showErrorMessage="1" errorTitle="Invalid Input" error="The score cannot be greater than the HPS." promptTitle="Score Entry" prompt="Enter learners' raw scores." sqref="U18:U67 U69:U118" xr:uid="{4BD5ECAC-8085-4695-924E-8625F5E3DDEF}">
      <formula1>U18&lt;=$U$15</formula1>
    </dataValidation>
    <dataValidation type="custom" allowBlank="1" showInputMessage="1" showErrorMessage="1" errorTitle="Invalid Input" error="The score cannot be greater than the HPS." promptTitle="Score Entry" prompt="Enter learners' raw scores." sqref="T18:T67 T69:T118" xr:uid="{26B9208D-D6D7-42D6-B11F-69C0383CD844}">
      <formula1>T18&lt;=$T$15</formula1>
    </dataValidation>
    <dataValidation type="custom" allowBlank="1" showInputMessage="1" showErrorMessage="1" errorTitle="Invalid Input" error="The score cannot be greater than the HPS." promptTitle="Score Entry" prompt="Enter learners' raw scores." sqref="P18:P67 P69:P118" xr:uid="{8697F961-BFDC-49DA-8D38-0EA3F9137266}">
      <formula1>P18&lt;=$P$15</formula1>
    </dataValidation>
    <dataValidation type="custom" allowBlank="1" showInputMessage="1" showErrorMessage="1" errorTitle="Invalid Input" error="The score cannot be greater than the HPS." promptTitle="Score Entry" prompt="Enter learners' raw scores." sqref="O18:O67 O69:O118" xr:uid="{59C2E850-D7B4-4C58-82A7-93CD747C6B6A}">
      <formula1>O18&lt;=$O$15</formula1>
    </dataValidation>
    <dataValidation type="custom" allowBlank="1" showInputMessage="1" showErrorMessage="1" errorTitle="Invalid Input" error="The score cannot be greater than the HPS." promptTitle="Score Entry" prompt="Enter learners' raw scores." sqref="N18:N67 N69:N118" xr:uid="{3BC5D644-F13D-4C15-9BA3-1913375D256E}">
      <formula1>N18&lt;=$N$15</formula1>
    </dataValidation>
    <dataValidation type="custom" allowBlank="1" showInputMessage="1" showErrorMessage="1" errorTitle="Invalid Input" error="The score cannot be greater than the HPS." promptTitle="Score Entry" prompt="Enter learners' raw scores." sqref="J18:J67 J69:J118" xr:uid="{52C2AE2B-D503-42FB-A16F-0D68325D7B30}">
      <formula1>J18&lt;=$J$15</formula1>
    </dataValidation>
    <dataValidation type="custom" allowBlank="1" showInputMessage="1" showErrorMessage="1" errorTitle="Invalid Input" error="The score cannot be greater than the HPS." promptTitle="Score Entry" prompt="Enter learners' raw scores." sqref="I18:I67 I69:I118" xr:uid="{CAB6F2C4-E6C5-4CB0-9E4A-6D739056D550}">
      <formula1>I18&lt;=$I$15</formula1>
    </dataValidation>
    <dataValidation type="custom" allowBlank="1" showInputMessage="1" showErrorMessage="1" errorTitle="Invalid Input" error="The score cannot be greater than the HPS." promptTitle="Score Entry" prompt="Enter learners' raw scores." sqref="H18:H67 H69:H118" xr:uid="{3D49ADAE-DF9A-4A25-9225-8D50DC06A1CB}">
      <formula1>H18&lt;=$H$15</formula1>
    </dataValidation>
    <dataValidation type="custom" allowBlank="1" showInputMessage="1" showErrorMessage="1" errorTitle="Invalid Input" error="The score cannot be greater than the HPS." promptTitle="Score Entry" prompt="Enter learners' raw scores." sqref="G18:G67 G69:G118" xr:uid="{8310E2C0-5A33-4D38-B98E-1E4B73BC04FF}">
      <formula1>G18&lt;=$G$15</formula1>
    </dataValidation>
    <dataValidation type="custom" allowBlank="1" showInputMessage="1" showErrorMessage="1" errorTitle="Invalid Input" error="The score cannot be greater than the HPS." promptTitle="Score Entry" prompt="Enter learners' raw scores." sqref="F18:F67 F69:F118" xr:uid="{BD7B0D53-4C21-437C-AE49-40E041B199F3}">
      <formula1>F18&lt;=$F$15</formula1>
    </dataValidation>
    <dataValidation type="whole" allowBlank="1" showInputMessage="1" showErrorMessage="1" promptTitle="Highest Possible Score" prompt="Enter HPS." sqref="T15:V15" xr:uid="{0D40D6C1-78B3-4381-B9FF-BBF36BB82223}">
      <formula1>0</formula1>
      <formula2>1000</formula2>
    </dataValidation>
    <dataValidation allowBlank="1" showInputMessage="1" showErrorMessage="1" prompt="Transmuted Term Grade" sqref="AC18:AC67 AC69:AC118" xr:uid="{37F974C6-6AEB-4A2A-A958-9269FB2EC1A3}"/>
    <dataValidation allowBlank="1" showInputMessage="1" showErrorMessage="1" prompt="INITIAL GRADE" sqref="AB18:AB67 AB69:AB118" xr:uid="{8143AF02-358C-4AD3-8E48-8C157BBA8522}"/>
    <dataValidation allowBlank="1" showInputMessage="1" showErrorMessage="1" prompt="Examinations' Weighted Score" sqref="AA15 AA18:AA67 AA69:AA118" xr:uid="{FE423734-D9E5-4CB4-B0FD-828E028A8EF7}"/>
    <dataValidation allowBlank="1" showInputMessage="1" showErrorMessage="1" prompt="Examinations' Percetage Score" sqref="Z15 Z18:Z67 Z69:Z118" xr:uid="{770B1031-18DB-4A79-81A2-3859050D4700}"/>
    <dataValidation allowBlank="1" showInputMessage="1" showErrorMessage="1" prompt="Weighted Score for Term Exam" sqref="Y15 Y18:Y67 Y69:Y118" xr:uid="{971ECC0B-F892-4766-BDED-EBC8CAAD9C4F}"/>
    <dataValidation allowBlank="1" showInputMessage="1" showErrorMessage="1" prompt="Weighted Score for Summative Test 2" sqref="X15 X18:X67 X69:X118" xr:uid="{B02D53EF-B45B-4044-9D2B-21F7DE0FAD0F}"/>
    <dataValidation allowBlank="1" showInputMessage="1" showErrorMessage="1" prompt="Weighted Score for Summative Test 1" sqref="W15 W18:W67 W69:W118" xr:uid="{3D6BE359-A43A-4229-A43F-0DEDFA58FDF7}"/>
    <dataValidation allowBlank="1" showInputMessage="1" showErrorMessage="1" prompt="Products/Performance Tasks' Weighted Score." sqref="S15 S18:S67 S69:S118" xr:uid="{C890CF05-2374-44B8-9875-38EEDD6CE6B3}"/>
    <dataValidation allowBlank="1" showInputMessage="1" showErrorMessage="1" prompt="Products/Performance Tasks' Percentage Score." sqref="R15 R18:R67 R69:R118" xr:uid="{D7C8D228-F771-4B55-8EF3-01BEFD6153D6}"/>
    <dataValidation allowBlank="1" showInputMessage="1" showErrorMessage="1" prompt="Written/Oral Works' Weighted Score." sqref="M15 M18:M67 M69:M118" xr:uid="{273D7A86-C17D-47BD-B600-2185B276695C}"/>
    <dataValidation allowBlank="1" showInputMessage="1" showErrorMessage="1" prompt="Written/Oral Works' Percentage Score." sqref="L15 L18:L67 L69:L118" xr:uid="{44FBC843-BE8E-47C6-9537-FEE1C00F7442}"/>
    <dataValidation allowBlank="1" showInputMessage="1" showErrorMessage="1" prompt="Products/Performance Tasks' Highest Possible Score." sqref="Q15 Q18:Q67 Q69:Q118" xr:uid="{93A4104D-4BD0-4EDF-8EFE-2CD272EB8A1B}"/>
    <dataValidation allowBlank="1" showInputMessage="1" showErrorMessage="1" prompt="Written/Oral Works' Highest Possible Score." sqref="K15 K18:K67 K69:K118" xr:uid="{36D2787A-B052-4046-A0C8-EF48808912D4}"/>
    <dataValidation allowBlank="1" showInputMessage="1" showErrorMessage="1" prompt="Do not type name of learners here. Go to INPUT DATA sheet." sqref="C18:E67 C69:E118" xr:uid="{A340BAAD-F5E7-4134-BD3A-F45199148C4B}"/>
    <dataValidation type="whole" allowBlank="1" showInputMessage="1" showErrorMessage="1" promptTitle="Highest Possible Score" prompt="Enter HPS." sqref="F15:J15 N15:P15" xr:uid="{A2D71221-0FB1-4336-9B9B-F3C4D66E7589}">
      <formula1>0</formula1>
      <formula2>1000</formula2>
    </dataValidation>
  </dataValidations>
  <pageMargins left="0.23622047244094491" right="0.23622047244094491" top="0.39370078740157483" bottom="0.39370078740157483" header="0.31496062992125978" footer="0.31496062992125978"/>
  <pageSetup paperSize="9" scale="76"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39F40-99A4-4531-98D5-4DC8CBF5DDB5}">
  <sheetPr>
    <tabColor rgb="FFFFC000"/>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V15" sqref="T15:V15"/>
    </sheetView>
  </sheetViews>
  <sheetFormatPr defaultColWidth="12.6640625" defaultRowHeight="15.75" customHeight="1" x14ac:dyDescent="0.25"/>
  <cols>
    <col min="1" max="2" width="3.88671875" style="141" customWidth="1"/>
    <col min="3" max="5" width="12.6640625" style="141" customWidth="1"/>
    <col min="6" max="10" width="3.88671875" style="141" customWidth="1"/>
    <col min="11" max="11" width="5.109375" style="141" customWidth="1"/>
    <col min="12" max="12" width="5.6640625" style="141" customWidth="1"/>
    <col min="13" max="13" width="6.33203125" style="141" customWidth="1"/>
    <col min="14" max="16" width="3.88671875" style="141" customWidth="1"/>
    <col min="17" max="17" width="5.109375" style="141" customWidth="1"/>
    <col min="18" max="18" width="5.6640625" style="141" customWidth="1"/>
    <col min="19" max="19" width="6.33203125" style="141" customWidth="1"/>
    <col min="20" max="22" width="5.6640625" style="141" customWidth="1"/>
    <col min="23" max="25" width="8" style="141" customWidth="1"/>
    <col min="26" max="27" width="5.6640625" style="141" customWidth="1"/>
    <col min="28" max="28" width="7.33203125" style="141" customWidth="1"/>
    <col min="29" max="29" width="10.109375" style="141" customWidth="1"/>
    <col min="30" max="30" width="14.5546875" style="141" customWidth="1"/>
    <col min="31" max="31" width="12.6640625" style="141" customWidth="1"/>
    <col min="32" max="32" width="3.88671875" style="141" customWidth="1"/>
    <col min="33" max="33" width="12.6640625" style="141" customWidth="1"/>
    <col min="34" max="16384" width="12.6640625" style="141"/>
  </cols>
  <sheetData>
    <row r="1" spans="1:32" ht="15.75" customHeight="1" x14ac:dyDescent="0.5">
      <c r="A1" s="88"/>
      <c r="AF1" s="89"/>
    </row>
    <row r="2" spans="1:32" ht="15.75" customHeight="1" x14ac:dyDescent="0.25">
      <c r="B2" s="225" t="s">
        <v>19</v>
      </c>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F2" s="89"/>
    </row>
    <row r="3" spans="1:32" ht="15.75" customHeight="1" x14ac:dyDescent="0.25">
      <c r="B3" s="226"/>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F3" s="89"/>
    </row>
    <row r="4" spans="1:32" ht="15.75" customHeight="1" thickBot="1" x14ac:dyDescent="0.3">
      <c r="AF4" s="89"/>
    </row>
    <row r="5" spans="1:32" ht="15.75" customHeight="1" thickBot="1" x14ac:dyDescent="0.35">
      <c r="A5" s="135"/>
      <c r="B5" s="135"/>
      <c r="C5" s="135"/>
      <c r="D5" s="135"/>
      <c r="E5" s="92" t="s">
        <v>3</v>
      </c>
      <c r="F5" s="201" t="str">
        <f>IF('INPUT DATA'!E10="","",'INPUT DATA'!E10)</f>
        <v/>
      </c>
      <c r="G5" s="202"/>
      <c r="H5" s="202"/>
      <c r="I5" s="202"/>
      <c r="J5" s="202"/>
      <c r="K5" s="202"/>
      <c r="L5" s="203"/>
      <c r="M5" s="93"/>
      <c r="N5" s="93"/>
      <c r="O5" s="93"/>
      <c r="P5" s="93"/>
      <c r="Q5" s="92" t="s">
        <v>7</v>
      </c>
      <c r="R5" s="201" t="str">
        <f>IF('INPUT DATA'!E11="","",'INPUT DATA'!E11)</f>
        <v/>
      </c>
      <c r="S5" s="202"/>
      <c r="T5" s="202"/>
      <c r="U5" s="202"/>
      <c r="V5" s="203"/>
      <c r="W5" s="93"/>
      <c r="X5" s="93"/>
      <c r="Y5" s="92" t="s">
        <v>8</v>
      </c>
      <c r="Z5" s="201" t="str">
        <f>IF('INPUT DATA'!E13="","",'INPUT DATA'!E13)</f>
        <v/>
      </c>
      <c r="AA5" s="202"/>
      <c r="AB5" s="203"/>
      <c r="AC5" s="135"/>
      <c r="AD5" s="135"/>
      <c r="AE5" s="135"/>
      <c r="AF5" s="90"/>
    </row>
    <row r="6" spans="1:32" ht="6" customHeight="1" thickBot="1" x14ac:dyDescent="0.35">
      <c r="A6" s="135"/>
      <c r="B6" s="135"/>
      <c r="C6" s="135"/>
      <c r="D6" s="135"/>
      <c r="E6" s="92"/>
      <c r="F6" s="94"/>
      <c r="G6" s="95"/>
      <c r="H6" s="95"/>
      <c r="I6" s="95"/>
      <c r="J6" s="95"/>
      <c r="K6" s="95"/>
      <c r="L6" s="95"/>
      <c r="M6" s="93"/>
      <c r="N6" s="93"/>
      <c r="O6" s="93"/>
      <c r="P6" s="93"/>
      <c r="Q6" s="92"/>
      <c r="R6" s="94"/>
      <c r="S6" s="95"/>
      <c r="T6" s="95"/>
      <c r="U6" s="95"/>
      <c r="V6" s="95"/>
      <c r="W6" s="93"/>
      <c r="X6" s="93"/>
      <c r="Y6" s="92"/>
      <c r="Z6" s="94"/>
      <c r="AA6" s="95"/>
      <c r="AB6" s="95"/>
      <c r="AC6" s="135"/>
      <c r="AD6" s="135"/>
      <c r="AE6" s="135"/>
      <c r="AF6" s="90"/>
    </row>
    <row r="7" spans="1:32" ht="15.75" customHeight="1" thickBot="1" x14ac:dyDescent="0.35">
      <c r="A7" s="135"/>
      <c r="B7" s="135"/>
      <c r="C7" s="135"/>
      <c r="D7" s="135"/>
      <c r="E7" s="92" t="s">
        <v>9</v>
      </c>
      <c r="F7" s="201" t="str">
        <f>IF('INPUT DATA'!E14="","",'INPUT DATA'!E14)</f>
        <v/>
      </c>
      <c r="G7" s="202"/>
      <c r="H7" s="202"/>
      <c r="I7" s="202"/>
      <c r="J7" s="202"/>
      <c r="K7" s="202"/>
      <c r="L7" s="202"/>
      <c r="M7" s="202"/>
      <c r="N7" s="202"/>
      <c r="O7" s="202"/>
      <c r="P7" s="202"/>
      <c r="Q7" s="202"/>
      <c r="R7" s="202"/>
      <c r="S7" s="202"/>
      <c r="T7" s="202"/>
      <c r="U7" s="202"/>
      <c r="V7" s="203"/>
      <c r="W7" s="93"/>
      <c r="X7" s="93"/>
      <c r="Y7" s="92" t="s">
        <v>10</v>
      </c>
      <c r="Z7" s="201" t="str">
        <f>IF('INPUT DATA'!E15="","",'INPUT DATA'!E15)</f>
        <v/>
      </c>
      <c r="AA7" s="202"/>
      <c r="AB7" s="203"/>
      <c r="AC7" s="135"/>
      <c r="AD7" s="135"/>
      <c r="AE7" s="135"/>
      <c r="AF7" s="90"/>
    </row>
    <row r="8" spans="1:32" ht="13.8" customHeight="1" thickBot="1" x14ac:dyDescent="0.3">
      <c r="A8" s="135"/>
      <c r="B8" s="13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90"/>
    </row>
    <row r="9" spans="1:32" ht="15.75" customHeight="1" thickBot="1" x14ac:dyDescent="0.35">
      <c r="A9" s="135"/>
      <c r="B9" s="217"/>
      <c r="C9" s="218"/>
      <c r="D9" s="218"/>
      <c r="E9" s="218"/>
      <c r="F9" s="218"/>
      <c r="G9" s="218"/>
      <c r="H9" s="218"/>
      <c r="I9" s="218"/>
      <c r="J9" s="218"/>
      <c r="K9" s="218"/>
      <c r="L9" s="218"/>
      <c r="M9" s="218"/>
      <c r="N9" s="218"/>
      <c r="O9" s="218"/>
      <c r="P9" s="218"/>
      <c r="Q9" s="218"/>
      <c r="R9" s="218"/>
      <c r="S9" s="218"/>
      <c r="T9" s="218"/>
      <c r="U9" s="218"/>
      <c r="V9" s="218"/>
      <c r="W9" s="218"/>
      <c r="X9" s="218"/>
      <c r="Y9" s="218"/>
      <c r="Z9" s="218"/>
      <c r="AA9" s="218"/>
      <c r="AB9" s="218"/>
      <c r="AC9" s="218"/>
      <c r="AD9" s="219"/>
      <c r="AE9" s="135"/>
      <c r="AF9" s="91"/>
    </row>
    <row r="10" spans="1:32" ht="14.4" customHeight="1" thickBot="1" x14ac:dyDescent="0.3">
      <c r="A10" s="135"/>
      <c r="B10" s="220" t="s">
        <v>40</v>
      </c>
      <c r="C10" s="221"/>
      <c r="D10" s="221"/>
      <c r="E10" s="222"/>
      <c r="F10" s="235" t="s">
        <v>15</v>
      </c>
      <c r="G10" s="215"/>
      <c r="H10" s="215"/>
      <c r="I10" s="216"/>
      <c r="J10" s="224" t="str">
        <f>IF('INPUT DATA'!E25="","",'INPUT DATA'!E25)</f>
        <v/>
      </c>
      <c r="K10" s="215"/>
      <c r="L10" s="215"/>
      <c r="M10" s="216"/>
      <c r="N10" s="244" t="s">
        <v>21</v>
      </c>
      <c r="O10" s="221"/>
      <c r="P10" s="222"/>
      <c r="Q10" s="224" t="str">
        <f>IF('INPUT DATA'!E23="","",'INPUT DATA'!E23)</f>
        <v/>
      </c>
      <c r="R10" s="221"/>
      <c r="S10" s="221"/>
      <c r="T10" s="221"/>
      <c r="U10" s="221"/>
      <c r="V10" s="221"/>
      <c r="W10" s="221"/>
      <c r="X10" s="222"/>
      <c r="Y10" s="228" t="s">
        <v>14</v>
      </c>
      <c r="Z10" s="221"/>
      <c r="AA10" s="224" t="s">
        <v>22</v>
      </c>
      <c r="AB10" s="221"/>
      <c r="AC10" s="221"/>
      <c r="AD10" s="222"/>
      <c r="AE10" s="135"/>
      <c r="AF10" s="90"/>
    </row>
    <row r="11" spans="1:32" ht="14.4" customHeight="1" thickBot="1" x14ac:dyDescent="0.3">
      <c r="A11" s="135"/>
      <c r="B11" s="223"/>
      <c r="C11" s="221"/>
      <c r="D11" s="221"/>
      <c r="E11" s="222"/>
      <c r="F11" s="240" t="s">
        <v>16</v>
      </c>
      <c r="G11" s="202"/>
      <c r="H11" s="202"/>
      <c r="I11" s="203"/>
      <c r="J11" s="227" t="str">
        <f>IF('INPUT DATA'!E26="","",'INPUT DATA'!E26)</f>
        <v/>
      </c>
      <c r="K11" s="202"/>
      <c r="L11" s="202"/>
      <c r="M11" s="203"/>
      <c r="N11" s="214"/>
      <c r="O11" s="215"/>
      <c r="P11" s="216"/>
      <c r="Q11" s="214"/>
      <c r="R11" s="215"/>
      <c r="S11" s="215"/>
      <c r="T11" s="215"/>
      <c r="U11" s="215"/>
      <c r="V11" s="215"/>
      <c r="W11" s="215"/>
      <c r="X11" s="216"/>
      <c r="Y11" s="214"/>
      <c r="Z11" s="215"/>
      <c r="AA11" s="214"/>
      <c r="AB11" s="215"/>
      <c r="AC11" s="215"/>
      <c r="AD11" s="216"/>
      <c r="AE11" s="135"/>
      <c r="AF11" s="90"/>
    </row>
    <row r="12" spans="1:32" ht="13.2" customHeight="1" thickBot="1" x14ac:dyDescent="0.3">
      <c r="A12" s="135"/>
      <c r="B12" s="223"/>
      <c r="C12" s="221"/>
      <c r="D12" s="221"/>
      <c r="E12" s="222"/>
      <c r="F12" s="238" t="s">
        <v>23</v>
      </c>
      <c r="G12" s="212"/>
      <c r="H12" s="212"/>
      <c r="I12" s="212"/>
      <c r="J12" s="212"/>
      <c r="K12" s="212"/>
      <c r="L12" s="212"/>
      <c r="M12" s="213"/>
      <c r="N12" s="206" t="s">
        <v>24</v>
      </c>
      <c r="O12" s="212"/>
      <c r="P12" s="212"/>
      <c r="Q12" s="212"/>
      <c r="R12" s="212"/>
      <c r="S12" s="213"/>
      <c r="T12" s="206" t="s">
        <v>25</v>
      </c>
      <c r="U12" s="212"/>
      <c r="V12" s="212"/>
      <c r="W12" s="212"/>
      <c r="X12" s="212"/>
      <c r="Y12" s="212"/>
      <c r="Z12" s="212"/>
      <c r="AA12" s="213"/>
      <c r="AB12" s="206" t="s">
        <v>26</v>
      </c>
      <c r="AC12" s="206" t="s">
        <v>27</v>
      </c>
      <c r="AD12" s="206" t="s">
        <v>28</v>
      </c>
      <c r="AE12" s="135"/>
      <c r="AF12" s="90"/>
    </row>
    <row r="13" spans="1:32" ht="13.8" customHeight="1" thickBot="1" x14ac:dyDescent="0.3">
      <c r="A13" s="135"/>
      <c r="B13" s="223"/>
      <c r="C13" s="221"/>
      <c r="D13" s="221"/>
      <c r="E13" s="222"/>
      <c r="F13" s="214"/>
      <c r="G13" s="215"/>
      <c r="H13" s="215"/>
      <c r="I13" s="215"/>
      <c r="J13" s="215"/>
      <c r="K13" s="215"/>
      <c r="L13" s="215"/>
      <c r="M13" s="216"/>
      <c r="N13" s="214"/>
      <c r="O13" s="215"/>
      <c r="P13" s="215"/>
      <c r="Q13" s="215"/>
      <c r="R13" s="215"/>
      <c r="S13" s="216"/>
      <c r="T13" s="214"/>
      <c r="U13" s="215"/>
      <c r="V13" s="215"/>
      <c r="W13" s="215"/>
      <c r="X13" s="215"/>
      <c r="Y13" s="215"/>
      <c r="Z13" s="215"/>
      <c r="AA13" s="216"/>
      <c r="AB13" s="207"/>
      <c r="AC13" s="207"/>
      <c r="AD13" s="207"/>
      <c r="AE13" s="135"/>
      <c r="AF13" s="90"/>
    </row>
    <row r="14" spans="1:32" ht="13.8" customHeight="1" thickBot="1" x14ac:dyDescent="0.3">
      <c r="A14" s="135"/>
      <c r="B14" s="223"/>
      <c r="C14" s="221"/>
      <c r="D14" s="221"/>
      <c r="E14" s="222"/>
      <c r="F14" s="75">
        <v>1</v>
      </c>
      <c r="G14" s="76">
        <v>2</v>
      </c>
      <c r="H14" s="76">
        <v>3</v>
      </c>
      <c r="I14" s="76">
        <v>4</v>
      </c>
      <c r="J14" s="103">
        <v>5</v>
      </c>
      <c r="K14" s="77" t="s">
        <v>29</v>
      </c>
      <c r="L14" s="77" t="s">
        <v>30</v>
      </c>
      <c r="M14" s="77" t="s">
        <v>31</v>
      </c>
      <c r="N14" s="75">
        <v>1</v>
      </c>
      <c r="O14" s="76">
        <v>2</v>
      </c>
      <c r="P14" s="103">
        <v>3</v>
      </c>
      <c r="Q14" s="77" t="s">
        <v>29</v>
      </c>
      <c r="R14" s="77" t="s">
        <v>30</v>
      </c>
      <c r="S14" s="77" t="s">
        <v>31</v>
      </c>
      <c r="T14" s="75" t="s">
        <v>32</v>
      </c>
      <c r="U14" s="76" t="s">
        <v>33</v>
      </c>
      <c r="V14" s="103" t="s">
        <v>34</v>
      </c>
      <c r="W14" s="78" t="s">
        <v>35</v>
      </c>
      <c r="X14" s="79" t="s">
        <v>36</v>
      </c>
      <c r="Y14" s="80" t="s">
        <v>37</v>
      </c>
      <c r="Z14" s="77" t="s">
        <v>30</v>
      </c>
      <c r="AA14" s="77" t="s">
        <v>31</v>
      </c>
      <c r="AB14" s="207"/>
      <c r="AC14" s="207"/>
      <c r="AD14" s="207"/>
      <c r="AE14" s="135"/>
      <c r="AF14" s="90"/>
    </row>
    <row r="15" spans="1:32" ht="14.4" customHeight="1" thickBot="1" x14ac:dyDescent="0.3">
      <c r="A15" s="135"/>
      <c r="B15" s="231" t="s">
        <v>38</v>
      </c>
      <c r="C15" s="202"/>
      <c r="D15" s="202"/>
      <c r="E15" s="203"/>
      <c r="F15" s="175"/>
      <c r="G15" s="176"/>
      <c r="H15" s="176"/>
      <c r="I15" s="176"/>
      <c r="J15" s="177"/>
      <c r="K15" s="63" t="str">
        <f>IF(COUNT(F15:J15)=0,"",SUM(F15:J15))</f>
        <v/>
      </c>
      <c r="L15" s="71">
        <v>100</v>
      </c>
      <c r="M15" s="72">
        <v>0.2</v>
      </c>
      <c r="N15" s="175"/>
      <c r="O15" s="176"/>
      <c r="P15" s="177"/>
      <c r="Q15" s="63" t="str">
        <f>IF(COUNT(N15:P15)=0,"",SUM(N15:P15))</f>
        <v/>
      </c>
      <c r="R15" s="73">
        <v>100</v>
      </c>
      <c r="S15" s="74">
        <v>0.6</v>
      </c>
      <c r="T15" s="175"/>
      <c r="U15" s="176"/>
      <c r="V15" s="177"/>
      <c r="W15" s="84">
        <v>30</v>
      </c>
      <c r="X15" s="85">
        <v>30</v>
      </c>
      <c r="Y15" s="86">
        <v>40</v>
      </c>
      <c r="Z15" s="73">
        <v>100</v>
      </c>
      <c r="AA15" s="74">
        <v>0.2</v>
      </c>
      <c r="AB15" s="208"/>
      <c r="AC15" s="208"/>
      <c r="AD15" s="208"/>
      <c r="AE15" s="135"/>
      <c r="AF15" s="90"/>
    </row>
    <row r="16" spans="1:32" ht="14.4" customHeight="1" thickBot="1" x14ac:dyDescent="0.3">
      <c r="A16" s="135"/>
      <c r="B16" s="232" t="s">
        <v>2</v>
      </c>
      <c r="C16" s="233"/>
      <c r="D16" s="233"/>
      <c r="E16" s="233"/>
      <c r="F16" s="233"/>
      <c r="G16" s="233"/>
      <c r="H16" s="233"/>
      <c r="I16" s="233"/>
      <c r="J16" s="233"/>
      <c r="K16" s="233"/>
      <c r="L16" s="233"/>
      <c r="M16" s="233"/>
      <c r="N16" s="233"/>
      <c r="O16" s="233"/>
      <c r="P16" s="233"/>
      <c r="Q16" s="233"/>
      <c r="R16" s="233"/>
      <c r="S16" s="233"/>
      <c r="T16" s="233"/>
      <c r="U16" s="233"/>
      <c r="V16" s="233"/>
      <c r="W16" s="233"/>
      <c r="X16" s="233"/>
      <c r="Y16" s="233"/>
      <c r="Z16" s="233"/>
      <c r="AA16" s="233"/>
      <c r="AB16" s="233"/>
      <c r="AC16" s="233"/>
      <c r="AD16" s="234"/>
      <c r="AE16" s="135"/>
      <c r="AF16" s="90"/>
    </row>
    <row r="17" spans="1:32" ht="14.4" customHeight="1" thickBot="1" x14ac:dyDescent="0.3">
      <c r="A17" s="135"/>
      <c r="B17" s="241" t="s">
        <v>5</v>
      </c>
      <c r="C17" s="233"/>
      <c r="D17" s="233"/>
      <c r="E17" s="233"/>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5"/>
      <c r="AF17" s="90"/>
    </row>
    <row r="18" spans="1:32" ht="15" customHeight="1" x14ac:dyDescent="0.25">
      <c r="A18" s="135"/>
      <c r="B18" s="64">
        <v>1</v>
      </c>
      <c r="C18" s="211" t="str">
        <f>IF('INPUT DATA'!K11="","",'INPUT DATA'!K11)</f>
        <v/>
      </c>
      <c r="D18" s="205"/>
      <c r="E18" s="205"/>
      <c r="F18" s="120"/>
      <c r="G18" s="121"/>
      <c r="H18" s="121"/>
      <c r="I18" s="121"/>
      <c r="J18" s="122"/>
      <c r="K18" s="142" t="str">
        <f t="shared" ref="K18:K81" si="0">IF(COUNT($F18:$J18)=0,"",SUM($F18:$J18))</f>
        <v/>
      </c>
      <c r="L18" s="142" t="str">
        <f t="shared" ref="L18:L67" si="1">IF(COUNT(F18:J18)=0,"",IFERROR(K18/$K$15*$L$15,""))</f>
        <v/>
      </c>
      <c r="M18" s="145" t="str">
        <f t="shared" ref="M18:M67" si="2">IF(L18="","",L18*$M$15)</f>
        <v/>
      </c>
      <c r="N18" s="120"/>
      <c r="O18" s="121"/>
      <c r="P18" s="122"/>
      <c r="Q18" s="142" t="str">
        <f t="shared" ref="Q18:Q67" si="3">IF(COUNT(N18:P18)=0,"",SUM(N18:P18))</f>
        <v/>
      </c>
      <c r="R18" s="142" t="str">
        <f t="shared" ref="R18:R67" si="4">IF(COUNT(N18:P18)=0,"",IFERROR(Q18/$Q$15*$R$15,""))</f>
        <v/>
      </c>
      <c r="S18" s="142" t="str">
        <f t="shared" ref="S18:S67" si="5">IF(R18="","",R18*$S$15)</f>
        <v/>
      </c>
      <c r="T18" s="120"/>
      <c r="U18" s="121"/>
      <c r="V18" s="122"/>
      <c r="W18" s="142" t="str">
        <f t="shared" ref="W18:W67" si="6">IF(T18="","",IFERROR(T18/$T$15*$W$15,""))</f>
        <v/>
      </c>
      <c r="X18" s="142" t="str">
        <f t="shared" ref="X18:X67" si="7">IF(U18="","",IFERROR(U18/$U$15*$X$15,""))</f>
        <v/>
      </c>
      <c r="Y18" s="142" t="str">
        <f t="shared" ref="Y18:Y67" si="8">IF(V18="","",IFERROR(V18/$V$15*$Y$15,""))</f>
        <v/>
      </c>
      <c r="Z18" s="149" t="str">
        <f t="shared" ref="Z18:Z67" si="9">IF(COUNT(T18:V18)=0,"",SUM(W18:Y18))</f>
        <v/>
      </c>
      <c r="AA18" s="142" t="str">
        <f t="shared" ref="AA18:AA67" si="10">IF(Z18="","",Z18*$AA$15)</f>
        <v/>
      </c>
      <c r="AB18" s="151" t="str">
        <f t="shared" ref="AB18:AB67" si="11">IF(COUNT(F18:J18,N18:P18,T18:V18)=0,"",SUM(M18,S18,AA18))</f>
        <v/>
      </c>
      <c r="AC18" s="157" t="str">
        <f>IF(AB18="","",IFERROR(INDEX(HELPER!$D$8:$D$48,IF(AB18&gt;=HELPER!$B$8,1,MATCH(AB18,HELPER!$B$8:$B$48,-1)+1)),""))</f>
        <v/>
      </c>
      <c r="AD18" s="154" t="str">
        <f>IF(AC18="","",IFERROR(VLOOKUP(AC18,HELPER!$F$8:$G$48,2,FALSE),""))</f>
        <v/>
      </c>
      <c r="AE18" s="135"/>
      <c r="AF18" s="90"/>
    </row>
    <row r="19" spans="1:32" ht="15" customHeight="1" x14ac:dyDescent="0.25">
      <c r="A19" s="135"/>
      <c r="B19" s="65">
        <v>2</v>
      </c>
      <c r="C19" s="211" t="str">
        <f>IF('INPUT DATA'!K12="","",'INPUT DATA'!K12)</f>
        <v/>
      </c>
      <c r="D19" s="205"/>
      <c r="E19" s="205"/>
      <c r="F19" s="123"/>
      <c r="G19" s="119"/>
      <c r="H19" s="119"/>
      <c r="I19" s="119"/>
      <c r="J19" s="124"/>
      <c r="K19" s="143" t="str">
        <f t="shared" si="0"/>
        <v/>
      </c>
      <c r="L19" s="143" t="str">
        <f t="shared" si="1"/>
        <v/>
      </c>
      <c r="M19" s="146" t="str">
        <f t="shared" si="2"/>
        <v/>
      </c>
      <c r="N19" s="123"/>
      <c r="O19" s="119"/>
      <c r="P19" s="124"/>
      <c r="Q19" s="143" t="str">
        <f t="shared" si="3"/>
        <v/>
      </c>
      <c r="R19" s="143" t="str">
        <f t="shared" si="4"/>
        <v/>
      </c>
      <c r="S19" s="143" t="str">
        <f t="shared" si="5"/>
        <v/>
      </c>
      <c r="T19" s="123"/>
      <c r="U19" s="119"/>
      <c r="V19" s="124"/>
      <c r="W19" s="143" t="str">
        <f t="shared" si="6"/>
        <v/>
      </c>
      <c r="X19" s="143" t="str">
        <f t="shared" si="7"/>
        <v/>
      </c>
      <c r="Y19" s="143" t="str">
        <f t="shared" si="8"/>
        <v/>
      </c>
      <c r="Z19" s="150" t="str">
        <f t="shared" si="9"/>
        <v/>
      </c>
      <c r="AA19" s="143" t="str">
        <f t="shared" si="10"/>
        <v/>
      </c>
      <c r="AB19" s="152" t="str">
        <f t="shared" si="11"/>
        <v/>
      </c>
      <c r="AC19" s="158" t="str">
        <f>IF(AB19="","",IFERROR(INDEX(HELPER!$D$8:$D$48,IF(AB19&gt;=HELPER!$B$8,1,MATCH(AB19,HELPER!$B$8:$B$48,-1)+1)),""))</f>
        <v/>
      </c>
      <c r="AD19" s="155" t="str">
        <f>IF(AC19="","",IFERROR(VLOOKUP(AC19,HELPER!$F$8:$G$48,2,FALSE),""))</f>
        <v/>
      </c>
      <c r="AE19" s="135"/>
      <c r="AF19" s="90"/>
    </row>
    <row r="20" spans="1:32" ht="15" customHeight="1" x14ac:dyDescent="0.25">
      <c r="A20" s="135"/>
      <c r="B20" s="65">
        <v>3</v>
      </c>
      <c r="C20" s="211" t="str">
        <f>IF('INPUT DATA'!K13="","",'INPUT DATA'!K13)</f>
        <v/>
      </c>
      <c r="D20" s="205"/>
      <c r="E20" s="205"/>
      <c r="F20" s="123"/>
      <c r="G20" s="119"/>
      <c r="H20" s="119"/>
      <c r="I20" s="119"/>
      <c r="J20" s="124"/>
      <c r="K20" s="143" t="str">
        <f t="shared" si="0"/>
        <v/>
      </c>
      <c r="L20" s="143" t="str">
        <f t="shared" si="1"/>
        <v/>
      </c>
      <c r="M20" s="146" t="str">
        <f t="shared" si="2"/>
        <v/>
      </c>
      <c r="N20" s="123"/>
      <c r="O20" s="119"/>
      <c r="P20" s="124"/>
      <c r="Q20" s="143" t="str">
        <f t="shared" si="3"/>
        <v/>
      </c>
      <c r="R20" s="143" t="str">
        <f t="shared" si="4"/>
        <v/>
      </c>
      <c r="S20" s="143" t="str">
        <f t="shared" si="5"/>
        <v/>
      </c>
      <c r="T20" s="123"/>
      <c r="U20" s="119"/>
      <c r="V20" s="124"/>
      <c r="W20" s="143" t="str">
        <f t="shared" si="6"/>
        <v/>
      </c>
      <c r="X20" s="143" t="str">
        <f t="shared" si="7"/>
        <v/>
      </c>
      <c r="Y20" s="143" t="str">
        <f t="shared" si="8"/>
        <v/>
      </c>
      <c r="Z20" s="150" t="str">
        <f t="shared" si="9"/>
        <v/>
      </c>
      <c r="AA20" s="143" t="str">
        <f t="shared" si="10"/>
        <v/>
      </c>
      <c r="AB20" s="152" t="str">
        <f t="shared" si="11"/>
        <v/>
      </c>
      <c r="AC20" s="158" t="str">
        <f>IF(AB20="","",IFERROR(INDEX(HELPER!$D$8:$D$48,IF(AB20&gt;=HELPER!$B$8,1,MATCH(AB20,HELPER!$B$8:$B$48,-1)+1)),""))</f>
        <v/>
      </c>
      <c r="AD20" s="155" t="str">
        <f>IF(AC20="","",IFERROR(VLOOKUP(AC20,HELPER!$F$8:$G$48,2,FALSE),""))</f>
        <v/>
      </c>
      <c r="AE20" s="135"/>
      <c r="AF20" s="90"/>
    </row>
    <row r="21" spans="1:32" ht="15" customHeight="1" x14ac:dyDescent="0.25">
      <c r="A21" s="135"/>
      <c r="B21" s="65">
        <v>4</v>
      </c>
      <c r="C21" s="211" t="str">
        <f>IF('INPUT DATA'!K14="","",'INPUT DATA'!K14)</f>
        <v/>
      </c>
      <c r="D21" s="205"/>
      <c r="E21" s="205"/>
      <c r="F21" s="123"/>
      <c r="G21" s="119"/>
      <c r="H21" s="119"/>
      <c r="I21" s="119"/>
      <c r="J21" s="124"/>
      <c r="K21" s="143" t="str">
        <f t="shared" si="0"/>
        <v/>
      </c>
      <c r="L21" s="143" t="str">
        <f t="shared" si="1"/>
        <v/>
      </c>
      <c r="M21" s="146" t="str">
        <f t="shared" si="2"/>
        <v/>
      </c>
      <c r="N21" s="123"/>
      <c r="O21" s="119"/>
      <c r="P21" s="124"/>
      <c r="Q21" s="143" t="str">
        <f t="shared" si="3"/>
        <v/>
      </c>
      <c r="R21" s="143" t="str">
        <f t="shared" si="4"/>
        <v/>
      </c>
      <c r="S21" s="143" t="str">
        <f t="shared" si="5"/>
        <v/>
      </c>
      <c r="T21" s="123"/>
      <c r="U21" s="119"/>
      <c r="V21" s="124"/>
      <c r="W21" s="143" t="str">
        <f t="shared" si="6"/>
        <v/>
      </c>
      <c r="X21" s="143" t="str">
        <f t="shared" si="7"/>
        <v/>
      </c>
      <c r="Y21" s="143" t="str">
        <f t="shared" si="8"/>
        <v/>
      </c>
      <c r="Z21" s="150" t="str">
        <f t="shared" si="9"/>
        <v/>
      </c>
      <c r="AA21" s="143" t="str">
        <f t="shared" si="10"/>
        <v/>
      </c>
      <c r="AB21" s="152" t="str">
        <f t="shared" si="11"/>
        <v/>
      </c>
      <c r="AC21" s="158" t="str">
        <f>IF(AB21="","",IFERROR(INDEX(HELPER!$D$8:$D$48,IF(AB21&gt;=HELPER!$B$8,1,MATCH(AB21,HELPER!$B$8:$B$48,-1)+1)),""))</f>
        <v/>
      </c>
      <c r="AD21" s="155" t="str">
        <f>IF(AC21="","",IFERROR(VLOOKUP(AC21,HELPER!$F$8:$G$48,2,FALSE),""))</f>
        <v/>
      </c>
      <c r="AE21" s="135"/>
      <c r="AF21" s="90"/>
    </row>
    <row r="22" spans="1:32" ht="15" customHeight="1" x14ac:dyDescent="0.25">
      <c r="A22" s="135"/>
      <c r="B22" s="65">
        <v>5</v>
      </c>
      <c r="C22" s="204" t="str">
        <f>IF('INPUT DATA'!K15="","",'INPUT DATA'!K15)</f>
        <v/>
      </c>
      <c r="D22" s="205"/>
      <c r="E22" s="205"/>
      <c r="F22" s="123"/>
      <c r="G22" s="119"/>
      <c r="H22" s="119"/>
      <c r="I22" s="119"/>
      <c r="J22" s="124"/>
      <c r="K22" s="143" t="str">
        <f t="shared" si="0"/>
        <v/>
      </c>
      <c r="L22" s="143" t="str">
        <f t="shared" si="1"/>
        <v/>
      </c>
      <c r="M22" s="146" t="str">
        <f t="shared" si="2"/>
        <v/>
      </c>
      <c r="N22" s="123"/>
      <c r="O22" s="119"/>
      <c r="P22" s="124"/>
      <c r="Q22" s="143" t="str">
        <f t="shared" si="3"/>
        <v/>
      </c>
      <c r="R22" s="143" t="str">
        <f t="shared" si="4"/>
        <v/>
      </c>
      <c r="S22" s="143" t="str">
        <f t="shared" si="5"/>
        <v/>
      </c>
      <c r="T22" s="123"/>
      <c r="U22" s="119"/>
      <c r="V22" s="124"/>
      <c r="W22" s="143" t="str">
        <f t="shared" si="6"/>
        <v/>
      </c>
      <c r="X22" s="143" t="str">
        <f t="shared" si="7"/>
        <v/>
      </c>
      <c r="Y22" s="143" t="str">
        <f t="shared" si="8"/>
        <v/>
      </c>
      <c r="Z22" s="150" t="str">
        <f t="shared" si="9"/>
        <v/>
      </c>
      <c r="AA22" s="143" t="str">
        <f t="shared" si="10"/>
        <v/>
      </c>
      <c r="AB22" s="152" t="str">
        <f t="shared" si="11"/>
        <v/>
      </c>
      <c r="AC22" s="158" t="str">
        <f>IF(AB22="","",IFERROR(INDEX(HELPER!$D$8:$D$48,IF(AB22&gt;=HELPER!$B$8,1,MATCH(AB22,HELPER!$B$8:$B$48,-1)+1)),""))</f>
        <v/>
      </c>
      <c r="AD22" s="155" t="str">
        <f>IF(AC22="","",IFERROR(VLOOKUP(AC22,HELPER!$F$8:$G$48,2,FALSE),""))</f>
        <v/>
      </c>
      <c r="AE22" s="135"/>
      <c r="AF22" s="90"/>
    </row>
    <row r="23" spans="1:32" ht="15" customHeight="1" x14ac:dyDescent="0.25">
      <c r="A23" s="135"/>
      <c r="B23" s="65">
        <v>6</v>
      </c>
      <c r="C23" s="204" t="str">
        <f>IF('INPUT DATA'!K16="","",'INPUT DATA'!K16)</f>
        <v/>
      </c>
      <c r="D23" s="205"/>
      <c r="E23" s="205"/>
      <c r="F23" s="123"/>
      <c r="G23" s="119"/>
      <c r="H23" s="119"/>
      <c r="I23" s="119"/>
      <c r="J23" s="124"/>
      <c r="K23" s="143" t="str">
        <f t="shared" si="0"/>
        <v/>
      </c>
      <c r="L23" s="143" t="str">
        <f t="shared" si="1"/>
        <v/>
      </c>
      <c r="M23" s="146" t="str">
        <f t="shared" si="2"/>
        <v/>
      </c>
      <c r="N23" s="123"/>
      <c r="O23" s="119"/>
      <c r="P23" s="124"/>
      <c r="Q23" s="143" t="str">
        <f t="shared" si="3"/>
        <v/>
      </c>
      <c r="R23" s="143" t="str">
        <f t="shared" si="4"/>
        <v/>
      </c>
      <c r="S23" s="143" t="str">
        <f t="shared" si="5"/>
        <v/>
      </c>
      <c r="T23" s="123"/>
      <c r="U23" s="119"/>
      <c r="V23" s="124"/>
      <c r="W23" s="143" t="str">
        <f t="shared" si="6"/>
        <v/>
      </c>
      <c r="X23" s="143" t="str">
        <f t="shared" si="7"/>
        <v/>
      </c>
      <c r="Y23" s="143" t="str">
        <f t="shared" si="8"/>
        <v/>
      </c>
      <c r="Z23" s="150" t="str">
        <f t="shared" si="9"/>
        <v/>
      </c>
      <c r="AA23" s="143" t="str">
        <f t="shared" si="10"/>
        <v/>
      </c>
      <c r="AB23" s="152" t="str">
        <f t="shared" si="11"/>
        <v/>
      </c>
      <c r="AC23" s="158" t="str">
        <f>IF(AB23="","",IFERROR(INDEX(HELPER!$D$8:$D$48,IF(AB23&gt;=HELPER!$B$8,1,MATCH(AB23,HELPER!$B$8:$B$48,-1)+1)),""))</f>
        <v/>
      </c>
      <c r="AD23" s="155" t="str">
        <f>IF(AC23="","",IFERROR(VLOOKUP(AC23,HELPER!$F$8:$G$48,2,FALSE),""))</f>
        <v/>
      </c>
      <c r="AE23" s="135"/>
      <c r="AF23" s="90"/>
    </row>
    <row r="24" spans="1:32" ht="15" customHeight="1" x14ac:dyDescent="0.25">
      <c r="A24" s="135"/>
      <c r="B24" s="65">
        <v>7</v>
      </c>
      <c r="C24" s="204" t="str">
        <f>IF('INPUT DATA'!K17="","",'INPUT DATA'!K17)</f>
        <v/>
      </c>
      <c r="D24" s="205"/>
      <c r="E24" s="205"/>
      <c r="F24" s="123"/>
      <c r="G24" s="119"/>
      <c r="H24" s="119"/>
      <c r="I24" s="119"/>
      <c r="J24" s="124"/>
      <c r="K24" s="143" t="str">
        <f t="shared" si="0"/>
        <v/>
      </c>
      <c r="L24" s="143" t="str">
        <f t="shared" si="1"/>
        <v/>
      </c>
      <c r="M24" s="146" t="str">
        <f t="shared" si="2"/>
        <v/>
      </c>
      <c r="N24" s="123"/>
      <c r="O24" s="119"/>
      <c r="P24" s="124"/>
      <c r="Q24" s="143" t="str">
        <f t="shared" si="3"/>
        <v/>
      </c>
      <c r="R24" s="143" t="str">
        <f t="shared" si="4"/>
        <v/>
      </c>
      <c r="S24" s="143" t="str">
        <f t="shared" si="5"/>
        <v/>
      </c>
      <c r="T24" s="123"/>
      <c r="U24" s="119"/>
      <c r="V24" s="124"/>
      <c r="W24" s="143" t="str">
        <f t="shared" si="6"/>
        <v/>
      </c>
      <c r="X24" s="143" t="str">
        <f t="shared" si="7"/>
        <v/>
      </c>
      <c r="Y24" s="143" t="str">
        <f t="shared" si="8"/>
        <v/>
      </c>
      <c r="Z24" s="150" t="str">
        <f t="shared" si="9"/>
        <v/>
      </c>
      <c r="AA24" s="143" t="str">
        <f t="shared" si="10"/>
        <v/>
      </c>
      <c r="AB24" s="152" t="str">
        <f t="shared" si="11"/>
        <v/>
      </c>
      <c r="AC24" s="158" t="str">
        <f>IF(AB24="","",IFERROR(INDEX(HELPER!$D$8:$D$48,IF(AB24&gt;=HELPER!$B$8,1,MATCH(AB24,HELPER!$B$8:$B$48,-1)+1)),""))</f>
        <v/>
      </c>
      <c r="AD24" s="155" t="str">
        <f>IF(AC24="","",IFERROR(VLOOKUP(AC24,HELPER!$F$8:$G$48,2,FALSE),""))</f>
        <v/>
      </c>
      <c r="AE24" s="135"/>
      <c r="AF24" s="90"/>
    </row>
    <row r="25" spans="1:32" ht="15" customHeight="1" x14ac:dyDescent="0.25">
      <c r="A25" s="135"/>
      <c r="B25" s="65">
        <v>8</v>
      </c>
      <c r="C25" s="204" t="str">
        <f>IF('INPUT DATA'!K18="","",'INPUT DATA'!K18)</f>
        <v/>
      </c>
      <c r="D25" s="205"/>
      <c r="E25" s="205"/>
      <c r="F25" s="123"/>
      <c r="G25" s="119"/>
      <c r="H25" s="119"/>
      <c r="I25" s="119"/>
      <c r="J25" s="124"/>
      <c r="K25" s="143" t="str">
        <f t="shared" si="0"/>
        <v/>
      </c>
      <c r="L25" s="143" t="str">
        <f t="shared" si="1"/>
        <v/>
      </c>
      <c r="M25" s="146" t="str">
        <f t="shared" si="2"/>
        <v/>
      </c>
      <c r="N25" s="123"/>
      <c r="O25" s="119"/>
      <c r="P25" s="124"/>
      <c r="Q25" s="143" t="str">
        <f t="shared" si="3"/>
        <v/>
      </c>
      <c r="R25" s="143" t="str">
        <f t="shared" si="4"/>
        <v/>
      </c>
      <c r="S25" s="143" t="str">
        <f t="shared" si="5"/>
        <v/>
      </c>
      <c r="T25" s="123"/>
      <c r="U25" s="119"/>
      <c r="V25" s="124"/>
      <c r="W25" s="143" t="str">
        <f t="shared" si="6"/>
        <v/>
      </c>
      <c r="X25" s="143" t="str">
        <f t="shared" si="7"/>
        <v/>
      </c>
      <c r="Y25" s="143" t="str">
        <f t="shared" si="8"/>
        <v/>
      </c>
      <c r="Z25" s="150" t="str">
        <f t="shared" si="9"/>
        <v/>
      </c>
      <c r="AA25" s="143" t="str">
        <f t="shared" si="10"/>
        <v/>
      </c>
      <c r="AB25" s="152" t="str">
        <f t="shared" si="11"/>
        <v/>
      </c>
      <c r="AC25" s="158" t="str">
        <f>IF(AB25="","",IFERROR(INDEX(HELPER!$D$8:$D$48,IF(AB25&gt;=HELPER!$B$8,1,MATCH(AB25,HELPER!$B$8:$B$48,-1)+1)),""))</f>
        <v/>
      </c>
      <c r="AD25" s="155" t="str">
        <f>IF(AC25="","",IFERROR(VLOOKUP(AC25,HELPER!$F$8:$G$48,2,FALSE),""))</f>
        <v/>
      </c>
      <c r="AE25" s="135"/>
      <c r="AF25" s="90"/>
    </row>
    <row r="26" spans="1:32" ht="15" customHeight="1" x14ac:dyDescent="0.25">
      <c r="A26" s="135"/>
      <c r="B26" s="65">
        <v>9</v>
      </c>
      <c r="C26" s="204" t="str">
        <f>IF('INPUT DATA'!K19="","",'INPUT DATA'!K19)</f>
        <v/>
      </c>
      <c r="D26" s="205"/>
      <c r="E26" s="205"/>
      <c r="F26" s="123"/>
      <c r="G26" s="119"/>
      <c r="H26" s="119"/>
      <c r="I26" s="119"/>
      <c r="J26" s="124"/>
      <c r="K26" s="143" t="str">
        <f t="shared" si="0"/>
        <v/>
      </c>
      <c r="L26" s="143" t="str">
        <f t="shared" si="1"/>
        <v/>
      </c>
      <c r="M26" s="146" t="str">
        <f t="shared" si="2"/>
        <v/>
      </c>
      <c r="N26" s="123"/>
      <c r="O26" s="119"/>
      <c r="P26" s="124"/>
      <c r="Q26" s="143" t="str">
        <f t="shared" si="3"/>
        <v/>
      </c>
      <c r="R26" s="143" t="str">
        <f t="shared" si="4"/>
        <v/>
      </c>
      <c r="S26" s="143" t="str">
        <f t="shared" si="5"/>
        <v/>
      </c>
      <c r="T26" s="123"/>
      <c r="U26" s="119"/>
      <c r="V26" s="124"/>
      <c r="W26" s="143" t="str">
        <f t="shared" si="6"/>
        <v/>
      </c>
      <c r="X26" s="143" t="str">
        <f t="shared" si="7"/>
        <v/>
      </c>
      <c r="Y26" s="143" t="str">
        <f t="shared" si="8"/>
        <v/>
      </c>
      <c r="Z26" s="150" t="str">
        <f t="shared" si="9"/>
        <v/>
      </c>
      <c r="AA26" s="143" t="str">
        <f t="shared" si="10"/>
        <v/>
      </c>
      <c r="AB26" s="152" t="str">
        <f t="shared" si="11"/>
        <v/>
      </c>
      <c r="AC26" s="158" t="str">
        <f>IF(AB26="","",IFERROR(INDEX(HELPER!$D$8:$D$48,IF(AB26&gt;=HELPER!$B$8,1,MATCH(AB26,HELPER!$B$8:$B$48,-1)+1)),""))</f>
        <v/>
      </c>
      <c r="AD26" s="155" t="str">
        <f>IF(AC26="","",IFERROR(VLOOKUP(AC26,HELPER!$F$8:$G$48,2,FALSE),""))</f>
        <v/>
      </c>
      <c r="AE26" s="135"/>
      <c r="AF26" s="90"/>
    </row>
    <row r="27" spans="1:32" ht="15" customHeight="1" x14ac:dyDescent="0.25">
      <c r="A27" s="135"/>
      <c r="B27" s="65">
        <v>10</v>
      </c>
      <c r="C27" s="204" t="str">
        <f>IF('INPUT DATA'!K20="","",'INPUT DATA'!K20)</f>
        <v/>
      </c>
      <c r="D27" s="205"/>
      <c r="E27" s="205"/>
      <c r="F27" s="123"/>
      <c r="G27" s="119"/>
      <c r="H27" s="119"/>
      <c r="I27" s="119"/>
      <c r="J27" s="124"/>
      <c r="K27" s="143" t="str">
        <f t="shared" si="0"/>
        <v/>
      </c>
      <c r="L27" s="143" t="str">
        <f t="shared" si="1"/>
        <v/>
      </c>
      <c r="M27" s="146" t="str">
        <f t="shared" si="2"/>
        <v/>
      </c>
      <c r="N27" s="123"/>
      <c r="O27" s="119"/>
      <c r="P27" s="124"/>
      <c r="Q27" s="143" t="str">
        <f t="shared" si="3"/>
        <v/>
      </c>
      <c r="R27" s="143" t="str">
        <f t="shared" si="4"/>
        <v/>
      </c>
      <c r="S27" s="143" t="str">
        <f t="shared" si="5"/>
        <v/>
      </c>
      <c r="T27" s="123"/>
      <c r="U27" s="119"/>
      <c r="V27" s="124"/>
      <c r="W27" s="143" t="str">
        <f t="shared" si="6"/>
        <v/>
      </c>
      <c r="X27" s="143" t="str">
        <f t="shared" si="7"/>
        <v/>
      </c>
      <c r="Y27" s="143" t="str">
        <f t="shared" si="8"/>
        <v/>
      </c>
      <c r="Z27" s="150" t="str">
        <f t="shared" si="9"/>
        <v/>
      </c>
      <c r="AA27" s="143" t="str">
        <f t="shared" si="10"/>
        <v/>
      </c>
      <c r="AB27" s="152" t="str">
        <f t="shared" si="11"/>
        <v/>
      </c>
      <c r="AC27" s="158" t="str">
        <f>IF(AB27="","",IFERROR(INDEX(HELPER!$D$8:$D$48,IF(AB27&gt;=HELPER!$B$8,1,MATCH(AB27,HELPER!$B$8:$B$48,-1)+1)),""))</f>
        <v/>
      </c>
      <c r="AD27" s="155" t="str">
        <f>IF(AC27="","",IFERROR(VLOOKUP(AC27,HELPER!$F$8:$G$48,2,FALSE),""))</f>
        <v/>
      </c>
      <c r="AE27" s="135"/>
      <c r="AF27" s="90"/>
    </row>
    <row r="28" spans="1:32" ht="15" customHeight="1" x14ac:dyDescent="0.25">
      <c r="A28" s="135"/>
      <c r="B28" s="65">
        <v>11</v>
      </c>
      <c r="C28" s="204" t="str">
        <f>IF('INPUT DATA'!K21="","",'INPUT DATA'!K21)</f>
        <v/>
      </c>
      <c r="D28" s="205"/>
      <c r="E28" s="205"/>
      <c r="F28" s="123"/>
      <c r="G28" s="119"/>
      <c r="H28" s="119"/>
      <c r="I28" s="119"/>
      <c r="J28" s="124"/>
      <c r="K28" s="143" t="str">
        <f t="shared" si="0"/>
        <v/>
      </c>
      <c r="L28" s="143" t="str">
        <f t="shared" si="1"/>
        <v/>
      </c>
      <c r="M28" s="146" t="str">
        <f t="shared" si="2"/>
        <v/>
      </c>
      <c r="N28" s="123"/>
      <c r="O28" s="119"/>
      <c r="P28" s="124"/>
      <c r="Q28" s="143" t="str">
        <f t="shared" si="3"/>
        <v/>
      </c>
      <c r="R28" s="143" t="str">
        <f t="shared" si="4"/>
        <v/>
      </c>
      <c r="S28" s="143" t="str">
        <f t="shared" si="5"/>
        <v/>
      </c>
      <c r="T28" s="123"/>
      <c r="U28" s="119"/>
      <c r="V28" s="124"/>
      <c r="W28" s="143" t="str">
        <f t="shared" si="6"/>
        <v/>
      </c>
      <c r="X28" s="143" t="str">
        <f t="shared" si="7"/>
        <v/>
      </c>
      <c r="Y28" s="143" t="str">
        <f t="shared" si="8"/>
        <v/>
      </c>
      <c r="Z28" s="150" t="str">
        <f t="shared" si="9"/>
        <v/>
      </c>
      <c r="AA28" s="143" t="str">
        <f t="shared" si="10"/>
        <v/>
      </c>
      <c r="AB28" s="152" t="str">
        <f t="shared" si="11"/>
        <v/>
      </c>
      <c r="AC28" s="158" t="str">
        <f>IF(AB28="","",IFERROR(INDEX(HELPER!$D$8:$D$48,IF(AB28&gt;=HELPER!$B$8,1,MATCH(AB28,HELPER!$B$8:$B$48,-1)+1)),""))</f>
        <v/>
      </c>
      <c r="AD28" s="155" t="str">
        <f>IF(AC28="","",IFERROR(VLOOKUP(AC28,HELPER!$F$8:$G$48,2,FALSE),""))</f>
        <v/>
      </c>
      <c r="AE28" s="135"/>
      <c r="AF28" s="90"/>
    </row>
    <row r="29" spans="1:32" ht="15" customHeight="1" x14ac:dyDescent="0.25">
      <c r="A29" s="135"/>
      <c r="B29" s="65">
        <v>12</v>
      </c>
      <c r="C29" s="204" t="str">
        <f>IF('INPUT DATA'!K22="","",'INPUT DATA'!K22)</f>
        <v/>
      </c>
      <c r="D29" s="205"/>
      <c r="E29" s="205"/>
      <c r="F29" s="123"/>
      <c r="G29" s="119"/>
      <c r="H29" s="119"/>
      <c r="I29" s="119"/>
      <c r="J29" s="124"/>
      <c r="K29" s="143" t="str">
        <f t="shared" si="0"/>
        <v/>
      </c>
      <c r="L29" s="143" t="str">
        <f t="shared" si="1"/>
        <v/>
      </c>
      <c r="M29" s="146" t="str">
        <f t="shared" si="2"/>
        <v/>
      </c>
      <c r="N29" s="123"/>
      <c r="O29" s="119"/>
      <c r="P29" s="124"/>
      <c r="Q29" s="143" t="str">
        <f t="shared" si="3"/>
        <v/>
      </c>
      <c r="R29" s="143" t="str">
        <f t="shared" si="4"/>
        <v/>
      </c>
      <c r="S29" s="143" t="str">
        <f t="shared" si="5"/>
        <v/>
      </c>
      <c r="T29" s="123"/>
      <c r="U29" s="119"/>
      <c r="V29" s="124"/>
      <c r="W29" s="143" t="str">
        <f t="shared" si="6"/>
        <v/>
      </c>
      <c r="X29" s="143" t="str">
        <f t="shared" si="7"/>
        <v/>
      </c>
      <c r="Y29" s="143" t="str">
        <f t="shared" si="8"/>
        <v/>
      </c>
      <c r="Z29" s="150" t="str">
        <f t="shared" si="9"/>
        <v/>
      </c>
      <c r="AA29" s="143" t="str">
        <f t="shared" si="10"/>
        <v/>
      </c>
      <c r="AB29" s="152" t="str">
        <f t="shared" si="11"/>
        <v/>
      </c>
      <c r="AC29" s="158" t="str">
        <f>IF(AB29="","",IFERROR(INDEX(HELPER!$D$8:$D$48,IF(AB29&gt;=HELPER!$B$8,1,MATCH(AB29,HELPER!$B$8:$B$48,-1)+1)),""))</f>
        <v/>
      </c>
      <c r="AD29" s="155" t="str">
        <f>IF(AC29="","",IFERROR(VLOOKUP(AC29,HELPER!$F$8:$G$48,2,FALSE),""))</f>
        <v/>
      </c>
      <c r="AE29" s="135"/>
      <c r="AF29" s="90"/>
    </row>
    <row r="30" spans="1:32" ht="15" customHeight="1" x14ac:dyDescent="0.25">
      <c r="A30" s="135"/>
      <c r="B30" s="65">
        <v>13</v>
      </c>
      <c r="C30" s="204" t="str">
        <f>IF('INPUT DATA'!K23="","",'INPUT DATA'!K23)</f>
        <v/>
      </c>
      <c r="D30" s="205"/>
      <c r="E30" s="205"/>
      <c r="F30" s="123"/>
      <c r="G30" s="119"/>
      <c r="H30" s="119"/>
      <c r="I30" s="119"/>
      <c r="J30" s="124"/>
      <c r="K30" s="143" t="str">
        <f t="shared" si="0"/>
        <v/>
      </c>
      <c r="L30" s="143" t="str">
        <f t="shared" si="1"/>
        <v/>
      </c>
      <c r="M30" s="146" t="str">
        <f t="shared" si="2"/>
        <v/>
      </c>
      <c r="N30" s="123"/>
      <c r="O30" s="119"/>
      <c r="P30" s="124"/>
      <c r="Q30" s="143" t="str">
        <f t="shared" si="3"/>
        <v/>
      </c>
      <c r="R30" s="143" t="str">
        <f t="shared" si="4"/>
        <v/>
      </c>
      <c r="S30" s="143" t="str">
        <f t="shared" si="5"/>
        <v/>
      </c>
      <c r="T30" s="123"/>
      <c r="U30" s="119"/>
      <c r="V30" s="124"/>
      <c r="W30" s="143" t="str">
        <f t="shared" si="6"/>
        <v/>
      </c>
      <c r="X30" s="143" t="str">
        <f t="shared" si="7"/>
        <v/>
      </c>
      <c r="Y30" s="143" t="str">
        <f t="shared" si="8"/>
        <v/>
      </c>
      <c r="Z30" s="150" t="str">
        <f t="shared" si="9"/>
        <v/>
      </c>
      <c r="AA30" s="143" t="str">
        <f t="shared" si="10"/>
        <v/>
      </c>
      <c r="AB30" s="152" t="str">
        <f t="shared" si="11"/>
        <v/>
      </c>
      <c r="AC30" s="158" t="str">
        <f>IF(AB30="","",IFERROR(INDEX(HELPER!$D$8:$D$48,IF(AB30&gt;=HELPER!$B$8,1,MATCH(AB30,HELPER!$B$8:$B$48,-1)+1)),""))</f>
        <v/>
      </c>
      <c r="AD30" s="155" t="str">
        <f>IF(AC30="","",IFERROR(VLOOKUP(AC30,HELPER!$F$8:$G$48,2,FALSE),""))</f>
        <v/>
      </c>
      <c r="AE30" s="135"/>
      <c r="AF30" s="90"/>
    </row>
    <row r="31" spans="1:32" ht="15" customHeight="1" x14ac:dyDescent="0.25">
      <c r="A31" s="135"/>
      <c r="B31" s="65">
        <v>14</v>
      </c>
      <c r="C31" s="204" t="str">
        <f>IF('INPUT DATA'!K24="","",'INPUT DATA'!K24)</f>
        <v/>
      </c>
      <c r="D31" s="205"/>
      <c r="E31" s="205"/>
      <c r="F31" s="123"/>
      <c r="G31" s="119"/>
      <c r="H31" s="119"/>
      <c r="I31" s="119"/>
      <c r="J31" s="124"/>
      <c r="K31" s="143" t="str">
        <f t="shared" si="0"/>
        <v/>
      </c>
      <c r="L31" s="143" t="str">
        <f t="shared" si="1"/>
        <v/>
      </c>
      <c r="M31" s="146" t="str">
        <f t="shared" si="2"/>
        <v/>
      </c>
      <c r="N31" s="123"/>
      <c r="O31" s="119"/>
      <c r="P31" s="124"/>
      <c r="Q31" s="143" t="str">
        <f t="shared" si="3"/>
        <v/>
      </c>
      <c r="R31" s="143" t="str">
        <f t="shared" si="4"/>
        <v/>
      </c>
      <c r="S31" s="143" t="str">
        <f t="shared" si="5"/>
        <v/>
      </c>
      <c r="T31" s="123"/>
      <c r="U31" s="119"/>
      <c r="V31" s="124"/>
      <c r="W31" s="143" t="str">
        <f t="shared" si="6"/>
        <v/>
      </c>
      <c r="X31" s="143" t="str">
        <f t="shared" si="7"/>
        <v/>
      </c>
      <c r="Y31" s="143" t="str">
        <f t="shared" si="8"/>
        <v/>
      </c>
      <c r="Z31" s="150" t="str">
        <f t="shared" si="9"/>
        <v/>
      </c>
      <c r="AA31" s="143" t="str">
        <f t="shared" si="10"/>
        <v/>
      </c>
      <c r="AB31" s="152" t="str">
        <f t="shared" si="11"/>
        <v/>
      </c>
      <c r="AC31" s="158" t="str">
        <f>IF(AB31="","",IFERROR(INDEX(HELPER!$D$8:$D$48,IF(AB31&gt;=HELPER!$B$8,1,MATCH(AB31,HELPER!$B$8:$B$48,-1)+1)),""))</f>
        <v/>
      </c>
      <c r="AD31" s="155" t="str">
        <f>IF(AC31="","",IFERROR(VLOOKUP(AC31,HELPER!$F$8:$G$48,2,FALSE),""))</f>
        <v/>
      </c>
      <c r="AE31" s="135"/>
      <c r="AF31" s="90"/>
    </row>
    <row r="32" spans="1:32" ht="15" customHeight="1" x14ac:dyDescent="0.25">
      <c r="A32" s="135"/>
      <c r="B32" s="65">
        <v>15</v>
      </c>
      <c r="C32" s="204" t="str">
        <f>IF('INPUT DATA'!K25="","",'INPUT DATA'!K25)</f>
        <v/>
      </c>
      <c r="D32" s="205"/>
      <c r="E32" s="205"/>
      <c r="F32" s="123"/>
      <c r="G32" s="119"/>
      <c r="H32" s="119"/>
      <c r="I32" s="119"/>
      <c r="J32" s="124"/>
      <c r="K32" s="143" t="str">
        <f t="shared" si="0"/>
        <v/>
      </c>
      <c r="L32" s="143" t="str">
        <f t="shared" si="1"/>
        <v/>
      </c>
      <c r="M32" s="146" t="str">
        <f t="shared" si="2"/>
        <v/>
      </c>
      <c r="N32" s="123"/>
      <c r="O32" s="119"/>
      <c r="P32" s="124"/>
      <c r="Q32" s="143" t="str">
        <f t="shared" si="3"/>
        <v/>
      </c>
      <c r="R32" s="143" t="str">
        <f t="shared" si="4"/>
        <v/>
      </c>
      <c r="S32" s="143" t="str">
        <f t="shared" si="5"/>
        <v/>
      </c>
      <c r="T32" s="123"/>
      <c r="U32" s="119"/>
      <c r="V32" s="124"/>
      <c r="W32" s="143" t="str">
        <f t="shared" si="6"/>
        <v/>
      </c>
      <c r="X32" s="143" t="str">
        <f t="shared" si="7"/>
        <v/>
      </c>
      <c r="Y32" s="143" t="str">
        <f t="shared" si="8"/>
        <v/>
      </c>
      <c r="Z32" s="150" t="str">
        <f t="shared" si="9"/>
        <v/>
      </c>
      <c r="AA32" s="143" t="str">
        <f t="shared" si="10"/>
        <v/>
      </c>
      <c r="AB32" s="152" t="str">
        <f t="shared" si="11"/>
        <v/>
      </c>
      <c r="AC32" s="158" t="str">
        <f>IF(AB32="","",IFERROR(INDEX(HELPER!$D$8:$D$48,IF(AB32&gt;=HELPER!$B$8,1,MATCH(AB32,HELPER!$B$8:$B$48,-1)+1)),""))</f>
        <v/>
      </c>
      <c r="AD32" s="155" t="str">
        <f>IF(AC32="","",IFERROR(VLOOKUP(AC32,HELPER!$F$8:$G$48,2,FALSE),""))</f>
        <v/>
      </c>
      <c r="AE32" s="135"/>
      <c r="AF32" s="90"/>
    </row>
    <row r="33" spans="1:32" ht="15" customHeight="1" x14ac:dyDescent="0.25">
      <c r="A33" s="135"/>
      <c r="B33" s="65">
        <v>16</v>
      </c>
      <c r="C33" s="204" t="str">
        <f>IF('INPUT DATA'!K26="","",'INPUT DATA'!K26)</f>
        <v/>
      </c>
      <c r="D33" s="205"/>
      <c r="E33" s="205"/>
      <c r="F33" s="123"/>
      <c r="G33" s="119"/>
      <c r="H33" s="119"/>
      <c r="I33" s="119"/>
      <c r="J33" s="124"/>
      <c r="K33" s="143" t="str">
        <f t="shared" si="0"/>
        <v/>
      </c>
      <c r="L33" s="143" t="str">
        <f t="shared" si="1"/>
        <v/>
      </c>
      <c r="M33" s="146" t="str">
        <f t="shared" si="2"/>
        <v/>
      </c>
      <c r="N33" s="123"/>
      <c r="O33" s="119"/>
      <c r="P33" s="124"/>
      <c r="Q33" s="143" t="str">
        <f t="shared" si="3"/>
        <v/>
      </c>
      <c r="R33" s="143" t="str">
        <f t="shared" si="4"/>
        <v/>
      </c>
      <c r="S33" s="143" t="str">
        <f t="shared" si="5"/>
        <v/>
      </c>
      <c r="T33" s="123"/>
      <c r="U33" s="119"/>
      <c r="V33" s="124"/>
      <c r="W33" s="143" t="str">
        <f t="shared" si="6"/>
        <v/>
      </c>
      <c r="X33" s="143" t="str">
        <f t="shared" si="7"/>
        <v/>
      </c>
      <c r="Y33" s="143" t="str">
        <f t="shared" si="8"/>
        <v/>
      </c>
      <c r="Z33" s="150" t="str">
        <f t="shared" si="9"/>
        <v/>
      </c>
      <c r="AA33" s="143" t="str">
        <f t="shared" si="10"/>
        <v/>
      </c>
      <c r="AB33" s="152" t="str">
        <f t="shared" si="11"/>
        <v/>
      </c>
      <c r="AC33" s="158" t="str">
        <f>IF(AB33="","",IFERROR(INDEX(HELPER!$D$8:$D$48,IF(AB33&gt;=HELPER!$B$8,1,MATCH(AB33,HELPER!$B$8:$B$48,-1)+1)),""))</f>
        <v/>
      </c>
      <c r="AD33" s="155" t="str">
        <f>IF(AC33="","",IFERROR(VLOOKUP(AC33,HELPER!$F$8:$G$48,2,FALSE),""))</f>
        <v/>
      </c>
      <c r="AE33" s="135"/>
      <c r="AF33" s="90"/>
    </row>
    <row r="34" spans="1:32" ht="15" customHeight="1" x14ac:dyDescent="0.25">
      <c r="A34" s="135"/>
      <c r="B34" s="65">
        <v>17</v>
      </c>
      <c r="C34" s="204" t="str">
        <f>IF('INPUT DATA'!K27="","",'INPUT DATA'!K27)</f>
        <v/>
      </c>
      <c r="D34" s="205"/>
      <c r="E34" s="205"/>
      <c r="F34" s="123"/>
      <c r="G34" s="119"/>
      <c r="H34" s="119"/>
      <c r="I34" s="119"/>
      <c r="J34" s="124"/>
      <c r="K34" s="143" t="str">
        <f t="shared" si="0"/>
        <v/>
      </c>
      <c r="L34" s="143" t="str">
        <f t="shared" si="1"/>
        <v/>
      </c>
      <c r="M34" s="146" t="str">
        <f t="shared" si="2"/>
        <v/>
      </c>
      <c r="N34" s="123"/>
      <c r="O34" s="119"/>
      <c r="P34" s="124"/>
      <c r="Q34" s="143" t="str">
        <f t="shared" si="3"/>
        <v/>
      </c>
      <c r="R34" s="143" t="str">
        <f t="shared" si="4"/>
        <v/>
      </c>
      <c r="S34" s="143" t="str">
        <f t="shared" si="5"/>
        <v/>
      </c>
      <c r="T34" s="123"/>
      <c r="U34" s="119"/>
      <c r="V34" s="124"/>
      <c r="W34" s="143" t="str">
        <f t="shared" si="6"/>
        <v/>
      </c>
      <c r="X34" s="143" t="str">
        <f t="shared" si="7"/>
        <v/>
      </c>
      <c r="Y34" s="143" t="str">
        <f t="shared" si="8"/>
        <v/>
      </c>
      <c r="Z34" s="150" t="str">
        <f t="shared" si="9"/>
        <v/>
      </c>
      <c r="AA34" s="143" t="str">
        <f t="shared" si="10"/>
        <v/>
      </c>
      <c r="AB34" s="152" t="str">
        <f t="shared" si="11"/>
        <v/>
      </c>
      <c r="AC34" s="158" t="str">
        <f>IF(AB34="","",IFERROR(INDEX(HELPER!$D$8:$D$48,IF(AB34&gt;=HELPER!$B$8,1,MATCH(AB34,HELPER!$B$8:$B$48,-1)+1)),""))</f>
        <v/>
      </c>
      <c r="AD34" s="155" t="str">
        <f>IF(AC34="","",IFERROR(VLOOKUP(AC34,HELPER!$F$8:$G$48,2,FALSE),""))</f>
        <v/>
      </c>
      <c r="AE34" s="135"/>
      <c r="AF34" s="90"/>
    </row>
    <row r="35" spans="1:32" ht="15" customHeight="1" x14ac:dyDescent="0.25">
      <c r="A35" s="135"/>
      <c r="B35" s="65">
        <v>18</v>
      </c>
      <c r="C35" s="204" t="str">
        <f>IF('INPUT DATA'!K28="","",'INPUT DATA'!K28)</f>
        <v/>
      </c>
      <c r="D35" s="205"/>
      <c r="E35" s="205"/>
      <c r="F35" s="123"/>
      <c r="G35" s="119"/>
      <c r="H35" s="119"/>
      <c r="I35" s="119"/>
      <c r="J35" s="124"/>
      <c r="K35" s="143" t="str">
        <f t="shared" si="0"/>
        <v/>
      </c>
      <c r="L35" s="143" t="str">
        <f t="shared" si="1"/>
        <v/>
      </c>
      <c r="M35" s="146" t="str">
        <f t="shared" si="2"/>
        <v/>
      </c>
      <c r="N35" s="123"/>
      <c r="O35" s="119"/>
      <c r="P35" s="124"/>
      <c r="Q35" s="143" t="str">
        <f t="shared" si="3"/>
        <v/>
      </c>
      <c r="R35" s="143" t="str">
        <f t="shared" si="4"/>
        <v/>
      </c>
      <c r="S35" s="143" t="str">
        <f t="shared" si="5"/>
        <v/>
      </c>
      <c r="T35" s="123"/>
      <c r="U35" s="119"/>
      <c r="V35" s="124"/>
      <c r="W35" s="143" t="str">
        <f t="shared" si="6"/>
        <v/>
      </c>
      <c r="X35" s="143" t="str">
        <f t="shared" si="7"/>
        <v/>
      </c>
      <c r="Y35" s="143" t="str">
        <f t="shared" si="8"/>
        <v/>
      </c>
      <c r="Z35" s="150" t="str">
        <f t="shared" si="9"/>
        <v/>
      </c>
      <c r="AA35" s="143" t="str">
        <f t="shared" si="10"/>
        <v/>
      </c>
      <c r="AB35" s="152" t="str">
        <f t="shared" si="11"/>
        <v/>
      </c>
      <c r="AC35" s="158" t="str">
        <f>IF(AB35="","",IFERROR(INDEX(HELPER!$D$8:$D$48,IF(AB35&gt;=HELPER!$B$8,1,MATCH(AB35,HELPER!$B$8:$B$48,-1)+1)),""))</f>
        <v/>
      </c>
      <c r="AD35" s="155" t="str">
        <f>IF(AC35="","",IFERROR(VLOOKUP(AC35,HELPER!$F$8:$G$48,2,FALSE),""))</f>
        <v/>
      </c>
      <c r="AE35" s="135"/>
      <c r="AF35" s="90"/>
    </row>
    <row r="36" spans="1:32" ht="15" customHeight="1" x14ac:dyDescent="0.25">
      <c r="A36" s="135"/>
      <c r="B36" s="65">
        <v>19</v>
      </c>
      <c r="C36" s="204" t="str">
        <f>IF('INPUT DATA'!K29="","",'INPUT DATA'!K29)</f>
        <v/>
      </c>
      <c r="D36" s="205"/>
      <c r="E36" s="205"/>
      <c r="F36" s="123"/>
      <c r="G36" s="119"/>
      <c r="H36" s="119"/>
      <c r="I36" s="119"/>
      <c r="J36" s="124"/>
      <c r="K36" s="143" t="str">
        <f t="shared" si="0"/>
        <v/>
      </c>
      <c r="L36" s="143" t="str">
        <f t="shared" si="1"/>
        <v/>
      </c>
      <c r="M36" s="146" t="str">
        <f t="shared" si="2"/>
        <v/>
      </c>
      <c r="N36" s="123"/>
      <c r="O36" s="119"/>
      <c r="P36" s="124"/>
      <c r="Q36" s="143" t="str">
        <f t="shared" si="3"/>
        <v/>
      </c>
      <c r="R36" s="143" t="str">
        <f t="shared" si="4"/>
        <v/>
      </c>
      <c r="S36" s="143" t="str">
        <f t="shared" si="5"/>
        <v/>
      </c>
      <c r="T36" s="123"/>
      <c r="U36" s="119"/>
      <c r="V36" s="124"/>
      <c r="W36" s="143" t="str">
        <f t="shared" si="6"/>
        <v/>
      </c>
      <c r="X36" s="143" t="str">
        <f t="shared" si="7"/>
        <v/>
      </c>
      <c r="Y36" s="143" t="str">
        <f t="shared" si="8"/>
        <v/>
      </c>
      <c r="Z36" s="150" t="str">
        <f t="shared" si="9"/>
        <v/>
      </c>
      <c r="AA36" s="143" t="str">
        <f t="shared" si="10"/>
        <v/>
      </c>
      <c r="AB36" s="152" t="str">
        <f t="shared" si="11"/>
        <v/>
      </c>
      <c r="AC36" s="158" t="str">
        <f>IF(AB36="","",IFERROR(INDEX(HELPER!$D$8:$D$48,IF(AB36&gt;=HELPER!$B$8,1,MATCH(AB36,HELPER!$B$8:$B$48,-1)+1)),""))</f>
        <v/>
      </c>
      <c r="AD36" s="155" t="str">
        <f>IF(AC36="","",IFERROR(VLOOKUP(AC36,HELPER!$F$8:$G$48,2,FALSE),""))</f>
        <v/>
      </c>
      <c r="AE36" s="135"/>
      <c r="AF36" s="90"/>
    </row>
    <row r="37" spans="1:32" ht="15" customHeight="1" x14ac:dyDescent="0.25">
      <c r="A37" s="135"/>
      <c r="B37" s="66">
        <v>20</v>
      </c>
      <c r="C37" s="204" t="str">
        <f>IF('INPUT DATA'!K30="","",'INPUT DATA'!K30)</f>
        <v/>
      </c>
      <c r="D37" s="205"/>
      <c r="E37" s="205"/>
      <c r="F37" s="123"/>
      <c r="G37" s="119"/>
      <c r="H37" s="119"/>
      <c r="I37" s="119"/>
      <c r="J37" s="124"/>
      <c r="K37" s="143" t="str">
        <f t="shared" si="0"/>
        <v/>
      </c>
      <c r="L37" s="143" t="str">
        <f t="shared" si="1"/>
        <v/>
      </c>
      <c r="M37" s="146" t="str">
        <f t="shared" si="2"/>
        <v/>
      </c>
      <c r="N37" s="123"/>
      <c r="O37" s="119"/>
      <c r="P37" s="124"/>
      <c r="Q37" s="143" t="str">
        <f t="shared" si="3"/>
        <v/>
      </c>
      <c r="R37" s="143" t="str">
        <f t="shared" si="4"/>
        <v/>
      </c>
      <c r="S37" s="143" t="str">
        <f t="shared" si="5"/>
        <v/>
      </c>
      <c r="T37" s="123"/>
      <c r="U37" s="119"/>
      <c r="V37" s="124"/>
      <c r="W37" s="143" t="str">
        <f t="shared" si="6"/>
        <v/>
      </c>
      <c r="X37" s="143" t="str">
        <f t="shared" si="7"/>
        <v/>
      </c>
      <c r="Y37" s="143" t="str">
        <f t="shared" si="8"/>
        <v/>
      </c>
      <c r="Z37" s="150" t="str">
        <f t="shared" si="9"/>
        <v/>
      </c>
      <c r="AA37" s="143" t="str">
        <f t="shared" si="10"/>
        <v/>
      </c>
      <c r="AB37" s="152" t="str">
        <f t="shared" si="11"/>
        <v/>
      </c>
      <c r="AC37" s="158" t="str">
        <f>IF(AB37="","",IFERROR(INDEX(HELPER!$D$8:$D$48,IF(AB37&gt;=HELPER!$B$8,1,MATCH(AB37,HELPER!$B$8:$B$48,-1)+1)),""))</f>
        <v/>
      </c>
      <c r="AD37" s="155" t="str">
        <f>IF(AC37="","",IFERROR(VLOOKUP(AC37,HELPER!$F$8:$G$48,2,FALSE),""))</f>
        <v/>
      </c>
      <c r="AE37" s="135"/>
      <c r="AF37" s="90"/>
    </row>
    <row r="38" spans="1:32" ht="15" customHeight="1" x14ac:dyDescent="0.25">
      <c r="A38" s="135"/>
      <c r="B38" s="66">
        <v>21</v>
      </c>
      <c r="C38" s="204" t="str">
        <f>IF('INPUT DATA'!K31="","",'INPUT DATA'!K31)</f>
        <v/>
      </c>
      <c r="D38" s="205"/>
      <c r="E38" s="205"/>
      <c r="F38" s="123"/>
      <c r="G38" s="119"/>
      <c r="H38" s="119"/>
      <c r="I38" s="119"/>
      <c r="J38" s="124"/>
      <c r="K38" s="143" t="str">
        <f t="shared" si="0"/>
        <v/>
      </c>
      <c r="L38" s="143" t="str">
        <f t="shared" si="1"/>
        <v/>
      </c>
      <c r="M38" s="146" t="str">
        <f t="shared" si="2"/>
        <v/>
      </c>
      <c r="N38" s="123"/>
      <c r="O38" s="119"/>
      <c r="P38" s="124"/>
      <c r="Q38" s="143" t="str">
        <f t="shared" si="3"/>
        <v/>
      </c>
      <c r="R38" s="143" t="str">
        <f t="shared" si="4"/>
        <v/>
      </c>
      <c r="S38" s="143" t="str">
        <f t="shared" si="5"/>
        <v/>
      </c>
      <c r="T38" s="123"/>
      <c r="U38" s="119"/>
      <c r="V38" s="124"/>
      <c r="W38" s="143" t="str">
        <f t="shared" si="6"/>
        <v/>
      </c>
      <c r="X38" s="143" t="str">
        <f t="shared" si="7"/>
        <v/>
      </c>
      <c r="Y38" s="143" t="str">
        <f t="shared" si="8"/>
        <v/>
      </c>
      <c r="Z38" s="150" t="str">
        <f t="shared" si="9"/>
        <v/>
      </c>
      <c r="AA38" s="143" t="str">
        <f t="shared" si="10"/>
        <v/>
      </c>
      <c r="AB38" s="152" t="str">
        <f t="shared" si="11"/>
        <v/>
      </c>
      <c r="AC38" s="158" t="str">
        <f>IF(AB38="","",IFERROR(INDEX(HELPER!$D$8:$D$48,IF(AB38&gt;=HELPER!$B$8,1,MATCH(AB38,HELPER!$B$8:$B$48,-1)+1)),""))</f>
        <v/>
      </c>
      <c r="AD38" s="155" t="str">
        <f>IF(AC38="","",IFERROR(VLOOKUP(AC38,HELPER!$F$8:$G$48,2,FALSE),""))</f>
        <v/>
      </c>
      <c r="AE38" s="135"/>
      <c r="AF38" s="90"/>
    </row>
    <row r="39" spans="1:32" ht="15" customHeight="1" x14ac:dyDescent="0.25">
      <c r="A39" s="135"/>
      <c r="B39" s="66">
        <v>22</v>
      </c>
      <c r="C39" s="204" t="str">
        <f>IF('INPUT DATA'!K32="","",'INPUT DATA'!K32)</f>
        <v/>
      </c>
      <c r="D39" s="205"/>
      <c r="E39" s="205"/>
      <c r="F39" s="123"/>
      <c r="G39" s="119"/>
      <c r="H39" s="119"/>
      <c r="I39" s="119"/>
      <c r="J39" s="124"/>
      <c r="K39" s="143" t="str">
        <f t="shared" si="0"/>
        <v/>
      </c>
      <c r="L39" s="143" t="str">
        <f t="shared" si="1"/>
        <v/>
      </c>
      <c r="M39" s="146" t="str">
        <f t="shared" si="2"/>
        <v/>
      </c>
      <c r="N39" s="123"/>
      <c r="O39" s="119"/>
      <c r="P39" s="124"/>
      <c r="Q39" s="143" t="str">
        <f t="shared" si="3"/>
        <v/>
      </c>
      <c r="R39" s="143" t="str">
        <f t="shared" si="4"/>
        <v/>
      </c>
      <c r="S39" s="143" t="str">
        <f t="shared" si="5"/>
        <v/>
      </c>
      <c r="T39" s="123"/>
      <c r="U39" s="119"/>
      <c r="V39" s="124"/>
      <c r="W39" s="143" t="str">
        <f t="shared" si="6"/>
        <v/>
      </c>
      <c r="X39" s="143" t="str">
        <f t="shared" si="7"/>
        <v/>
      </c>
      <c r="Y39" s="143" t="str">
        <f t="shared" si="8"/>
        <v/>
      </c>
      <c r="Z39" s="150" t="str">
        <f t="shared" si="9"/>
        <v/>
      </c>
      <c r="AA39" s="143" t="str">
        <f t="shared" si="10"/>
        <v/>
      </c>
      <c r="AB39" s="152" t="str">
        <f t="shared" si="11"/>
        <v/>
      </c>
      <c r="AC39" s="158" t="str">
        <f>IF(AB39="","",IFERROR(INDEX(HELPER!$D$8:$D$48,IF(AB39&gt;=HELPER!$B$8,1,MATCH(AB39,HELPER!$B$8:$B$48,-1)+1)),""))</f>
        <v/>
      </c>
      <c r="AD39" s="155" t="str">
        <f>IF(AC39="","",IFERROR(VLOOKUP(AC39,HELPER!$F$8:$G$48,2,FALSE),""))</f>
        <v/>
      </c>
      <c r="AE39" s="135"/>
      <c r="AF39" s="90"/>
    </row>
    <row r="40" spans="1:32" ht="15" customHeight="1" x14ac:dyDescent="0.25">
      <c r="A40" s="135"/>
      <c r="B40" s="66">
        <v>23</v>
      </c>
      <c r="C40" s="204" t="str">
        <f>IF('INPUT DATA'!K33="","",'INPUT DATA'!K33)</f>
        <v/>
      </c>
      <c r="D40" s="205"/>
      <c r="E40" s="205"/>
      <c r="F40" s="123"/>
      <c r="G40" s="119"/>
      <c r="H40" s="119"/>
      <c r="I40" s="119"/>
      <c r="J40" s="124"/>
      <c r="K40" s="143" t="str">
        <f t="shared" si="0"/>
        <v/>
      </c>
      <c r="L40" s="143" t="str">
        <f t="shared" si="1"/>
        <v/>
      </c>
      <c r="M40" s="146" t="str">
        <f t="shared" si="2"/>
        <v/>
      </c>
      <c r="N40" s="123"/>
      <c r="O40" s="119"/>
      <c r="P40" s="124"/>
      <c r="Q40" s="143" t="str">
        <f t="shared" si="3"/>
        <v/>
      </c>
      <c r="R40" s="143" t="str">
        <f t="shared" si="4"/>
        <v/>
      </c>
      <c r="S40" s="143" t="str">
        <f t="shared" si="5"/>
        <v/>
      </c>
      <c r="T40" s="123"/>
      <c r="U40" s="119"/>
      <c r="V40" s="124"/>
      <c r="W40" s="143" t="str">
        <f t="shared" si="6"/>
        <v/>
      </c>
      <c r="X40" s="143" t="str">
        <f t="shared" si="7"/>
        <v/>
      </c>
      <c r="Y40" s="143" t="str">
        <f t="shared" si="8"/>
        <v/>
      </c>
      <c r="Z40" s="150" t="str">
        <f t="shared" si="9"/>
        <v/>
      </c>
      <c r="AA40" s="143" t="str">
        <f t="shared" si="10"/>
        <v/>
      </c>
      <c r="AB40" s="152" t="str">
        <f t="shared" si="11"/>
        <v/>
      </c>
      <c r="AC40" s="158" t="str">
        <f>IF(AB40="","",IFERROR(INDEX(HELPER!$D$8:$D$48,IF(AB40&gt;=HELPER!$B$8,1,MATCH(AB40,HELPER!$B$8:$B$48,-1)+1)),""))</f>
        <v/>
      </c>
      <c r="AD40" s="155" t="str">
        <f>IF(AC40="","",IFERROR(VLOOKUP(AC40,HELPER!$F$8:$G$48,2,FALSE),""))</f>
        <v/>
      </c>
      <c r="AE40" s="135"/>
      <c r="AF40" s="90"/>
    </row>
    <row r="41" spans="1:32" ht="15" customHeight="1" x14ac:dyDescent="0.25">
      <c r="A41" s="135"/>
      <c r="B41" s="66">
        <v>24</v>
      </c>
      <c r="C41" s="204" t="str">
        <f>IF('INPUT DATA'!K34="","",'INPUT DATA'!K34)</f>
        <v/>
      </c>
      <c r="D41" s="205"/>
      <c r="E41" s="205"/>
      <c r="F41" s="123"/>
      <c r="G41" s="119"/>
      <c r="H41" s="119"/>
      <c r="I41" s="119"/>
      <c r="J41" s="124"/>
      <c r="K41" s="143" t="str">
        <f t="shared" si="0"/>
        <v/>
      </c>
      <c r="L41" s="143" t="str">
        <f t="shared" si="1"/>
        <v/>
      </c>
      <c r="M41" s="146" t="str">
        <f t="shared" si="2"/>
        <v/>
      </c>
      <c r="N41" s="123"/>
      <c r="O41" s="119"/>
      <c r="P41" s="124"/>
      <c r="Q41" s="143" t="str">
        <f t="shared" si="3"/>
        <v/>
      </c>
      <c r="R41" s="143" t="str">
        <f t="shared" si="4"/>
        <v/>
      </c>
      <c r="S41" s="143" t="str">
        <f t="shared" si="5"/>
        <v/>
      </c>
      <c r="T41" s="123"/>
      <c r="U41" s="119"/>
      <c r="V41" s="124"/>
      <c r="W41" s="143" t="str">
        <f t="shared" si="6"/>
        <v/>
      </c>
      <c r="X41" s="143" t="str">
        <f t="shared" si="7"/>
        <v/>
      </c>
      <c r="Y41" s="143" t="str">
        <f t="shared" si="8"/>
        <v/>
      </c>
      <c r="Z41" s="150" t="str">
        <f t="shared" si="9"/>
        <v/>
      </c>
      <c r="AA41" s="143" t="str">
        <f t="shared" si="10"/>
        <v/>
      </c>
      <c r="AB41" s="152" t="str">
        <f t="shared" si="11"/>
        <v/>
      </c>
      <c r="AC41" s="158" t="str">
        <f>IF(AB41="","",IFERROR(INDEX(HELPER!$D$8:$D$48,IF(AB41&gt;=HELPER!$B$8,1,MATCH(AB41,HELPER!$B$8:$B$48,-1)+1)),""))</f>
        <v/>
      </c>
      <c r="AD41" s="155" t="str">
        <f>IF(AC41="","",IFERROR(VLOOKUP(AC41,HELPER!$F$8:$G$48,2,FALSE),""))</f>
        <v/>
      </c>
      <c r="AE41" s="135"/>
      <c r="AF41" s="90"/>
    </row>
    <row r="42" spans="1:32" ht="15" customHeight="1" x14ac:dyDescent="0.25">
      <c r="A42" s="135"/>
      <c r="B42" s="66">
        <v>25</v>
      </c>
      <c r="C42" s="204" t="str">
        <f>IF('INPUT DATA'!K35="","",'INPUT DATA'!K35)</f>
        <v/>
      </c>
      <c r="D42" s="205"/>
      <c r="E42" s="205"/>
      <c r="F42" s="123"/>
      <c r="G42" s="119"/>
      <c r="H42" s="119"/>
      <c r="I42" s="119"/>
      <c r="J42" s="124"/>
      <c r="K42" s="143" t="str">
        <f t="shared" si="0"/>
        <v/>
      </c>
      <c r="L42" s="143" t="str">
        <f t="shared" si="1"/>
        <v/>
      </c>
      <c r="M42" s="146" t="str">
        <f t="shared" si="2"/>
        <v/>
      </c>
      <c r="N42" s="123"/>
      <c r="O42" s="119"/>
      <c r="P42" s="124"/>
      <c r="Q42" s="143" t="str">
        <f t="shared" si="3"/>
        <v/>
      </c>
      <c r="R42" s="143" t="str">
        <f t="shared" si="4"/>
        <v/>
      </c>
      <c r="S42" s="143" t="str">
        <f t="shared" si="5"/>
        <v/>
      </c>
      <c r="T42" s="123"/>
      <c r="U42" s="119"/>
      <c r="V42" s="124"/>
      <c r="W42" s="143" t="str">
        <f t="shared" si="6"/>
        <v/>
      </c>
      <c r="X42" s="143" t="str">
        <f t="shared" si="7"/>
        <v/>
      </c>
      <c r="Y42" s="143" t="str">
        <f t="shared" si="8"/>
        <v/>
      </c>
      <c r="Z42" s="150" t="str">
        <f t="shared" si="9"/>
        <v/>
      </c>
      <c r="AA42" s="143" t="str">
        <f t="shared" si="10"/>
        <v/>
      </c>
      <c r="AB42" s="152" t="str">
        <f t="shared" si="11"/>
        <v/>
      </c>
      <c r="AC42" s="158" t="str">
        <f>IF(AB42="","",IFERROR(INDEX(HELPER!$D$8:$D$48,IF(AB42&gt;=HELPER!$B$8,1,MATCH(AB42,HELPER!$B$8:$B$48,-1)+1)),""))</f>
        <v/>
      </c>
      <c r="AD42" s="155" t="str">
        <f>IF(AC42="","",IFERROR(VLOOKUP(AC42,HELPER!$F$8:$G$48,2,FALSE),""))</f>
        <v/>
      </c>
      <c r="AE42" s="135"/>
      <c r="AF42" s="90"/>
    </row>
    <row r="43" spans="1:32" ht="15" customHeight="1" x14ac:dyDescent="0.25">
      <c r="A43" s="135"/>
      <c r="B43" s="66">
        <v>26</v>
      </c>
      <c r="C43" s="204" t="str">
        <f>IF('INPUT DATA'!K36="","",'INPUT DATA'!K36)</f>
        <v/>
      </c>
      <c r="D43" s="205"/>
      <c r="E43" s="205"/>
      <c r="F43" s="123"/>
      <c r="G43" s="119"/>
      <c r="H43" s="119"/>
      <c r="I43" s="119"/>
      <c r="J43" s="124"/>
      <c r="K43" s="143" t="str">
        <f t="shared" si="0"/>
        <v/>
      </c>
      <c r="L43" s="143" t="str">
        <f t="shared" si="1"/>
        <v/>
      </c>
      <c r="M43" s="146" t="str">
        <f t="shared" si="2"/>
        <v/>
      </c>
      <c r="N43" s="123"/>
      <c r="O43" s="119"/>
      <c r="P43" s="124"/>
      <c r="Q43" s="143" t="str">
        <f t="shared" si="3"/>
        <v/>
      </c>
      <c r="R43" s="143" t="str">
        <f t="shared" si="4"/>
        <v/>
      </c>
      <c r="S43" s="143" t="str">
        <f t="shared" si="5"/>
        <v/>
      </c>
      <c r="T43" s="123"/>
      <c r="U43" s="119"/>
      <c r="V43" s="124"/>
      <c r="W43" s="143" t="str">
        <f t="shared" si="6"/>
        <v/>
      </c>
      <c r="X43" s="143" t="str">
        <f t="shared" si="7"/>
        <v/>
      </c>
      <c r="Y43" s="143" t="str">
        <f t="shared" si="8"/>
        <v/>
      </c>
      <c r="Z43" s="150" t="str">
        <f t="shared" si="9"/>
        <v/>
      </c>
      <c r="AA43" s="143" t="str">
        <f t="shared" si="10"/>
        <v/>
      </c>
      <c r="AB43" s="152" t="str">
        <f t="shared" si="11"/>
        <v/>
      </c>
      <c r="AC43" s="158" t="str">
        <f>IF(AB43="","",IFERROR(INDEX(HELPER!$D$8:$D$48,IF(AB43&gt;=HELPER!$B$8,1,MATCH(AB43,HELPER!$B$8:$B$48,-1)+1)),""))</f>
        <v/>
      </c>
      <c r="AD43" s="155" t="str">
        <f>IF(AC43="","",IFERROR(VLOOKUP(AC43,HELPER!$F$8:$G$48,2,FALSE),""))</f>
        <v/>
      </c>
      <c r="AE43" s="135"/>
      <c r="AF43" s="90"/>
    </row>
    <row r="44" spans="1:32" ht="15" customHeight="1" x14ac:dyDescent="0.25">
      <c r="A44" s="135"/>
      <c r="B44" s="66">
        <v>27</v>
      </c>
      <c r="C44" s="204" t="str">
        <f>IF('INPUT DATA'!K37="","",'INPUT DATA'!K37)</f>
        <v/>
      </c>
      <c r="D44" s="205"/>
      <c r="E44" s="205"/>
      <c r="F44" s="123"/>
      <c r="G44" s="119"/>
      <c r="H44" s="119"/>
      <c r="I44" s="119"/>
      <c r="J44" s="124"/>
      <c r="K44" s="143" t="str">
        <f t="shared" si="0"/>
        <v/>
      </c>
      <c r="L44" s="143" t="str">
        <f t="shared" si="1"/>
        <v/>
      </c>
      <c r="M44" s="146" t="str">
        <f t="shared" si="2"/>
        <v/>
      </c>
      <c r="N44" s="123"/>
      <c r="O44" s="119"/>
      <c r="P44" s="124"/>
      <c r="Q44" s="143" t="str">
        <f t="shared" si="3"/>
        <v/>
      </c>
      <c r="R44" s="143" t="str">
        <f t="shared" si="4"/>
        <v/>
      </c>
      <c r="S44" s="143" t="str">
        <f t="shared" si="5"/>
        <v/>
      </c>
      <c r="T44" s="123"/>
      <c r="U44" s="119"/>
      <c r="V44" s="124"/>
      <c r="W44" s="143" t="str">
        <f t="shared" si="6"/>
        <v/>
      </c>
      <c r="X44" s="143" t="str">
        <f t="shared" si="7"/>
        <v/>
      </c>
      <c r="Y44" s="143" t="str">
        <f t="shared" si="8"/>
        <v/>
      </c>
      <c r="Z44" s="150" t="str">
        <f t="shared" si="9"/>
        <v/>
      </c>
      <c r="AA44" s="143" t="str">
        <f t="shared" si="10"/>
        <v/>
      </c>
      <c r="AB44" s="152" t="str">
        <f t="shared" si="11"/>
        <v/>
      </c>
      <c r="AC44" s="158" t="str">
        <f>IF(AB44="","",IFERROR(INDEX(HELPER!$D$8:$D$48,IF(AB44&gt;=HELPER!$B$8,1,MATCH(AB44,HELPER!$B$8:$B$48,-1)+1)),""))</f>
        <v/>
      </c>
      <c r="AD44" s="155" t="str">
        <f>IF(AC44="","",IFERROR(VLOOKUP(AC44,HELPER!$F$8:$G$48,2,FALSE),""))</f>
        <v/>
      </c>
      <c r="AE44" s="135"/>
      <c r="AF44" s="90"/>
    </row>
    <row r="45" spans="1:32" ht="15" customHeight="1" x14ac:dyDescent="0.25">
      <c r="A45" s="135"/>
      <c r="B45" s="66">
        <v>28</v>
      </c>
      <c r="C45" s="204" t="str">
        <f>IF('INPUT DATA'!K38="","",'INPUT DATA'!K38)</f>
        <v/>
      </c>
      <c r="D45" s="205"/>
      <c r="E45" s="205"/>
      <c r="F45" s="123"/>
      <c r="G45" s="119"/>
      <c r="H45" s="119"/>
      <c r="I45" s="119"/>
      <c r="J45" s="124"/>
      <c r="K45" s="143" t="str">
        <f t="shared" si="0"/>
        <v/>
      </c>
      <c r="L45" s="143" t="str">
        <f t="shared" si="1"/>
        <v/>
      </c>
      <c r="M45" s="146" t="str">
        <f t="shared" si="2"/>
        <v/>
      </c>
      <c r="N45" s="123"/>
      <c r="O45" s="119"/>
      <c r="P45" s="124"/>
      <c r="Q45" s="143" t="str">
        <f t="shared" si="3"/>
        <v/>
      </c>
      <c r="R45" s="143" t="str">
        <f t="shared" si="4"/>
        <v/>
      </c>
      <c r="S45" s="143" t="str">
        <f t="shared" si="5"/>
        <v/>
      </c>
      <c r="T45" s="123"/>
      <c r="U45" s="119"/>
      <c r="V45" s="124"/>
      <c r="W45" s="143" t="str">
        <f t="shared" si="6"/>
        <v/>
      </c>
      <c r="X45" s="143" t="str">
        <f t="shared" si="7"/>
        <v/>
      </c>
      <c r="Y45" s="143" t="str">
        <f t="shared" si="8"/>
        <v/>
      </c>
      <c r="Z45" s="150" t="str">
        <f t="shared" si="9"/>
        <v/>
      </c>
      <c r="AA45" s="143" t="str">
        <f t="shared" si="10"/>
        <v/>
      </c>
      <c r="AB45" s="152" t="str">
        <f t="shared" si="11"/>
        <v/>
      </c>
      <c r="AC45" s="158" t="str">
        <f>IF(AB45="","",IFERROR(INDEX(HELPER!$D$8:$D$48,IF(AB45&gt;=HELPER!$B$8,1,MATCH(AB45,HELPER!$B$8:$B$48,-1)+1)),""))</f>
        <v/>
      </c>
      <c r="AD45" s="155" t="str">
        <f>IF(AC45="","",IFERROR(VLOOKUP(AC45,HELPER!$F$8:$G$48,2,FALSE),""))</f>
        <v/>
      </c>
      <c r="AE45" s="135"/>
      <c r="AF45" s="90"/>
    </row>
    <row r="46" spans="1:32" ht="15" customHeight="1" x14ac:dyDescent="0.25">
      <c r="A46" s="135"/>
      <c r="B46" s="66">
        <v>29</v>
      </c>
      <c r="C46" s="204" t="str">
        <f>IF('INPUT DATA'!K39="","",'INPUT DATA'!K39)</f>
        <v/>
      </c>
      <c r="D46" s="205"/>
      <c r="E46" s="205"/>
      <c r="F46" s="123"/>
      <c r="G46" s="119"/>
      <c r="H46" s="119"/>
      <c r="I46" s="119"/>
      <c r="J46" s="124"/>
      <c r="K46" s="143" t="str">
        <f t="shared" si="0"/>
        <v/>
      </c>
      <c r="L46" s="143" t="str">
        <f t="shared" si="1"/>
        <v/>
      </c>
      <c r="M46" s="146" t="str">
        <f t="shared" si="2"/>
        <v/>
      </c>
      <c r="N46" s="123"/>
      <c r="O46" s="119"/>
      <c r="P46" s="124"/>
      <c r="Q46" s="143" t="str">
        <f t="shared" si="3"/>
        <v/>
      </c>
      <c r="R46" s="143" t="str">
        <f t="shared" si="4"/>
        <v/>
      </c>
      <c r="S46" s="143" t="str">
        <f t="shared" si="5"/>
        <v/>
      </c>
      <c r="T46" s="123"/>
      <c r="U46" s="119"/>
      <c r="V46" s="124"/>
      <c r="W46" s="143" t="str">
        <f t="shared" si="6"/>
        <v/>
      </c>
      <c r="X46" s="143" t="str">
        <f t="shared" si="7"/>
        <v/>
      </c>
      <c r="Y46" s="143" t="str">
        <f t="shared" si="8"/>
        <v/>
      </c>
      <c r="Z46" s="150" t="str">
        <f t="shared" si="9"/>
        <v/>
      </c>
      <c r="AA46" s="143" t="str">
        <f t="shared" si="10"/>
        <v/>
      </c>
      <c r="AB46" s="152" t="str">
        <f t="shared" si="11"/>
        <v/>
      </c>
      <c r="AC46" s="158" t="str">
        <f>IF(AB46="","",IFERROR(INDEX(HELPER!$D$8:$D$48,IF(AB46&gt;=HELPER!$B$8,1,MATCH(AB46,HELPER!$B$8:$B$48,-1)+1)),""))</f>
        <v/>
      </c>
      <c r="AD46" s="155" t="str">
        <f>IF(AC46="","",IFERROR(VLOOKUP(AC46,HELPER!$F$8:$G$48,2,FALSE),""))</f>
        <v/>
      </c>
      <c r="AE46" s="135"/>
      <c r="AF46" s="90"/>
    </row>
    <row r="47" spans="1:32" ht="15" customHeight="1" x14ac:dyDescent="0.25">
      <c r="A47" s="135"/>
      <c r="B47" s="66">
        <v>30</v>
      </c>
      <c r="C47" s="204" t="str">
        <f>IF('INPUT DATA'!K40="","",'INPUT DATA'!K40)</f>
        <v/>
      </c>
      <c r="D47" s="205"/>
      <c r="E47" s="205"/>
      <c r="F47" s="123"/>
      <c r="G47" s="119"/>
      <c r="H47" s="119"/>
      <c r="I47" s="119"/>
      <c r="J47" s="124"/>
      <c r="K47" s="143" t="str">
        <f t="shared" si="0"/>
        <v/>
      </c>
      <c r="L47" s="143" t="str">
        <f t="shared" si="1"/>
        <v/>
      </c>
      <c r="M47" s="146" t="str">
        <f t="shared" si="2"/>
        <v/>
      </c>
      <c r="N47" s="123"/>
      <c r="O47" s="119"/>
      <c r="P47" s="124"/>
      <c r="Q47" s="143" t="str">
        <f t="shared" si="3"/>
        <v/>
      </c>
      <c r="R47" s="143" t="str">
        <f t="shared" si="4"/>
        <v/>
      </c>
      <c r="S47" s="143" t="str">
        <f t="shared" si="5"/>
        <v/>
      </c>
      <c r="T47" s="123"/>
      <c r="U47" s="119"/>
      <c r="V47" s="124"/>
      <c r="W47" s="143" t="str">
        <f t="shared" si="6"/>
        <v/>
      </c>
      <c r="X47" s="143" t="str">
        <f t="shared" si="7"/>
        <v/>
      </c>
      <c r="Y47" s="143" t="str">
        <f t="shared" si="8"/>
        <v/>
      </c>
      <c r="Z47" s="150" t="str">
        <f t="shared" si="9"/>
        <v/>
      </c>
      <c r="AA47" s="143" t="str">
        <f t="shared" si="10"/>
        <v/>
      </c>
      <c r="AB47" s="152" t="str">
        <f t="shared" si="11"/>
        <v/>
      </c>
      <c r="AC47" s="158" t="str">
        <f>IF(AB47="","",IFERROR(INDEX(HELPER!$D$8:$D$48,IF(AB47&gt;=HELPER!$B$8,1,MATCH(AB47,HELPER!$B$8:$B$48,-1)+1)),""))</f>
        <v/>
      </c>
      <c r="AD47" s="155" t="str">
        <f>IF(AC47="","",IFERROR(VLOOKUP(AC47,HELPER!$F$8:$G$48,2,FALSE),""))</f>
        <v/>
      </c>
      <c r="AE47" s="135"/>
      <c r="AF47" s="90"/>
    </row>
    <row r="48" spans="1:32" ht="15" customHeight="1" x14ac:dyDescent="0.25">
      <c r="A48" s="135"/>
      <c r="B48" s="66">
        <v>31</v>
      </c>
      <c r="C48" s="204" t="str">
        <f>IF('INPUT DATA'!K41="","",'INPUT DATA'!K41)</f>
        <v/>
      </c>
      <c r="D48" s="205"/>
      <c r="E48" s="205"/>
      <c r="F48" s="123"/>
      <c r="G48" s="119"/>
      <c r="H48" s="119"/>
      <c r="I48" s="119"/>
      <c r="J48" s="124"/>
      <c r="K48" s="143" t="str">
        <f t="shared" si="0"/>
        <v/>
      </c>
      <c r="L48" s="143" t="str">
        <f t="shared" si="1"/>
        <v/>
      </c>
      <c r="M48" s="146" t="str">
        <f t="shared" si="2"/>
        <v/>
      </c>
      <c r="N48" s="123"/>
      <c r="O48" s="119"/>
      <c r="P48" s="124"/>
      <c r="Q48" s="143" t="str">
        <f t="shared" si="3"/>
        <v/>
      </c>
      <c r="R48" s="143" t="str">
        <f t="shared" si="4"/>
        <v/>
      </c>
      <c r="S48" s="143" t="str">
        <f t="shared" si="5"/>
        <v/>
      </c>
      <c r="T48" s="123"/>
      <c r="U48" s="119"/>
      <c r="V48" s="124"/>
      <c r="W48" s="143" t="str">
        <f t="shared" si="6"/>
        <v/>
      </c>
      <c r="X48" s="143" t="str">
        <f t="shared" si="7"/>
        <v/>
      </c>
      <c r="Y48" s="143" t="str">
        <f t="shared" si="8"/>
        <v/>
      </c>
      <c r="Z48" s="150" t="str">
        <f t="shared" si="9"/>
        <v/>
      </c>
      <c r="AA48" s="143" t="str">
        <f t="shared" si="10"/>
        <v/>
      </c>
      <c r="AB48" s="152" t="str">
        <f t="shared" si="11"/>
        <v/>
      </c>
      <c r="AC48" s="158" t="str">
        <f>IF(AB48="","",IFERROR(INDEX(HELPER!$D$8:$D$48,IF(AB48&gt;=HELPER!$B$8,1,MATCH(AB48,HELPER!$B$8:$B$48,-1)+1)),""))</f>
        <v/>
      </c>
      <c r="AD48" s="155" t="str">
        <f>IF(AC48="","",IFERROR(VLOOKUP(AC48,HELPER!$F$8:$G$48,2,FALSE),""))</f>
        <v/>
      </c>
      <c r="AE48" s="135"/>
      <c r="AF48" s="90"/>
    </row>
    <row r="49" spans="1:32" ht="15" customHeight="1" x14ac:dyDescent="0.25">
      <c r="A49" s="135"/>
      <c r="B49" s="66">
        <v>32</v>
      </c>
      <c r="C49" s="204" t="str">
        <f>IF('INPUT DATA'!K42="","",'INPUT DATA'!K42)</f>
        <v/>
      </c>
      <c r="D49" s="205"/>
      <c r="E49" s="205"/>
      <c r="F49" s="123"/>
      <c r="G49" s="119"/>
      <c r="H49" s="119"/>
      <c r="I49" s="119"/>
      <c r="J49" s="124"/>
      <c r="K49" s="143" t="str">
        <f t="shared" si="0"/>
        <v/>
      </c>
      <c r="L49" s="143" t="str">
        <f t="shared" si="1"/>
        <v/>
      </c>
      <c r="M49" s="146" t="str">
        <f t="shared" si="2"/>
        <v/>
      </c>
      <c r="N49" s="123"/>
      <c r="O49" s="119"/>
      <c r="P49" s="124"/>
      <c r="Q49" s="143" t="str">
        <f t="shared" si="3"/>
        <v/>
      </c>
      <c r="R49" s="143" t="str">
        <f t="shared" si="4"/>
        <v/>
      </c>
      <c r="S49" s="143" t="str">
        <f t="shared" si="5"/>
        <v/>
      </c>
      <c r="T49" s="123"/>
      <c r="U49" s="119"/>
      <c r="V49" s="124"/>
      <c r="W49" s="143" t="str">
        <f t="shared" si="6"/>
        <v/>
      </c>
      <c r="X49" s="143" t="str">
        <f t="shared" si="7"/>
        <v/>
      </c>
      <c r="Y49" s="143" t="str">
        <f t="shared" si="8"/>
        <v/>
      </c>
      <c r="Z49" s="150" t="str">
        <f t="shared" si="9"/>
        <v/>
      </c>
      <c r="AA49" s="143" t="str">
        <f t="shared" si="10"/>
        <v/>
      </c>
      <c r="AB49" s="152" t="str">
        <f t="shared" si="11"/>
        <v/>
      </c>
      <c r="AC49" s="158" t="str">
        <f>IF(AB49="","",IFERROR(INDEX(HELPER!$D$8:$D$48,IF(AB49&gt;=HELPER!$B$8,1,MATCH(AB49,HELPER!$B$8:$B$48,-1)+1)),""))</f>
        <v/>
      </c>
      <c r="AD49" s="155" t="str">
        <f>IF(AC49="","",IFERROR(VLOOKUP(AC49,HELPER!$F$8:$G$48,2,FALSE),""))</f>
        <v/>
      </c>
      <c r="AE49" s="135"/>
      <c r="AF49" s="90"/>
    </row>
    <row r="50" spans="1:32" ht="15" customHeight="1" x14ac:dyDescent="0.25">
      <c r="A50" s="135"/>
      <c r="B50" s="66">
        <v>33</v>
      </c>
      <c r="C50" s="204" t="str">
        <f>IF('INPUT DATA'!K43="","",'INPUT DATA'!K43)</f>
        <v/>
      </c>
      <c r="D50" s="205"/>
      <c r="E50" s="205"/>
      <c r="F50" s="123"/>
      <c r="G50" s="119"/>
      <c r="H50" s="119"/>
      <c r="I50" s="119"/>
      <c r="J50" s="124"/>
      <c r="K50" s="143" t="str">
        <f t="shared" si="0"/>
        <v/>
      </c>
      <c r="L50" s="143" t="str">
        <f t="shared" si="1"/>
        <v/>
      </c>
      <c r="M50" s="146" t="str">
        <f t="shared" si="2"/>
        <v/>
      </c>
      <c r="N50" s="123"/>
      <c r="O50" s="119"/>
      <c r="P50" s="124"/>
      <c r="Q50" s="143" t="str">
        <f t="shared" si="3"/>
        <v/>
      </c>
      <c r="R50" s="143" t="str">
        <f t="shared" si="4"/>
        <v/>
      </c>
      <c r="S50" s="143" t="str">
        <f t="shared" si="5"/>
        <v/>
      </c>
      <c r="T50" s="123"/>
      <c r="U50" s="119"/>
      <c r="V50" s="124"/>
      <c r="W50" s="143" t="str">
        <f t="shared" si="6"/>
        <v/>
      </c>
      <c r="X50" s="143" t="str">
        <f t="shared" si="7"/>
        <v/>
      </c>
      <c r="Y50" s="143" t="str">
        <f t="shared" si="8"/>
        <v/>
      </c>
      <c r="Z50" s="150" t="str">
        <f t="shared" si="9"/>
        <v/>
      </c>
      <c r="AA50" s="143" t="str">
        <f t="shared" si="10"/>
        <v/>
      </c>
      <c r="AB50" s="152" t="str">
        <f t="shared" si="11"/>
        <v/>
      </c>
      <c r="AC50" s="158" t="str">
        <f>IF(AB50="","",IFERROR(INDEX(HELPER!$D$8:$D$48,IF(AB50&gt;=HELPER!$B$8,1,MATCH(AB50,HELPER!$B$8:$B$48,-1)+1)),""))</f>
        <v/>
      </c>
      <c r="AD50" s="155" t="str">
        <f>IF(AC50="","",IFERROR(VLOOKUP(AC50,HELPER!$F$8:$G$48,2,FALSE),""))</f>
        <v/>
      </c>
      <c r="AE50" s="135"/>
      <c r="AF50" s="90"/>
    </row>
    <row r="51" spans="1:32" ht="15" customHeight="1" x14ac:dyDescent="0.25">
      <c r="A51" s="135"/>
      <c r="B51" s="66">
        <v>34</v>
      </c>
      <c r="C51" s="204" t="str">
        <f>IF('INPUT DATA'!K44="","",'INPUT DATA'!K44)</f>
        <v/>
      </c>
      <c r="D51" s="205"/>
      <c r="E51" s="205"/>
      <c r="F51" s="123"/>
      <c r="G51" s="119"/>
      <c r="H51" s="119"/>
      <c r="I51" s="119"/>
      <c r="J51" s="124"/>
      <c r="K51" s="143" t="str">
        <f t="shared" si="0"/>
        <v/>
      </c>
      <c r="L51" s="143" t="str">
        <f t="shared" si="1"/>
        <v/>
      </c>
      <c r="M51" s="146" t="str">
        <f t="shared" si="2"/>
        <v/>
      </c>
      <c r="N51" s="123"/>
      <c r="O51" s="119"/>
      <c r="P51" s="124"/>
      <c r="Q51" s="143" t="str">
        <f t="shared" si="3"/>
        <v/>
      </c>
      <c r="R51" s="143" t="str">
        <f t="shared" si="4"/>
        <v/>
      </c>
      <c r="S51" s="143" t="str">
        <f t="shared" si="5"/>
        <v/>
      </c>
      <c r="T51" s="123"/>
      <c r="U51" s="119"/>
      <c r="V51" s="124"/>
      <c r="W51" s="143" t="str">
        <f t="shared" si="6"/>
        <v/>
      </c>
      <c r="X51" s="143" t="str">
        <f t="shared" si="7"/>
        <v/>
      </c>
      <c r="Y51" s="143" t="str">
        <f t="shared" si="8"/>
        <v/>
      </c>
      <c r="Z51" s="150" t="str">
        <f t="shared" si="9"/>
        <v/>
      </c>
      <c r="AA51" s="143" t="str">
        <f t="shared" si="10"/>
        <v/>
      </c>
      <c r="AB51" s="152" t="str">
        <f t="shared" si="11"/>
        <v/>
      </c>
      <c r="AC51" s="158" t="str">
        <f>IF(AB51="","",IFERROR(INDEX(HELPER!$D$8:$D$48,IF(AB51&gt;=HELPER!$B$8,1,MATCH(AB51,HELPER!$B$8:$B$48,-1)+1)),""))</f>
        <v/>
      </c>
      <c r="AD51" s="155" t="str">
        <f>IF(AC51="","",IFERROR(VLOOKUP(AC51,HELPER!$F$8:$G$48,2,FALSE),""))</f>
        <v/>
      </c>
      <c r="AE51" s="135"/>
      <c r="AF51" s="90"/>
    </row>
    <row r="52" spans="1:32" ht="15" customHeight="1" x14ac:dyDescent="0.25">
      <c r="A52" s="135"/>
      <c r="B52" s="66">
        <v>35</v>
      </c>
      <c r="C52" s="204" t="str">
        <f>IF('INPUT DATA'!K45="","",'INPUT DATA'!K45)</f>
        <v/>
      </c>
      <c r="D52" s="205"/>
      <c r="E52" s="205"/>
      <c r="F52" s="123"/>
      <c r="G52" s="119"/>
      <c r="H52" s="119"/>
      <c r="I52" s="119"/>
      <c r="J52" s="124"/>
      <c r="K52" s="143" t="str">
        <f t="shared" si="0"/>
        <v/>
      </c>
      <c r="L52" s="143" t="str">
        <f t="shared" si="1"/>
        <v/>
      </c>
      <c r="M52" s="146" t="str">
        <f t="shared" si="2"/>
        <v/>
      </c>
      <c r="N52" s="123"/>
      <c r="O52" s="119"/>
      <c r="P52" s="124"/>
      <c r="Q52" s="143" t="str">
        <f t="shared" si="3"/>
        <v/>
      </c>
      <c r="R52" s="143" t="str">
        <f t="shared" si="4"/>
        <v/>
      </c>
      <c r="S52" s="143" t="str">
        <f t="shared" si="5"/>
        <v/>
      </c>
      <c r="T52" s="123"/>
      <c r="U52" s="119"/>
      <c r="V52" s="124"/>
      <c r="W52" s="143" t="str">
        <f t="shared" si="6"/>
        <v/>
      </c>
      <c r="X52" s="143" t="str">
        <f t="shared" si="7"/>
        <v/>
      </c>
      <c r="Y52" s="143" t="str">
        <f t="shared" si="8"/>
        <v/>
      </c>
      <c r="Z52" s="150" t="str">
        <f t="shared" si="9"/>
        <v/>
      </c>
      <c r="AA52" s="143" t="str">
        <f t="shared" si="10"/>
        <v/>
      </c>
      <c r="AB52" s="152" t="str">
        <f t="shared" si="11"/>
        <v/>
      </c>
      <c r="AC52" s="158" t="str">
        <f>IF(AB52="","",IFERROR(INDEX(HELPER!$D$8:$D$48,IF(AB52&gt;=HELPER!$B$8,1,MATCH(AB52,HELPER!$B$8:$B$48,-1)+1)),""))</f>
        <v/>
      </c>
      <c r="AD52" s="155" t="str">
        <f>IF(AC52="","",IFERROR(VLOOKUP(AC52,HELPER!$F$8:$G$48,2,FALSE),""))</f>
        <v/>
      </c>
      <c r="AE52" s="135"/>
      <c r="AF52" s="90"/>
    </row>
    <row r="53" spans="1:32" ht="15" customHeight="1" x14ac:dyDescent="0.25">
      <c r="A53" s="135"/>
      <c r="B53" s="66">
        <v>36</v>
      </c>
      <c r="C53" s="204" t="str">
        <f>IF('INPUT DATA'!K46="","",'INPUT DATA'!K46)</f>
        <v/>
      </c>
      <c r="D53" s="205"/>
      <c r="E53" s="205"/>
      <c r="F53" s="123"/>
      <c r="G53" s="119"/>
      <c r="H53" s="119"/>
      <c r="I53" s="119"/>
      <c r="J53" s="124"/>
      <c r="K53" s="143" t="str">
        <f t="shared" si="0"/>
        <v/>
      </c>
      <c r="L53" s="143" t="str">
        <f t="shared" si="1"/>
        <v/>
      </c>
      <c r="M53" s="146" t="str">
        <f t="shared" si="2"/>
        <v/>
      </c>
      <c r="N53" s="123"/>
      <c r="O53" s="119"/>
      <c r="P53" s="124"/>
      <c r="Q53" s="143" t="str">
        <f t="shared" si="3"/>
        <v/>
      </c>
      <c r="R53" s="143" t="str">
        <f t="shared" si="4"/>
        <v/>
      </c>
      <c r="S53" s="143" t="str">
        <f t="shared" si="5"/>
        <v/>
      </c>
      <c r="T53" s="123"/>
      <c r="U53" s="119"/>
      <c r="V53" s="124"/>
      <c r="W53" s="143" t="str">
        <f t="shared" si="6"/>
        <v/>
      </c>
      <c r="X53" s="143" t="str">
        <f t="shared" si="7"/>
        <v/>
      </c>
      <c r="Y53" s="143" t="str">
        <f t="shared" si="8"/>
        <v/>
      </c>
      <c r="Z53" s="150" t="str">
        <f t="shared" si="9"/>
        <v/>
      </c>
      <c r="AA53" s="143" t="str">
        <f t="shared" si="10"/>
        <v/>
      </c>
      <c r="AB53" s="152" t="str">
        <f t="shared" si="11"/>
        <v/>
      </c>
      <c r="AC53" s="158" t="str">
        <f>IF(AB53="","",IFERROR(INDEX(HELPER!$D$8:$D$48,IF(AB53&gt;=HELPER!$B$8,1,MATCH(AB53,HELPER!$B$8:$B$48,-1)+1)),""))</f>
        <v/>
      </c>
      <c r="AD53" s="155" t="str">
        <f>IF(AC53="","",IFERROR(VLOOKUP(AC53,HELPER!$F$8:$G$48,2,FALSE),""))</f>
        <v/>
      </c>
      <c r="AE53" s="135"/>
      <c r="AF53" s="90"/>
    </row>
    <row r="54" spans="1:32" ht="15" customHeight="1" x14ac:dyDescent="0.25">
      <c r="A54" s="135"/>
      <c r="B54" s="66">
        <v>37</v>
      </c>
      <c r="C54" s="204" t="str">
        <f>IF('INPUT DATA'!K47="","",'INPUT DATA'!K47)</f>
        <v/>
      </c>
      <c r="D54" s="205"/>
      <c r="E54" s="205"/>
      <c r="F54" s="123"/>
      <c r="G54" s="119"/>
      <c r="H54" s="119"/>
      <c r="I54" s="119"/>
      <c r="J54" s="124"/>
      <c r="K54" s="143" t="str">
        <f t="shared" si="0"/>
        <v/>
      </c>
      <c r="L54" s="143" t="str">
        <f t="shared" si="1"/>
        <v/>
      </c>
      <c r="M54" s="146" t="str">
        <f t="shared" si="2"/>
        <v/>
      </c>
      <c r="N54" s="123"/>
      <c r="O54" s="119"/>
      <c r="P54" s="124"/>
      <c r="Q54" s="143" t="str">
        <f t="shared" si="3"/>
        <v/>
      </c>
      <c r="R54" s="143" t="str">
        <f t="shared" si="4"/>
        <v/>
      </c>
      <c r="S54" s="143" t="str">
        <f t="shared" si="5"/>
        <v/>
      </c>
      <c r="T54" s="123"/>
      <c r="U54" s="119"/>
      <c r="V54" s="124"/>
      <c r="W54" s="143" t="str">
        <f t="shared" si="6"/>
        <v/>
      </c>
      <c r="X54" s="143" t="str">
        <f t="shared" si="7"/>
        <v/>
      </c>
      <c r="Y54" s="143" t="str">
        <f t="shared" si="8"/>
        <v/>
      </c>
      <c r="Z54" s="150" t="str">
        <f t="shared" si="9"/>
        <v/>
      </c>
      <c r="AA54" s="143" t="str">
        <f t="shared" si="10"/>
        <v/>
      </c>
      <c r="AB54" s="152" t="str">
        <f t="shared" si="11"/>
        <v/>
      </c>
      <c r="AC54" s="158" t="str">
        <f>IF(AB54="","",IFERROR(INDEX(HELPER!$D$8:$D$48,IF(AB54&gt;=HELPER!$B$8,1,MATCH(AB54,HELPER!$B$8:$B$48,-1)+1)),""))</f>
        <v/>
      </c>
      <c r="AD54" s="155" t="str">
        <f>IF(AC54="","",IFERROR(VLOOKUP(AC54,HELPER!$F$8:$G$48,2,FALSE),""))</f>
        <v/>
      </c>
      <c r="AE54" s="135"/>
      <c r="AF54" s="90"/>
    </row>
    <row r="55" spans="1:32" ht="15" customHeight="1" x14ac:dyDescent="0.25">
      <c r="A55" s="135"/>
      <c r="B55" s="66">
        <v>38</v>
      </c>
      <c r="C55" s="204" t="str">
        <f>IF('INPUT DATA'!K48="","",'INPUT DATA'!K48)</f>
        <v/>
      </c>
      <c r="D55" s="205"/>
      <c r="E55" s="205"/>
      <c r="F55" s="123"/>
      <c r="G55" s="119"/>
      <c r="H55" s="119"/>
      <c r="I55" s="119"/>
      <c r="J55" s="124"/>
      <c r="K55" s="143" t="str">
        <f t="shared" si="0"/>
        <v/>
      </c>
      <c r="L55" s="143" t="str">
        <f t="shared" si="1"/>
        <v/>
      </c>
      <c r="M55" s="146" t="str">
        <f t="shared" si="2"/>
        <v/>
      </c>
      <c r="N55" s="123"/>
      <c r="O55" s="119"/>
      <c r="P55" s="124"/>
      <c r="Q55" s="143" t="str">
        <f t="shared" si="3"/>
        <v/>
      </c>
      <c r="R55" s="143" t="str">
        <f t="shared" si="4"/>
        <v/>
      </c>
      <c r="S55" s="143" t="str">
        <f t="shared" si="5"/>
        <v/>
      </c>
      <c r="T55" s="123"/>
      <c r="U55" s="119"/>
      <c r="V55" s="124"/>
      <c r="W55" s="143" t="str">
        <f t="shared" si="6"/>
        <v/>
      </c>
      <c r="X55" s="143" t="str">
        <f t="shared" si="7"/>
        <v/>
      </c>
      <c r="Y55" s="143" t="str">
        <f t="shared" si="8"/>
        <v/>
      </c>
      <c r="Z55" s="150" t="str">
        <f t="shared" si="9"/>
        <v/>
      </c>
      <c r="AA55" s="143" t="str">
        <f t="shared" si="10"/>
        <v/>
      </c>
      <c r="AB55" s="152" t="str">
        <f t="shared" si="11"/>
        <v/>
      </c>
      <c r="AC55" s="158" t="str">
        <f>IF(AB55="","",IFERROR(INDEX(HELPER!$D$8:$D$48,IF(AB55&gt;=HELPER!$B$8,1,MATCH(AB55,HELPER!$B$8:$B$48,-1)+1)),""))</f>
        <v/>
      </c>
      <c r="AD55" s="155" t="str">
        <f>IF(AC55="","",IFERROR(VLOOKUP(AC55,HELPER!$F$8:$G$48,2,FALSE),""))</f>
        <v/>
      </c>
      <c r="AE55" s="135"/>
      <c r="AF55" s="90"/>
    </row>
    <row r="56" spans="1:32" ht="15" customHeight="1" x14ac:dyDescent="0.25">
      <c r="A56" s="135"/>
      <c r="B56" s="66">
        <v>39</v>
      </c>
      <c r="C56" s="204" t="str">
        <f>IF('INPUT DATA'!K49="","",'INPUT DATA'!K49)</f>
        <v/>
      </c>
      <c r="D56" s="205"/>
      <c r="E56" s="205"/>
      <c r="F56" s="123"/>
      <c r="G56" s="119"/>
      <c r="H56" s="119"/>
      <c r="I56" s="119"/>
      <c r="J56" s="124"/>
      <c r="K56" s="143" t="str">
        <f t="shared" si="0"/>
        <v/>
      </c>
      <c r="L56" s="143" t="str">
        <f t="shared" si="1"/>
        <v/>
      </c>
      <c r="M56" s="146" t="str">
        <f t="shared" si="2"/>
        <v/>
      </c>
      <c r="N56" s="123"/>
      <c r="O56" s="119"/>
      <c r="P56" s="124"/>
      <c r="Q56" s="143" t="str">
        <f t="shared" si="3"/>
        <v/>
      </c>
      <c r="R56" s="143" t="str">
        <f t="shared" si="4"/>
        <v/>
      </c>
      <c r="S56" s="143" t="str">
        <f t="shared" si="5"/>
        <v/>
      </c>
      <c r="T56" s="123"/>
      <c r="U56" s="119"/>
      <c r="V56" s="124"/>
      <c r="W56" s="143" t="str">
        <f t="shared" si="6"/>
        <v/>
      </c>
      <c r="X56" s="143" t="str">
        <f t="shared" si="7"/>
        <v/>
      </c>
      <c r="Y56" s="143" t="str">
        <f t="shared" si="8"/>
        <v/>
      </c>
      <c r="Z56" s="150" t="str">
        <f t="shared" si="9"/>
        <v/>
      </c>
      <c r="AA56" s="143" t="str">
        <f t="shared" si="10"/>
        <v/>
      </c>
      <c r="AB56" s="152" t="str">
        <f t="shared" si="11"/>
        <v/>
      </c>
      <c r="AC56" s="158" t="str">
        <f>IF(AB56="","",IFERROR(INDEX(HELPER!$D$8:$D$48,IF(AB56&gt;=HELPER!$B$8,1,MATCH(AB56,HELPER!$B$8:$B$48,-1)+1)),""))</f>
        <v/>
      </c>
      <c r="AD56" s="155" t="str">
        <f>IF(AC56="","",IFERROR(VLOOKUP(AC56,HELPER!$F$8:$G$48,2,FALSE),""))</f>
        <v/>
      </c>
      <c r="AE56" s="135"/>
      <c r="AF56" s="90"/>
    </row>
    <row r="57" spans="1:32" ht="15" customHeight="1" x14ac:dyDescent="0.25">
      <c r="A57" s="135"/>
      <c r="B57" s="66">
        <v>40</v>
      </c>
      <c r="C57" s="204" t="str">
        <f>IF('INPUT DATA'!K50="","",'INPUT DATA'!K50)</f>
        <v/>
      </c>
      <c r="D57" s="205"/>
      <c r="E57" s="205"/>
      <c r="F57" s="123"/>
      <c r="G57" s="119"/>
      <c r="H57" s="119"/>
      <c r="I57" s="119"/>
      <c r="J57" s="124"/>
      <c r="K57" s="143" t="str">
        <f t="shared" si="0"/>
        <v/>
      </c>
      <c r="L57" s="143" t="str">
        <f t="shared" si="1"/>
        <v/>
      </c>
      <c r="M57" s="146" t="str">
        <f t="shared" si="2"/>
        <v/>
      </c>
      <c r="N57" s="123"/>
      <c r="O57" s="119"/>
      <c r="P57" s="124"/>
      <c r="Q57" s="143" t="str">
        <f t="shared" si="3"/>
        <v/>
      </c>
      <c r="R57" s="143" t="str">
        <f t="shared" si="4"/>
        <v/>
      </c>
      <c r="S57" s="143" t="str">
        <f t="shared" si="5"/>
        <v/>
      </c>
      <c r="T57" s="123"/>
      <c r="U57" s="119"/>
      <c r="V57" s="124"/>
      <c r="W57" s="143" t="str">
        <f t="shared" si="6"/>
        <v/>
      </c>
      <c r="X57" s="143" t="str">
        <f t="shared" si="7"/>
        <v/>
      </c>
      <c r="Y57" s="143" t="str">
        <f t="shared" si="8"/>
        <v/>
      </c>
      <c r="Z57" s="150" t="str">
        <f t="shared" si="9"/>
        <v/>
      </c>
      <c r="AA57" s="143" t="str">
        <f t="shared" si="10"/>
        <v/>
      </c>
      <c r="AB57" s="152" t="str">
        <f t="shared" si="11"/>
        <v/>
      </c>
      <c r="AC57" s="158" t="str">
        <f>IF(AB57="","",IFERROR(INDEX(HELPER!$D$8:$D$48,IF(AB57&gt;=HELPER!$B$8,1,MATCH(AB57,HELPER!$B$8:$B$48,-1)+1)),""))</f>
        <v/>
      </c>
      <c r="AD57" s="155" t="str">
        <f>IF(AC57="","",IFERROR(VLOOKUP(AC57,HELPER!$F$8:$G$48,2,FALSE),""))</f>
        <v/>
      </c>
      <c r="AE57" s="135"/>
      <c r="AF57" s="90"/>
    </row>
    <row r="58" spans="1:32" ht="15" customHeight="1" x14ac:dyDescent="0.25">
      <c r="A58" s="135"/>
      <c r="B58" s="66">
        <v>41</v>
      </c>
      <c r="C58" s="204" t="str">
        <f>IF('INPUT DATA'!K51="","",'INPUT DATA'!K51)</f>
        <v/>
      </c>
      <c r="D58" s="205"/>
      <c r="E58" s="205"/>
      <c r="F58" s="123"/>
      <c r="G58" s="119"/>
      <c r="H58" s="119"/>
      <c r="I58" s="119"/>
      <c r="J58" s="124"/>
      <c r="K58" s="143" t="str">
        <f t="shared" si="0"/>
        <v/>
      </c>
      <c r="L58" s="143" t="str">
        <f t="shared" si="1"/>
        <v/>
      </c>
      <c r="M58" s="146" t="str">
        <f t="shared" si="2"/>
        <v/>
      </c>
      <c r="N58" s="123"/>
      <c r="O58" s="119"/>
      <c r="P58" s="124"/>
      <c r="Q58" s="143" t="str">
        <f t="shared" si="3"/>
        <v/>
      </c>
      <c r="R58" s="143" t="str">
        <f t="shared" si="4"/>
        <v/>
      </c>
      <c r="S58" s="143" t="str">
        <f t="shared" si="5"/>
        <v/>
      </c>
      <c r="T58" s="123"/>
      <c r="U58" s="119"/>
      <c r="V58" s="124"/>
      <c r="W58" s="143" t="str">
        <f t="shared" si="6"/>
        <v/>
      </c>
      <c r="X58" s="143" t="str">
        <f t="shared" si="7"/>
        <v/>
      </c>
      <c r="Y58" s="143" t="str">
        <f t="shared" si="8"/>
        <v/>
      </c>
      <c r="Z58" s="150" t="str">
        <f t="shared" si="9"/>
        <v/>
      </c>
      <c r="AA58" s="143" t="str">
        <f t="shared" si="10"/>
        <v/>
      </c>
      <c r="AB58" s="152" t="str">
        <f t="shared" si="11"/>
        <v/>
      </c>
      <c r="AC58" s="158" t="str">
        <f>IF(AB58="","",IFERROR(INDEX(HELPER!$D$8:$D$48,IF(AB58&gt;=HELPER!$B$8,1,MATCH(AB58,HELPER!$B$8:$B$48,-1)+1)),""))</f>
        <v/>
      </c>
      <c r="AD58" s="155" t="str">
        <f>IF(AC58="","",IFERROR(VLOOKUP(AC58,HELPER!$F$8:$G$48,2,FALSE),""))</f>
        <v/>
      </c>
      <c r="AE58" s="135"/>
      <c r="AF58" s="90"/>
    </row>
    <row r="59" spans="1:32" ht="15" customHeight="1" x14ac:dyDescent="0.25">
      <c r="A59" s="135"/>
      <c r="B59" s="66">
        <v>42</v>
      </c>
      <c r="C59" s="204" t="str">
        <f>IF('INPUT DATA'!K52="","",'INPUT DATA'!K52)</f>
        <v/>
      </c>
      <c r="D59" s="205"/>
      <c r="E59" s="205"/>
      <c r="F59" s="123"/>
      <c r="G59" s="119"/>
      <c r="H59" s="119"/>
      <c r="I59" s="119"/>
      <c r="J59" s="124"/>
      <c r="K59" s="143" t="str">
        <f t="shared" si="0"/>
        <v/>
      </c>
      <c r="L59" s="143" t="str">
        <f t="shared" si="1"/>
        <v/>
      </c>
      <c r="M59" s="146" t="str">
        <f t="shared" si="2"/>
        <v/>
      </c>
      <c r="N59" s="123"/>
      <c r="O59" s="119"/>
      <c r="P59" s="124"/>
      <c r="Q59" s="143" t="str">
        <f t="shared" si="3"/>
        <v/>
      </c>
      <c r="R59" s="143" t="str">
        <f t="shared" si="4"/>
        <v/>
      </c>
      <c r="S59" s="143" t="str">
        <f t="shared" si="5"/>
        <v/>
      </c>
      <c r="T59" s="123"/>
      <c r="U59" s="119"/>
      <c r="V59" s="124"/>
      <c r="W59" s="143" t="str">
        <f t="shared" si="6"/>
        <v/>
      </c>
      <c r="X59" s="143" t="str">
        <f t="shared" si="7"/>
        <v/>
      </c>
      <c r="Y59" s="143" t="str">
        <f t="shared" si="8"/>
        <v/>
      </c>
      <c r="Z59" s="150" t="str">
        <f t="shared" si="9"/>
        <v/>
      </c>
      <c r="AA59" s="143" t="str">
        <f t="shared" si="10"/>
        <v/>
      </c>
      <c r="AB59" s="152" t="str">
        <f t="shared" si="11"/>
        <v/>
      </c>
      <c r="AC59" s="158" t="str">
        <f>IF(AB59="","",IFERROR(INDEX(HELPER!$D$8:$D$48,IF(AB59&gt;=HELPER!$B$8,1,MATCH(AB59,HELPER!$B$8:$B$48,-1)+1)),""))</f>
        <v/>
      </c>
      <c r="AD59" s="155" t="str">
        <f>IF(AC59="","",IFERROR(VLOOKUP(AC59,HELPER!$F$8:$G$48,2,FALSE),""))</f>
        <v/>
      </c>
      <c r="AE59" s="135"/>
      <c r="AF59" s="90"/>
    </row>
    <row r="60" spans="1:32" ht="15" customHeight="1" x14ac:dyDescent="0.25">
      <c r="A60" s="135"/>
      <c r="B60" s="66">
        <v>43</v>
      </c>
      <c r="C60" s="204" t="str">
        <f>IF('INPUT DATA'!K53="","",'INPUT DATA'!K53)</f>
        <v/>
      </c>
      <c r="D60" s="205"/>
      <c r="E60" s="205"/>
      <c r="F60" s="123"/>
      <c r="G60" s="119"/>
      <c r="H60" s="119"/>
      <c r="I60" s="119"/>
      <c r="J60" s="124"/>
      <c r="K60" s="143" t="str">
        <f t="shared" si="0"/>
        <v/>
      </c>
      <c r="L60" s="143" t="str">
        <f t="shared" si="1"/>
        <v/>
      </c>
      <c r="M60" s="146" t="str">
        <f t="shared" si="2"/>
        <v/>
      </c>
      <c r="N60" s="123"/>
      <c r="O60" s="119"/>
      <c r="P60" s="124"/>
      <c r="Q60" s="143" t="str">
        <f t="shared" si="3"/>
        <v/>
      </c>
      <c r="R60" s="143" t="str">
        <f t="shared" si="4"/>
        <v/>
      </c>
      <c r="S60" s="143" t="str">
        <f t="shared" si="5"/>
        <v/>
      </c>
      <c r="T60" s="123"/>
      <c r="U60" s="119"/>
      <c r="V60" s="124"/>
      <c r="W60" s="143" t="str">
        <f t="shared" si="6"/>
        <v/>
      </c>
      <c r="X60" s="143" t="str">
        <f t="shared" si="7"/>
        <v/>
      </c>
      <c r="Y60" s="143" t="str">
        <f t="shared" si="8"/>
        <v/>
      </c>
      <c r="Z60" s="150" t="str">
        <f t="shared" si="9"/>
        <v/>
      </c>
      <c r="AA60" s="143" t="str">
        <f t="shared" si="10"/>
        <v/>
      </c>
      <c r="AB60" s="152" t="str">
        <f t="shared" si="11"/>
        <v/>
      </c>
      <c r="AC60" s="158" t="str">
        <f>IF(AB60="","",IFERROR(INDEX(HELPER!$D$8:$D$48,IF(AB60&gt;=HELPER!$B$8,1,MATCH(AB60,HELPER!$B$8:$B$48,-1)+1)),""))</f>
        <v/>
      </c>
      <c r="AD60" s="155" t="str">
        <f>IF(AC60="","",IFERROR(VLOOKUP(AC60,HELPER!$F$8:$G$48,2,FALSE),""))</f>
        <v/>
      </c>
      <c r="AE60" s="135"/>
      <c r="AF60" s="90"/>
    </row>
    <row r="61" spans="1:32" ht="15" customHeight="1" x14ac:dyDescent="0.25">
      <c r="A61" s="135"/>
      <c r="B61" s="66">
        <v>44</v>
      </c>
      <c r="C61" s="204" t="str">
        <f>IF('INPUT DATA'!K54="","",'INPUT DATA'!K54)</f>
        <v/>
      </c>
      <c r="D61" s="205"/>
      <c r="E61" s="205"/>
      <c r="F61" s="123"/>
      <c r="G61" s="119"/>
      <c r="H61" s="119"/>
      <c r="I61" s="119"/>
      <c r="J61" s="124"/>
      <c r="K61" s="143" t="str">
        <f t="shared" si="0"/>
        <v/>
      </c>
      <c r="L61" s="143" t="str">
        <f t="shared" si="1"/>
        <v/>
      </c>
      <c r="M61" s="146" t="str">
        <f t="shared" si="2"/>
        <v/>
      </c>
      <c r="N61" s="123"/>
      <c r="O61" s="119"/>
      <c r="P61" s="124"/>
      <c r="Q61" s="143" t="str">
        <f t="shared" si="3"/>
        <v/>
      </c>
      <c r="R61" s="143" t="str">
        <f t="shared" si="4"/>
        <v/>
      </c>
      <c r="S61" s="143" t="str">
        <f t="shared" si="5"/>
        <v/>
      </c>
      <c r="T61" s="123"/>
      <c r="U61" s="119"/>
      <c r="V61" s="124"/>
      <c r="W61" s="143" t="str">
        <f t="shared" si="6"/>
        <v/>
      </c>
      <c r="X61" s="143" t="str">
        <f t="shared" si="7"/>
        <v/>
      </c>
      <c r="Y61" s="143" t="str">
        <f t="shared" si="8"/>
        <v/>
      </c>
      <c r="Z61" s="150" t="str">
        <f t="shared" si="9"/>
        <v/>
      </c>
      <c r="AA61" s="143" t="str">
        <f t="shared" si="10"/>
        <v/>
      </c>
      <c r="AB61" s="152" t="str">
        <f t="shared" si="11"/>
        <v/>
      </c>
      <c r="AC61" s="158" t="str">
        <f>IF(AB61="","",IFERROR(INDEX(HELPER!$D$8:$D$48,IF(AB61&gt;=HELPER!$B$8,1,MATCH(AB61,HELPER!$B$8:$B$48,-1)+1)),""))</f>
        <v/>
      </c>
      <c r="AD61" s="155" t="str">
        <f>IF(AC61="","",IFERROR(VLOOKUP(AC61,HELPER!$F$8:$G$48,2,FALSE),""))</f>
        <v/>
      </c>
      <c r="AE61" s="135"/>
      <c r="AF61" s="90"/>
    </row>
    <row r="62" spans="1:32" ht="15" customHeight="1" x14ac:dyDescent="0.25">
      <c r="A62" s="135"/>
      <c r="B62" s="66">
        <v>45</v>
      </c>
      <c r="C62" s="204" t="str">
        <f>IF('INPUT DATA'!K55="","",'INPUT DATA'!K55)</f>
        <v/>
      </c>
      <c r="D62" s="205"/>
      <c r="E62" s="205"/>
      <c r="F62" s="123"/>
      <c r="G62" s="119"/>
      <c r="H62" s="119"/>
      <c r="I62" s="119"/>
      <c r="J62" s="124"/>
      <c r="K62" s="143" t="str">
        <f t="shared" si="0"/>
        <v/>
      </c>
      <c r="L62" s="143" t="str">
        <f t="shared" si="1"/>
        <v/>
      </c>
      <c r="M62" s="146" t="str">
        <f t="shared" si="2"/>
        <v/>
      </c>
      <c r="N62" s="123"/>
      <c r="O62" s="119"/>
      <c r="P62" s="124"/>
      <c r="Q62" s="143" t="str">
        <f t="shared" si="3"/>
        <v/>
      </c>
      <c r="R62" s="143" t="str">
        <f t="shared" si="4"/>
        <v/>
      </c>
      <c r="S62" s="143" t="str">
        <f t="shared" si="5"/>
        <v/>
      </c>
      <c r="T62" s="123"/>
      <c r="U62" s="119"/>
      <c r="V62" s="124"/>
      <c r="W62" s="143" t="str">
        <f t="shared" si="6"/>
        <v/>
      </c>
      <c r="X62" s="143" t="str">
        <f t="shared" si="7"/>
        <v/>
      </c>
      <c r="Y62" s="143" t="str">
        <f t="shared" si="8"/>
        <v/>
      </c>
      <c r="Z62" s="150" t="str">
        <f t="shared" si="9"/>
        <v/>
      </c>
      <c r="AA62" s="143" t="str">
        <f t="shared" si="10"/>
        <v/>
      </c>
      <c r="AB62" s="152" t="str">
        <f t="shared" si="11"/>
        <v/>
      </c>
      <c r="AC62" s="158" t="str">
        <f>IF(AB62="","",IFERROR(INDEX(HELPER!$D$8:$D$48,IF(AB62&gt;=HELPER!$B$8,1,MATCH(AB62,HELPER!$B$8:$B$48,-1)+1)),""))</f>
        <v/>
      </c>
      <c r="AD62" s="155" t="str">
        <f>IF(AC62="","",IFERROR(VLOOKUP(AC62,HELPER!$F$8:$G$48,2,FALSE),""))</f>
        <v/>
      </c>
      <c r="AE62" s="135"/>
      <c r="AF62" s="90"/>
    </row>
    <row r="63" spans="1:32" ht="15" customHeight="1" x14ac:dyDescent="0.25">
      <c r="A63" s="135"/>
      <c r="B63" s="66">
        <v>46</v>
      </c>
      <c r="C63" s="204" t="str">
        <f>IF('INPUT DATA'!K56="","",'INPUT DATA'!K56)</f>
        <v/>
      </c>
      <c r="D63" s="205"/>
      <c r="E63" s="205"/>
      <c r="F63" s="123"/>
      <c r="G63" s="119"/>
      <c r="H63" s="119"/>
      <c r="I63" s="119"/>
      <c r="J63" s="124"/>
      <c r="K63" s="143" t="str">
        <f t="shared" si="0"/>
        <v/>
      </c>
      <c r="L63" s="143" t="str">
        <f t="shared" si="1"/>
        <v/>
      </c>
      <c r="M63" s="146" t="str">
        <f t="shared" si="2"/>
        <v/>
      </c>
      <c r="N63" s="123"/>
      <c r="O63" s="119"/>
      <c r="P63" s="124"/>
      <c r="Q63" s="143" t="str">
        <f t="shared" si="3"/>
        <v/>
      </c>
      <c r="R63" s="143" t="str">
        <f t="shared" si="4"/>
        <v/>
      </c>
      <c r="S63" s="143" t="str">
        <f t="shared" si="5"/>
        <v/>
      </c>
      <c r="T63" s="123"/>
      <c r="U63" s="119"/>
      <c r="V63" s="124"/>
      <c r="W63" s="143" t="str">
        <f t="shared" si="6"/>
        <v/>
      </c>
      <c r="X63" s="143" t="str">
        <f t="shared" si="7"/>
        <v/>
      </c>
      <c r="Y63" s="143" t="str">
        <f t="shared" si="8"/>
        <v/>
      </c>
      <c r="Z63" s="150" t="str">
        <f t="shared" si="9"/>
        <v/>
      </c>
      <c r="AA63" s="143" t="str">
        <f t="shared" si="10"/>
        <v/>
      </c>
      <c r="AB63" s="152" t="str">
        <f t="shared" si="11"/>
        <v/>
      </c>
      <c r="AC63" s="158" t="str">
        <f>IF(AB63="","",IFERROR(INDEX(HELPER!$D$8:$D$48,IF(AB63&gt;=HELPER!$B$8,1,MATCH(AB63,HELPER!$B$8:$B$48,-1)+1)),""))</f>
        <v/>
      </c>
      <c r="AD63" s="155" t="str">
        <f>IF(AC63="","",IFERROR(VLOOKUP(AC63,HELPER!$F$8:$G$48,2,FALSE),""))</f>
        <v/>
      </c>
      <c r="AE63" s="135"/>
      <c r="AF63" s="90"/>
    </row>
    <row r="64" spans="1:32" ht="15" customHeight="1" x14ac:dyDescent="0.25">
      <c r="A64" s="135"/>
      <c r="B64" s="66">
        <v>47</v>
      </c>
      <c r="C64" s="204" t="str">
        <f>IF('INPUT DATA'!K57="","",'INPUT DATA'!K57)</f>
        <v/>
      </c>
      <c r="D64" s="205"/>
      <c r="E64" s="205"/>
      <c r="F64" s="123"/>
      <c r="G64" s="119"/>
      <c r="H64" s="119"/>
      <c r="I64" s="119"/>
      <c r="J64" s="124"/>
      <c r="K64" s="143" t="str">
        <f t="shared" si="0"/>
        <v/>
      </c>
      <c r="L64" s="143" t="str">
        <f t="shared" si="1"/>
        <v/>
      </c>
      <c r="M64" s="146" t="str">
        <f t="shared" si="2"/>
        <v/>
      </c>
      <c r="N64" s="123"/>
      <c r="O64" s="119"/>
      <c r="P64" s="124"/>
      <c r="Q64" s="143" t="str">
        <f t="shared" si="3"/>
        <v/>
      </c>
      <c r="R64" s="143" t="str">
        <f t="shared" si="4"/>
        <v/>
      </c>
      <c r="S64" s="143" t="str">
        <f t="shared" si="5"/>
        <v/>
      </c>
      <c r="T64" s="123"/>
      <c r="U64" s="119"/>
      <c r="V64" s="124"/>
      <c r="W64" s="143" t="str">
        <f t="shared" si="6"/>
        <v/>
      </c>
      <c r="X64" s="143" t="str">
        <f t="shared" si="7"/>
        <v/>
      </c>
      <c r="Y64" s="143" t="str">
        <f t="shared" si="8"/>
        <v/>
      </c>
      <c r="Z64" s="150" t="str">
        <f t="shared" si="9"/>
        <v/>
      </c>
      <c r="AA64" s="143" t="str">
        <f t="shared" si="10"/>
        <v/>
      </c>
      <c r="AB64" s="152" t="str">
        <f t="shared" si="11"/>
        <v/>
      </c>
      <c r="AC64" s="158" t="str">
        <f>IF(AB64="","",IFERROR(INDEX(HELPER!$D$8:$D$48,IF(AB64&gt;=HELPER!$B$8,1,MATCH(AB64,HELPER!$B$8:$B$48,-1)+1)),""))</f>
        <v/>
      </c>
      <c r="AD64" s="155" t="str">
        <f>IF(AC64="","",IFERROR(VLOOKUP(AC64,HELPER!$F$8:$G$48,2,FALSE),""))</f>
        <v/>
      </c>
      <c r="AE64" s="135"/>
      <c r="AF64" s="90"/>
    </row>
    <row r="65" spans="1:32" ht="15" customHeight="1" x14ac:dyDescent="0.25">
      <c r="A65" s="135"/>
      <c r="B65" s="66">
        <v>48</v>
      </c>
      <c r="C65" s="204" t="str">
        <f>IF('INPUT DATA'!K58="","",'INPUT DATA'!K58)</f>
        <v/>
      </c>
      <c r="D65" s="205"/>
      <c r="E65" s="205"/>
      <c r="F65" s="123"/>
      <c r="G65" s="119"/>
      <c r="H65" s="119"/>
      <c r="I65" s="119"/>
      <c r="J65" s="124"/>
      <c r="K65" s="143" t="str">
        <f t="shared" si="0"/>
        <v/>
      </c>
      <c r="L65" s="143" t="str">
        <f t="shared" si="1"/>
        <v/>
      </c>
      <c r="M65" s="146" t="str">
        <f t="shared" si="2"/>
        <v/>
      </c>
      <c r="N65" s="123"/>
      <c r="O65" s="119"/>
      <c r="P65" s="124"/>
      <c r="Q65" s="143" t="str">
        <f t="shared" si="3"/>
        <v/>
      </c>
      <c r="R65" s="143" t="str">
        <f t="shared" si="4"/>
        <v/>
      </c>
      <c r="S65" s="143" t="str">
        <f t="shared" si="5"/>
        <v/>
      </c>
      <c r="T65" s="123"/>
      <c r="U65" s="119"/>
      <c r="V65" s="124"/>
      <c r="W65" s="143" t="str">
        <f t="shared" si="6"/>
        <v/>
      </c>
      <c r="X65" s="143" t="str">
        <f t="shared" si="7"/>
        <v/>
      </c>
      <c r="Y65" s="143" t="str">
        <f t="shared" si="8"/>
        <v/>
      </c>
      <c r="Z65" s="150" t="str">
        <f t="shared" si="9"/>
        <v/>
      </c>
      <c r="AA65" s="143" t="str">
        <f t="shared" si="10"/>
        <v/>
      </c>
      <c r="AB65" s="152" t="str">
        <f t="shared" si="11"/>
        <v/>
      </c>
      <c r="AC65" s="158" t="str">
        <f>IF(AB65="","",IFERROR(INDEX(HELPER!$D$8:$D$48,IF(AB65&gt;=HELPER!$B$8,1,MATCH(AB65,HELPER!$B$8:$B$48,-1)+1)),""))</f>
        <v/>
      </c>
      <c r="AD65" s="155" t="str">
        <f>IF(AC65="","",IFERROR(VLOOKUP(AC65,HELPER!$F$8:$G$48,2,FALSE),""))</f>
        <v/>
      </c>
      <c r="AE65" s="135"/>
      <c r="AF65" s="90"/>
    </row>
    <row r="66" spans="1:32" ht="15" customHeight="1" x14ac:dyDescent="0.25">
      <c r="A66" s="135"/>
      <c r="B66" s="66">
        <v>49</v>
      </c>
      <c r="C66" s="204" t="str">
        <f>IF('INPUT DATA'!K59="","",'INPUT DATA'!K59)</f>
        <v/>
      </c>
      <c r="D66" s="205"/>
      <c r="E66" s="205"/>
      <c r="F66" s="123"/>
      <c r="G66" s="119"/>
      <c r="H66" s="119"/>
      <c r="I66" s="119"/>
      <c r="J66" s="124"/>
      <c r="K66" s="143" t="str">
        <f t="shared" si="0"/>
        <v/>
      </c>
      <c r="L66" s="143" t="str">
        <f t="shared" si="1"/>
        <v/>
      </c>
      <c r="M66" s="146" t="str">
        <f t="shared" si="2"/>
        <v/>
      </c>
      <c r="N66" s="123"/>
      <c r="O66" s="119"/>
      <c r="P66" s="124"/>
      <c r="Q66" s="143" t="str">
        <f t="shared" si="3"/>
        <v/>
      </c>
      <c r="R66" s="143" t="str">
        <f t="shared" si="4"/>
        <v/>
      </c>
      <c r="S66" s="143" t="str">
        <f t="shared" si="5"/>
        <v/>
      </c>
      <c r="T66" s="123"/>
      <c r="U66" s="119"/>
      <c r="V66" s="124"/>
      <c r="W66" s="143" t="str">
        <f t="shared" si="6"/>
        <v/>
      </c>
      <c r="X66" s="143" t="str">
        <f t="shared" si="7"/>
        <v/>
      </c>
      <c r="Y66" s="143" t="str">
        <f t="shared" si="8"/>
        <v/>
      </c>
      <c r="Z66" s="150" t="str">
        <f t="shared" si="9"/>
        <v/>
      </c>
      <c r="AA66" s="143" t="str">
        <f t="shared" si="10"/>
        <v/>
      </c>
      <c r="AB66" s="152" t="str">
        <f t="shared" si="11"/>
        <v/>
      </c>
      <c r="AC66" s="158" t="str">
        <f>IF(AB66="","",IFERROR(INDEX(HELPER!$D$8:$D$48,IF(AB66&gt;=HELPER!$B$8,1,MATCH(AB66,HELPER!$B$8:$B$48,-1)+1)),""))</f>
        <v/>
      </c>
      <c r="AD66" s="155" t="str">
        <f>IF(AC66="","",IFERROR(VLOOKUP(AC66,HELPER!$F$8:$G$48,2,FALSE),""))</f>
        <v/>
      </c>
      <c r="AE66" s="135"/>
      <c r="AF66" s="90"/>
    </row>
    <row r="67" spans="1:32" ht="15" customHeight="1" thickBot="1" x14ac:dyDescent="0.3">
      <c r="A67" s="135"/>
      <c r="B67" s="66">
        <v>50</v>
      </c>
      <c r="C67" s="204" t="str">
        <f>IF('INPUT DATA'!K60="","",'INPUT DATA'!K60)</f>
        <v/>
      </c>
      <c r="D67" s="205"/>
      <c r="E67" s="205"/>
      <c r="F67" s="125"/>
      <c r="G67" s="126"/>
      <c r="H67" s="126"/>
      <c r="I67" s="126"/>
      <c r="J67" s="127"/>
      <c r="K67" s="144" t="str">
        <f t="shared" si="0"/>
        <v/>
      </c>
      <c r="L67" s="144" t="str">
        <f t="shared" si="1"/>
        <v/>
      </c>
      <c r="M67" s="147" t="str">
        <f t="shared" si="2"/>
        <v/>
      </c>
      <c r="N67" s="125"/>
      <c r="O67" s="126"/>
      <c r="P67" s="127"/>
      <c r="Q67" s="144" t="str">
        <f t="shared" si="3"/>
        <v/>
      </c>
      <c r="R67" s="144" t="str">
        <f t="shared" si="4"/>
        <v/>
      </c>
      <c r="S67" s="144" t="str">
        <f t="shared" si="5"/>
        <v/>
      </c>
      <c r="T67" s="125"/>
      <c r="U67" s="126"/>
      <c r="V67" s="127"/>
      <c r="W67" s="144" t="str">
        <f t="shared" si="6"/>
        <v/>
      </c>
      <c r="X67" s="144" t="str">
        <f t="shared" si="7"/>
        <v/>
      </c>
      <c r="Y67" s="144" t="str">
        <f t="shared" si="8"/>
        <v/>
      </c>
      <c r="Z67" s="148" t="str">
        <f t="shared" si="9"/>
        <v/>
      </c>
      <c r="AA67" s="144" t="str">
        <f t="shared" si="10"/>
        <v/>
      </c>
      <c r="AB67" s="153" t="str">
        <f t="shared" si="11"/>
        <v/>
      </c>
      <c r="AC67" s="159" t="str">
        <f>IF(AB67="","",IFERROR(INDEX(HELPER!$D$8:$D$48,IF(AB67&gt;=HELPER!$B$8,1,MATCH(AB67,HELPER!$B$8:$B$48,-1)+1)),""))</f>
        <v/>
      </c>
      <c r="AD67" s="156" t="str">
        <f>IF(AC67="","",IFERROR(VLOOKUP(AC67,HELPER!$F$8:$G$48,2,FALSE),""))</f>
        <v/>
      </c>
      <c r="AE67" s="135"/>
      <c r="AF67" s="90"/>
    </row>
    <row r="68" spans="1:32" ht="14.4" customHeight="1" thickBot="1" x14ac:dyDescent="0.3">
      <c r="A68" s="135"/>
      <c r="B68" s="245" t="s">
        <v>6</v>
      </c>
      <c r="C68" s="242"/>
      <c r="D68" s="242"/>
      <c r="E68" s="242"/>
      <c r="F68" s="246"/>
      <c r="G68" s="246"/>
      <c r="H68" s="246"/>
      <c r="I68" s="246"/>
      <c r="J68" s="246"/>
      <c r="K68" s="246"/>
      <c r="L68" s="246"/>
      <c r="M68" s="246"/>
      <c r="N68" s="246"/>
      <c r="O68" s="246"/>
      <c r="P68" s="246"/>
      <c r="Q68" s="246"/>
      <c r="R68" s="246"/>
      <c r="S68" s="246"/>
      <c r="T68" s="246"/>
      <c r="U68" s="246"/>
      <c r="V68" s="246"/>
      <c r="W68" s="246"/>
      <c r="X68" s="246"/>
      <c r="Y68" s="246"/>
      <c r="Z68" s="246"/>
      <c r="AA68" s="246"/>
      <c r="AB68" s="246"/>
      <c r="AC68" s="246"/>
      <c r="AD68" s="247"/>
      <c r="AE68" s="135"/>
      <c r="AF68" s="90"/>
    </row>
    <row r="69" spans="1:32" ht="15" customHeight="1" x14ac:dyDescent="0.25">
      <c r="A69" s="135"/>
      <c r="B69" s="110">
        <v>1</v>
      </c>
      <c r="C69" s="236" t="str">
        <f>IF('INPUT DATA'!N11="","",'INPUT DATA'!N11)</f>
        <v/>
      </c>
      <c r="D69" s="237"/>
      <c r="E69" s="237"/>
      <c r="F69" s="120"/>
      <c r="G69" s="121"/>
      <c r="H69" s="121"/>
      <c r="I69" s="121"/>
      <c r="J69" s="122"/>
      <c r="K69" s="142" t="str">
        <f t="shared" si="0"/>
        <v/>
      </c>
      <c r="L69" s="142" t="str">
        <f t="shared" ref="L69:L118" si="12">IF(COUNT(F69:J69)=0,"",IFERROR(K69/$K$15*$L$15,""))</f>
        <v/>
      </c>
      <c r="M69" s="145" t="str">
        <f t="shared" ref="M69:M118" si="13">IF(L69="","",L69*$M$15)</f>
        <v/>
      </c>
      <c r="N69" s="120"/>
      <c r="O69" s="121"/>
      <c r="P69" s="122"/>
      <c r="Q69" s="142" t="str">
        <f t="shared" ref="Q69:Q118" si="14">IF(COUNT(N69:P69)=0,"",SUM(N69:P69))</f>
        <v/>
      </c>
      <c r="R69" s="142" t="str">
        <f t="shared" ref="R69:R118" si="15">IF(COUNT(N69:P69)=0,"",IFERROR(Q69/$Q$15*$R$15,""))</f>
        <v/>
      </c>
      <c r="S69" s="142" t="str">
        <f t="shared" ref="S69:S118" si="16">IF(R69="","",R69*$S$15)</f>
        <v/>
      </c>
      <c r="T69" s="120"/>
      <c r="U69" s="121"/>
      <c r="V69" s="122"/>
      <c r="W69" s="142" t="str">
        <f t="shared" ref="W69:W118" si="17">IF(T69="","",IFERROR(T69/$T$15*$W$15,""))</f>
        <v/>
      </c>
      <c r="X69" s="142" t="str">
        <f t="shared" ref="X69:X118" si="18">IF(U69="","",IFERROR(U69/$U$15*$X$15,""))</f>
        <v/>
      </c>
      <c r="Y69" s="142" t="str">
        <f t="shared" ref="Y69:Y118" si="19">IF(V69="","",IFERROR(V69/$V$15*$Y$15,""))</f>
        <v/>
      </c>
      <c r="Z69" s="149" t="str">
        <f t="shared" ref="Z69:Z118" si="20">IF(COUNT(T69:V69)=0,"",SUM(W69:Y69))</f>
        <v/>
      </c>
      <c r="AA69" s="142" t="str">
        <f t="shared" ref="AA69:AA118" si="21">IF(Z69="","",Z69*$AA$15)</f>
        <v/>
      </c>
      <c r="AB69" s="151" t="str">
        <f t="shared" ref="AB69:AB118" si="22">IF(COUNT(F69:J69,N69:P69,T69:V69)=0,"",SUM(M69,S69,AA69))</f>
        <v/>
      </c>
      <c r="AC69" s="157" t="str">
        <f>IF(AB69="","",IFERROR(INDEX(HELPER!$D$8:$D$48,IF(AB69&gt;=HELPER!$B$8,1,MATCH(AB69,HELPER!$B$8:$B$48,-1)+1)),""))</f>
        <v/>
      </c>
      <c r="AD69" s="154" t="str">
        <f>IF(AC69="","",IFERROR(VLOOKUP(AC69,HELPER!$F$8:$G$48,2,FALSE),""))</f>
        <v/>
      </c>
      <c r="AE69" s="135"/>
      <c r="AF69" s="90"/>
    </row>
    <row r="70" spans="1:32" ht="15" customHeight="1" x14ac:dyDescent="0.25">
      <c r="A70" s="135"/>
      <c r="B70" s="111">
        <v>2</v>
      </c>
      <c r="C70" s="209" t="str">
        <f>IF('INPUT DATA'!N12="","",'INPUT DATA'!N12)</f>
        <v/>
      </c>
      <c r="D70" s="210"/>
      <c r="E70" s="210"/>
      <c r="F70" s="123"/>
      <c r="G70" s="119"/>
      <c r="H70" s="119"/>
      <c r="I70" s="119"/>
      <c r="J70" s="124"/>
      <c r="K70" s="143" t="str">
        <f t="shared" si="0"/>
        <v/>
      </c>
      <c r="L70" s="143" t="str">
        <f t="shared" si="12"/>
        <v/>
      </c>
      <c r="M70" s="146" t="str">
        <f t="shared" si="13"/>
        <v/>
      </c>
      <c r="N70" s="123"/>
      <c r="O70" s="119"/>
      <c r="P70" s="124"/>
      <c r="Q70" s="143" t="str">
        <f t="shared" si="14"/>
        <v/>
      </c>
      <c r="R70" s="143" t="str">
        <f t="shared" si="15"/>
        <v/>
      </c>
      <c r="S70" s="143" t="str">
        <f t="shared" si="16"/>
        <v/>
      </c>
      <c r="T70" s="123"/>
      <c r="U70" s="119"/>
      <c r="V70" s="124"/>
      <c r="W70" s="143" t="str">
        <f t="shared" si="17"/>
        <v/>
      </c>
      <c r="X70" s="143" t="str">
        <f t="shared" si="18"/>
        <v/>
      </c>
      <c r="Y70" s="143" t="str">
        <f t="shared" si="19"/>
        <v/>
      </c>
      <c r="Z70" s="150" t="str">
        <f t="shared" si="20"/>
        <v/>
      </c>
      <c r="AA70" s="143" t="str">
        <f t="shared" si="21"/>
        <v/>
      </c>
      <c r="AB70" s="152" t="str">
        <f t="shared" si="22"/>
        <v/>
      </c>
      <c r="AC70" s="158" t="str">
        <f>IF(AB70="","",IFERROR(INDEX(HELPER!$D$8:$D$48,IF(AB70&gt;=HELPER!$B$8,1,MATCH(AB70,HELPER!$B$8:$B$48,-1)+1)),""))</f>
        <v/>
      </c>
      <c r="AD70" s="155" t="str">
        <f>IF(AC70="","",IFERROR(VLOOKUP(AC70,HELPER!$F$8:$G$48,2,FALSE),""))</f>
        <v/>
      </c>
      <c r="AE70" s="135"/>
      <c r="AF70" s="90"/>
    </row>
    <row r="71" spans="1:32" ht="15" customHeight="1" x14ac:dyDescent="0.25">
      <c r="A71" s="135"/>
      <c r="B71" s="111">
        <v>3</v>
      </c>
      <c r="C71" s="209" t="str">
        <f>IF('INPUT DATA'!N13="","",'INPUT DATA'!N13)</f>
        <v/>
      </c>
      <c r="D71" s="210"/>
      <c r="E71" s="210"/>
      <c r="F71" s="123"/>
      <c r="G71" s="119"/>
      <c r="H71" s="119"/>
      <c r="I71" s="119"/>
      <c r="J71" s="124"/>
      <c r="K71" s="143" t="str">
        <f t="shared" si="0"/>
        <v/>
      </c>
      <c r="L71" s="143" t="str">
        <f t="shared" si="12"/>
        <v/>
      </c>
      <c r="M71" s="146" t="str">
        <f t="shared" si="13"/>
        <v/>
      </c>
      <c r="N71" s="123"/>
      <c r="O71" s="119"/>
      <c r="P71" s="124"/>
      <c r="Q71" s="143" t="str">
        <f t="shared" si="14"/>
        <v/>
      </c>
      <c r="R71" s="143" t="str">
        <f t="shared" si="15"/>
        <v/>
      </c>
      <c r="S71" s="143" t="str">
        <f t="shared" si="16"/>
        <v/>
      </c>
      <c r="T71" s="123"/>
      <c r="U71" s="119"/>
      <c r="V71" s="124"/>
      <c r="W71" s="143" t="str">
        <f t="shared" si="17"/>
        <v/>
      </c>
      <c r="X71" s="143" t="str">
        <f t="shared" si="18"/>
        <v/>
      </c>
      <c r="Y71" s="143" t="str">
        <f t="shared" si="19"/>
        <v/>
      </c>
      <c r="Z71" s="150" t="str">
        <f t="shared" si="20"/>
        <v/>
      </c>
      <c r="AA71" s="143" t="str">
        <f t="shared" si="21"/>
        <v/>
      </c>
      <c r="AB71" s="152" t="str">
        <f t="shared" si="22"/>
        <v/>
      </c>
      <c r="AC71" s="158" t="str">
        <f>IF(AB71="","",IFERROR(INDEX(HELPER!$D$8:$D$48,IF(AB71&gt;=HELPER!$B$8,1,MATCH(AB71,HELPER!$B$8:$B$48,-1)+1)),""))</f>
        <v/>
      </c>
      <c r="AD71" s="155" t="str">
        <f>IF(AC71="","",IFERROR(VLOOKUP(AC71,HELPER!$F$8:$G$48,2,FALSE),""))</f>
        <v/>
      </c>
      <c r="AE71" s="135"/>
      <c r="AF71" s="90"/>
    </row>
    <row r="72" spans="1:32" ht="15" customHeight="1" x14ac:dyDescent="0.25">
      <c r="A72" s="135"/>
      <c r="B72" s="111">
        <v>4</v>
      </c>
      <c r="C72" s="209" t="str">
        <f>IF('INPUT DATA'!N14="","",'INPUT DATA'!N14)</f>
        <v/>
      </c>
      <c r="D72" s="210"/>
      <c r="E72" s="210"/>
      <c r="F72" s="123"/>
      <c r="G72" s="119"/>
      <c r="H72" s="119"/>
      <c r="I72" s="119"/>
      <c r="J72" s="124"/>
      <c r="K72" s="143" t="str">
        <f t="shared" si="0"/>
        <v/>
      </c>
      <c r="L72" s="143" t="str">
        <f t="shared" si="12"/>
        <v/>
      </c>
      <c r="M72" s="146" t="str">
        <f t="shared" si="13"/>
        <v/>
      </c>
      <c r="N72" s="123"/>
      <c r="O72" s="119"/>
      <c r="P72" s="124"/>
      <c r="Q72" s="143" t="str">
        <f t="shared" si="14"/>
        <v/>
      </c>
      <c r="R72" s="143" t="str">
        <f t="shared" si="15"/>
        <v/>
      </c>
      <c r="S72" s="143" t="str">
        <f t="shared" si="16"/>
        <v/>
      </c>
      <c r="T72" s="123"/>
      <c r="U72" s="119"/>
      <c r="V72" s="124"/>
      <c r="W72" s="143" t="str">
        <f t="shared" si="17"/>
        <v/>
      </c>
      <c r="X72" s="143" t="str">
        <f t="shared" si="18"/>
        <v/>
      </c>
      <c r="Y72" s="143" t="str">
        <f t="shared" si="19"/>
        <v/>
      </c>
      <c r="Z72" s="150" t="str">
        <f t="shared" si="20"/>
        <v/>
      </c>
      <c r="AA72" s="143" t="str">
        <f t="shared" si="21"/>
        <v/>
      </c>
      <c r="AB72" s="152" t="str">
        <f t="shared" si="22"/>
        <v/>
      </c>
      <c r="AC72" s="158" t="str">
        <f>IF(AB72="","",IFERROR(INDEX(HELPER!$D$8:$D$48,IF(AB72&gt;=HELPER!$B$8,1,MATCH(AB72,HELPER!$B$8:$B$48,-1)+1)),""))</f>
        <v/>
      </c>
      <c r="AD72" s="155" t="str">
        <f>IF(AC72="","",IFERROR(VLOOKUP(AC72,HELPER!$F$8:$G$48,2,FALSE),""))</f>
        <v/>
      </c>
      <c r="AE72" s="135"/>
      <c r="AF72" s="90"/>
    </row>
    <row r="73" spans="1:32" ht="15" customHeight="1" x14ac:dyDescent="0.25">
      <c r="A73" s="135"/>
      <c r="B73" s="111">
        <v>5</v>
      </c>
      <c r="C73" s="209" t="str">
        <f>IF('INPUT DATA'!N15="","",'INPUT DATA'!N15)</f>
        <v/>
      </c>
      <c r="D73" s="210"/>
      <c r="E73" s="210"/>
      <c r="F73" s="123"/>
      <c r="G73" s="119"/>
      <c r="H73" s="119"/>
      <c r="I73" s="119"/>
      <c r="J73" s="124"/>
      <c r="K73" s="143" t="str">
        <f t="shared" si="0"/>
        <v/>
      </c>
      <c r="L73" s="143" t="str">
        <f t="shared" si="12"/>
        <v/>
      </c>
      <c r="M73" s="146" t="str">
        <f t="shared" si="13"/>
        <v/>
      </c>
      <c r="N73" s="123"/>
      <c r="O73" s="119"/>
      <c r="P73" s="124"/>
      <c r="Q73" s="143" t="str">
        <f t="shared" si="14"/>
        <v/>
      </c>
      <c r="R73" s="143" t="str">
        <f t="shared" si="15"/>
        <v/>
      </c>
      <c r="S73" s="143" t="str">
        <f t="shared" si="16"/>
        <v/>
      </c>
      <c r="T73" s="123"/>
      <c r="U73" s="119"/>
      <c r="V73" s="124"/>
      <c r="W73" s="143" t="str">
        <f t="shared" si="17"/>
        <v/>
      </c>
      <c r="X73" s="143" t="str">
        <f t="shared" si="18"/>
        <v/>
      </c>
      <c r="Y73" s="143" t="str">
        <f t="shared" si="19"/>
        <v/>
      </c>
      <c r="Z73" s="150" t="str">
        <f t="shared" si="20"/>
        <v/>
      </c>
      <c r="AA73" s="143" t="str">
        <f t="shared" si="21"/>
        <v/>
      </c>
      <c r="AB73" s="152" t="str">
        <f t="shared" si="22"/>
        <v/>
      </c>
      <c r="AC73" s="158" t="str">
        <f>IF(AB73="","",IFERROR(INDEX(HELPER!$D$8:$D$48,IF(AB73&gt;=HELPER!$B$8,1,MATCH(AB73,HELPER!$B$8:$B$48,-1)+1)),""))</f>
        <v/>
      </c>
      <c r="AD73" s="155" t="str">
        <f>IF(AC73="","",IFERROR(VLOOKUP(AC73,HELPER!$F$8:$G$48,2,FALSE),""))</f>
        <v/>
      </c>
      <c r="AE73" s="135"/>
      <c r="AF73" s="90"/>
    </row>
    <row r="74" spans="1:32" ht="15" customHeight="1" x14ac:dyDescent="0.25">
      <c r="A74" s="135"/>
      <c r="B74" s="111">
        <v>6</v>
      </c>
      <c r="C74" s="209" t="str">
        <f>IF('INPUT DATA'!N16="","",'INPUT DATA'!N16)</f>
        <v/>
      </c>
      <c r="D74" s="210"/>
      <c r="E74" s="210"/>
      <c r="F74" s="123"/>
      <c r="G74" s="119"/>
      <c r="H74" s="119"/>
      <c r="I74" s="119"/>
      <c r="J74" s="124"/>
      <c r="K74" s="143" t="str">
        <f t="shared" si="0"/>
        <v/>
      </c>
      <c r="L74" s="143" t="str">
        <f t="shared" si="12"/>
        <v/>
      </c>
      <c r="M74" s="146" t="str">
        <f t="shared" si="13"/>
        <v/>
      </c>
      <c r="N74" s="123"/>
      <c r="O74" s="119"/>
      <c r="P74" s="124"/>
      <c r="Q74" s="143" t="str">
        <f t="shared" si="14"/>
        <v/>
      </c>
      <c r="R74" s="143" t="str">
        <f t="shared" si="15"/>
        <v/>
      </c>
      <c r="S74" s="143" t="str">
        <f t="shared" si="16"/>
        <v/>
      </c>
      <c r="T74" s="123"/>
      <c r="U74" s="119"/>
      <c r="V74" s="124"/>
      <c r="W74" s="143" t="str">
        <f t="shared" si="17"/>
        <v/>
      </c>
      <c r="X74" s="143" t="str">
        <f t="shared" si="18"/>
        <v/>
      </c>
      <c r="Y74" s="143" t="str">
        <f t="shared" si="19"/>
        <v/>
      </c>
      <c r="Z74" s="150" t="str">
        <f t="shared" si="20"/>
        <v/>
      </c>
      <c r="AA74" s="143" t="str">
        <f t="shared" si="21"/>
        <v/>
      </c>
      <c r="AB74" s="152" t="str">
        <f t="shared" si="22"/>
        <v/>
      </c>
      <c r="AC74" s="158" t="str">
        <f>IF(AB74="","",IFERROR(INDEX(HELPER!$D$8:$D$48,IF(AB74&gt;=HELPER!$B$8,1,MATCH(AB74,HELPER!$B$8:$B$48,-1)+1)),""))</f>
        <v/>
      </c>
      <c r="AD74" s="155" t="str">
        <f>IF(AC74="","",IFERROR(VLOOKUP(AC74,HELPER!$F$8:$G$48,2,FALSE),""))</f>
        <v/>
      </c>
      <c r="AE74" s="135"/>
      <c r="AF74" s="90"/>
    </row>
    <row r="75" spans="1:32" ht="15" customHeight="1" x14ac:dyDescent="0.25">
      <c r="A75" s="135"/>
      <c r="B75" s="111">
        <v>7</v>
      </c>
      <c r="C75" s="209" t="str">
        <f>IF('INPUT DATA'!N17="","",'INPUT DATA'!N17)</f>
        <v/>
      </c>
      <c r="D75" s="210"/>
      <c r="E75" s="210"/>
      <c r="F75" s="123"/>
      <c r="G75" s="119"/>
      <c r="H75" s="119"/>
      <c r="I75" s="119"/>
      <c r="J75" s="124"/>
      <c r="K75" s="143" t="str">
        <f t="shared" si="0"/>
        <v/>
      </c>
      <c r="L75" s="143" t="str">
        <f t="shared" si="12"/>
        <v/>
      </c>
      <c r="M75" s="146" t="str">
        <f t="shared" si="13"/>
        <v/>
      </c>
      <c r="N75" s="123"/>
      <c r="O75" s="119"/>
      <c r="P75" s="124"/>
      <c r="Q75" s="143" t="str">
        <f t="shared" si="14"/>
        <v/>
      </c>
      <c r="R75" s="143" t="str">
        <f t="shared" si="15"/>
        <v/>
      </c>
      <c r="S75" s="143" t="str">
        <f t="shared" si="16"/>
        <v/>
      </c>
      <c r="T75" s="123"/>
      <c r="U75" s="119"/>
      <c r="V75" s="124"/>
      <c r="W75" s="143" t="str">
        <f t="shared" si="17"/>
        <v/>
      </c>
      <c r="X75" s="143" t="str">
        <f t="shared" si="18"/>
        <v/>
      </c>
      <c r="Y75" s="143" t="str">
        <f t="shared" si="19"/>
        <v/>
      </c>
      <c r="Z75" s="150" t="str">
        <f t="shared" si="20"/>
        <v/>
      </c>
      <c r="AA75" s="143" t="str">
        <f t="shared" si="21"/>
        <v/>
      </c>
      <c r="AB75" s="152" t="str">
        <f t="shared" si="22"/>
        <v/>
      </c>
      <c r="AC75" s="158" t="str">
        <f>IF(AB75="","",IFERROR(INDEX(HELPER!$D$8:$D$48,IF(AB75&gt;=HELPER!$B$8,1,MATCH(AB75,HELPER!$B$8:$B$48,-1)+1)),""))</f>
        <v/>
      </c>
      <c r="AD75" s="155" t="str">
        <f>IF(AC75="","",IFERROR(VLOOKUP(AC75,HELPER!$F$8:$G$48,2,FALSE),""))</f>
        <v/>
      </c>
      <c r="AE75" s="135"/>
      <c r="AF75" s="90"/>
    </row>
    <row r="76" spans="1:32" ht="15" customHeight="1" x14ac:dyDescent="0.25">
      <c r="A76" s="135"/>
      <c r="B76" s="111">
        <v>8</v>
      </c>
      <c r="C76" s="209" t="str">
        <f>IF('INPUT DATA'!N18="","",'INPUT DATA'!N18)</f>
        <v/>
      </c>
      <c r="D76" s="210"/>
      <c r="E76" s="210"/>
      <c r="F76" s="123"/>
      <c r="G76" s="119"/>
      <c r="H76" s="119"/>
      <c r="I76" s="119"/>
      <c r="J76" s="124"/>
      <c r="K76" s="143" t="str">
        <f t="shared" si="0"/>
        <v/>
      </c>
      <c r="L76" s="143" t="str">
        <f t="shared" si="12"/>
        <v/>
      </c>
      <c r="M76" s="146" t="str">
        <f t="shared" si="13"/>
        <v/>
      </c>
      <c r="N76" s="123"/>
      <c r="O76" s="119"/>
      <c r="P76" s="124"/>
      <c r="Q76" s="143" t="str">
        <f t="shared" si="14"/>
        <v/>
      </c>
      <c r="R76" s="143" t="str">
        <f t="shared" si="15"/>
        <v/>
      </c>
      <c r="S76" s="143" t="str">
        <f t="shared" si="16"/>
        <v/>
      </c>
      <c r="T76" s="123"/>
      <c r="U76" s="119"/>
      <c r="V76" s="124"/>
      <c r="W76" s="143" t="str">
        <f t="shared" si="17"/>
        <v/>
      </c>
      <c r="X76" s="143" t="str">
        <f t="shared" si="18"/>
        <v/>
      </c>
      <c r="Y76" s="143" t="str">
        <f t="shared" si="19"/>
        <v/>
      </c>
      <c r="Z76" s="150" t="str">
        <f t="shared" si="20"/>
        <v/>
      </c>
      <c r="AA76" s="143" t="str">
        <f t="shared" si="21"/>
        <v/>
      </c>
      <c r="AB76" s="152" t="str">
        <f t="shared" si="22"/>
        <v/>
      </c>
      <c r="AC76" s="158" t="str">
        <f>IF(AB76="","",IFERROR(INDEX(HELPER!$D$8:$D$48,IF(AB76&gt;=HELPER!$B$8,1,MATCH(AB76,HELPER!$B$8:$B$48,-1)+1)),""))</f>
        <v/>
      </c>
      <c r="AD76" s="155" t="str">
        <f>IF(AC76="","",IFERROR(VLOOKUP(AC76,HELPER!$F$8:$G$48,2,FALSE),""))</f>
        <v/>
      </c>
      <c r="AE76" s="135"/>
      <c r="AF76" s="90"/>
    </row>
    <row r="77" spans="1:32" ht="15" customHeight="1" x14ac:dyDescent="0.25">
      <c r="A77" s="135"/>
      <c r="B77" s="111">
        <v>9</v>
      </c>
      <c r="C77" s="209" t="str">
        <f>IF('INPUT DATA'!N19="","",'INPUT DATA'!N19)</f>
        <v/>
      </c>
      <c r="D77" s="210"/>
      <c r="E77" s="210"/>
      <c r="F77" s="123"/>
      <c r="G77" s="119"/>
      <c r="H77" s="119"/>
      <c r="I77" s="119"/>
      <c r="J77" s="124"/>
      <c r="K77" s="143" t="str">
        <f t="shared" si="0"/>
        <v/>
      </c>
      <c r="L77" s="143" t="str">
        <f t="shared" si="12"/>
        <v/>
      </c>
      <c r="M77" s="146" t="str">
        <f t="shared" si="13"/>
        <v/>
      </c>
      <c r="N77" s="123"/>
      <c r="O77" s="119"/>
      <c r="P77" s="124"/>
      <c r="Q77" s="143" t="str">
        <f t="shared" si="14"/>
        <v/>
      </c>
      <c r="R77" s="143" t="str">
        <f t="shared" si="15"/>
        <v/>
      </c>
      <c r="S77" s="143" t="str">
        <f t="shared" si="16"/>
        <v/>
      </c>
      <c r="T77" s="123"/>
      <c r="U77" s="119"/>
      <c r="V77" s="124"/>
      <c r="W77" s="143" t="str">
        <f t="shared" si="17"/>
        <v/>
      </c>
      <c r="X77" s="143" t="str">
        <f t="shared" si="18"/>
        <v/>
      </c>
      <c r="Y77" s="143" t="str">
        <f t="shared" si="19"/>
        <v/>
      </c>
      <c r="Z77" s="150" t="str">
        <f t="shared" si="20"/>
        <v/>
      </c>
      <c r="AA77" s="143" t="str">
        <f t="shared" si="21"/>
        <v/>
      </c>
      <c r="AB77" s="152" t="str">
        <f t="shared" si="22"/>
        <v/>
      </c>
      <c r="AC77" s="158" t="str">
        <f>IF(AB77="","",IFERROR(INDEX(HELPER!$D$8:$D$48,IF(AB77&gt;=HELPER!$B$8,1,MATCH(AB77,HELPER!$B$8:$B$48,-1)+1)),""))</f>
        <v/>
      </c>
      <c r="AD77" s="155" t="str">
        <f>IF(AC77="","",IFERROR(VLOOKUP(AC77,HELPER!$F$8:$G$48,2,FALSE),""))</f>
        <v/>
      </c>
      <c r="AE77" s="135"/>
      <c r="AF77" s="90"/>
    </row>
    <row r="78" spans="1:32" ht="15" customHeight="1" x14ac:dyDescent="0.25">
      <c r="A78" s="135"/>
      <c r="B78" s="111">
        <v>10</v>
      </c>
      <c r="C78" s="209" t="str">
        <f>IF('INPUT DATA'!N20="","",'INPUT DATA'!N20)</f>
        <v/>
      </c>
      <c r="D78" s="210"/>
      <c r="E78" s="210"/>
      <c r="F78" s="123"/>
      <c r="G78" s="119"/>
      <c r="H78" s="119"/>
      <c r="I78" s="119"/>
      <c r="J78" s="124"/>
      <c r="K78" s="143" t="str">
        <f t="shared" si="0"/>
        <v/>
      </c>
      <c r="L78" s="143" t="str">
        <f t="shared" si="12"/>
        <v/>
      </c>
      <c r="M78" s="146" t="str">
        <f t="shared" si="13"/>
        <v/>
      </c>
      <c r="N78" s="123"/>
      <c r="O78" s="119"/>
      <c r="P78" s="124"/>
      <c r="Q78" s="143" t="str">
        <f t="shared" si="14"/>
        <v/>
      </c>
      <c r="R78" s="143" t="str">
        <f t="shared" si="15"/>
        <v/>
      </c>
      <c r="S78" s="143" t="str">
        <f t="shared" si="16"/>
        <v/>
      </c>
      <c r="T78" s="123"/>
      <c r="U78" s="119"/>
      <c r="V78" s="124"/>
      <c r="W78" s="143" t="str">
        <f t="shared" si="17"/>
        <v/>
      </c>
      <c r="X78" s="143" t="str">
        <f t="shared" si="18"/>
        <v/>
      </c>
      <c r="Y78" s="143" t="str">
        <f t="shared" si="19"/>
        <v/>
      </c>
      <c r="Z78" s="150" t="str">
        <f t="shared" si="20"/>
        <v/>
      </c>
      <c r="AA78" s="143" t="str">
        <f t="shared" si="21"/>
        <v/>
      </c>
      <c r="AB78" s="152" t="str">
        <f t="shared" si="22"/>
        <v/>
      </c>
      <c r="AC78" s="158" t="str">
        <f>IF(AB78="","",IFERROR(INDEX(HELPER!$D$8:$D$48,IF(AB78&gt;=HELPER!$B$8,1,MATCH(AB78,HELPER!$B$8:$B$48,-1)+1)),""))</f>
        <v/>
      </c>
      <c r="AD78" s="155" t="str">
        <f>IF(AC78="","",IFERROR(VLOOKUP(AC78,HELPER!$F$8:$G$48,2,FALSE),""))</f>
        <v/>
      </c>
      <c r="AE78" s="135"/>
      <c r="AF78" s="90"/>
    </row>
    <row r="79" spans="1:32" ht="15" customHeight="1" x14ac:dyDescent="0.25">
      <c r="A79" s="135"/>
      <c r="B79" s="111">
        <v>11</v>
      </c>
      <c r="C79" s="209" t="str">
        <f>IF('INPUT DATA'!N21="","",'INPUT DATA'!N21)</f>
        <v/>
      </c>
      <c r="D79" s="210"/>
      <c r="E79" s="210"/>
      <c r="F79" s="123"/>
      <c r="G79" s="119"/>
      <c r="H79" s="119"/>
      <c r="I79" s="119"/>
      <c r="J79" s="124"/>
      <c r="K79" s="143" t="str">
        <f t="shared" si="0"/>
        <v/>
      </c>
      <c r="L79" s="143" t="str">
        <f t="shared" si="12"/>
        <v/>
      </c>
      <c r="M79" s="146" t="str">
        <f t="shared" si="13"/>
        <v/>
      </c>
      <c r="N79" s="123"/>
      <c r="O79" s="119"/>
      <c r="P79" s="124"/>
      <c r="Q79" s="143" t="str">
        <f t="shared" si="14"/>
        <v/>
      </c>
      <c r="R79" s="143" t="str">
        <f t="shared" si="15"/>
        <v/>
      </c>
      <c r="S79" s="143" t="str">
        <f t="shared" si="16"/>
        <v/>
      </c>
      <c r="T79" s="123"/>
      <c r="U79" s="119"/>
      <c r="V79" s="124"/>
      <c r="W79" s="143" t="str">
        <f t="shared" si="17"/>
        <v/>
      </c>
      <c r="X79" s="143" t="str">
        <f t="shared" si="18"/>
        <v/>
      </c>
      <c r="Y79" s="143" t="str">
        <f t="shared" si="19"/>
        <v/>
      </c>
      <c r="Z79" s="150" t="str">
        <f t="shared" si="20"/>
        <v/>
      </c>
      <c r="AA79" s="143" t="str">
        <f t="shared" si="21"/>
        <v/>
      </c>
      <c r="AB79" s="152" t="str">
        <f t="shared" si="22"/>
        <v/>
      </c>
      <c r="AC79" s="158" t="str">
        <f>IF(AB79="","",IFERROR(INDEX(HELPER!$D$8:$D$48,IF(AB79&gt;=HELPER!$B$8,1,MATCH(AB79,HELPER!$B$8:$B$48,-1)+1)),""))</f>
        <v/>
      </c>
      <c r="AD79" s="155" t="str">
        <f>IF(AC79="","",IFERROR(VLOOKUP(AC79,HELPER!$F$8:$G$48,2,FALSE),""))</f>
        <v/>
      </c>
      <c r="AE79" s="135"/>
      <c r="AF79" s="90"/>
    </row>
    <row r="80" spans="1:32" ht="15" customHeight="1" x14ac:dyDescent="0.25">
      <c r="A80" s="135"/>
      <c r="B80" s="111">
        <v>12</v>
      </c>
      <c r="C80" s="209" t="str">
        <f>IF('INPUT DATA'!N22="","",'INPUT DATA'!N22)</f>
        <v/>
      </c>
      <c r="D80" s="210"/>
      <c r="E80" s="210"/>
      <c r="F80" s="123"/>
      <c r="G80" s="119"/>
      <c r="H80" s="119"/>
      <c r="I80" s="119"/>
      <c r="J80" s="124"/>
      <c r="K80" s="143" t="str">
        <f t="shared" si="0"/>
        <v/>
      </c>
      <c r="L80" s="143" t="str">
        <f t="shared" si="12"/>
        <v/>
      </c>
      <c r="M80" s="146" t="str">
        <f t="shared" si="13"/>
        <v/>
      </c>
      <c r="N80" s="123"/>
      <c r="O80" s="119"/>
      <c r="P80" s="124"/>
      <c r="Q80" s="143" t="str">
        <f t="shared" si="14"/>
        <v/>
      </c>
      <c r="R80" s="143" t="str">
        <f t="shared" si="15"/>
        <v/>
      </c>
      <c r="S80" s="143" t="str">
        <f t="shared" si="16"/>
        <v/>
      </c>
      <c r="T80" s="123"/>
      <c r="U80" s="119"/>
      <c r="V80" s="124"/>
      <c r="W80" s="143" t="str">
        <f t="shared" si="17"/>
        <v/>
      </c>
      <c r="X80" s="143" t="str">
        <f t="shared" si="18"/>
        <v/>
      </c>
      <c r="Y80" s="143" t="str">
        <f t="shared" si="19"/>
        <v/>
      </c>
      <c r="Z80" s="150" t="str">
        <f t="shared" si="20"/>
        <v/>
      </c>
      <c r="AA80" s="143" t="str">
        <f t="shared" si="21"/>
        <v/>
      </c>
      <c r="AB80" s="152" t="str">
        <f t="shared" si="22"/>
        <v/>
      </c>
      <c r="AC80" s="158" t="str">
        <f>IF(AB80="","",IFERROR(INDEX(HELPER!$D$8:$D$48,IF(AB80&gt;=HELPER!$B$8,1,MATCH(AB80,HELPER!$B$8:$B$48,-1)+1)),""))</f>
        <v/>
      </c>
      <c r="AD80" s="155" t="str">
        <f>IF(AC80="","",IFERROR(VLOOKUP(AC80,HELPER!$F$8:$G$48,2,FALSE),""))</f>
        <v/>
      </c>
      <c r="AE80" s="135"/>
      <c r="AF80" s="90"/>
    </row>
    <row r="81" spans="1:32" ht="15" customHeight="1" x14ac:dyDescent="0.25">
      <c r="A81" s="135"/>
      <c r="B81" s="111">
        <v>13</v>
      </c>
      <c r="C81" s="209" t="str">
        <f>IF('INPUT DATA'!N23="","",'INPUT DATA'!N23)</f>
        <v/>
      </c>
      <c r="D81" s="210"/>
      <c r="E81" s="210"/>
      <c r="F81" s="123"/>
      <c r="G81" s="119"/>
      <c r="H81" s="119"/>
      <c r="I81" s="119"/>
      <c r="J81" s="124"/>
      <c r="K81" s="143" t="str">
        <f t="shared" si="0"/>
        <v/>
      </c>
      <c r="L81" s="143" t="str">
        <f t="shared" si="12"/>
        <v/>
      </c>
      <c r="M81" s="146" t="str">
        <f t="shared" si="13"/>
        <v/>
      </c>
      <c r="N81" s="123"/>
      <c r="O81" s="119"/>
      <c r="P81" s="124"/>
      <c r="Q81" s="143" t="str">
        <f t="shared" si="14"/>
        <v/>
      </c>
      <c r="R81" s="143" t="str">
        <f t="shared" si="15"/>
        <v/>
      </c>
      <c r="S81" s="143" t="str">
        <f t="shared" si="16"/>
        <v/>
      </c>
      <c r="T81" s="123"/>
      <c r="U81" s="119"/>
      <c r="V81" s="124"/>
      <c r="W81" s="143" t="str">
        <f t="shared" si="17"/>
        <v/>
      </c>
      <c r="X81" s="143" t="str">
        <f t="shared" si="18"/>
        <v/>
      </c>
      <c r="Y81" s="143" t="str">
        <f t="shared" si="19"/>
        <v/>
      </c>
      <c r="Z81" s="150" t="str">
        <f t="shared" si="20"/>
        <v/>
      </c>
      <c r="AA81" s="143" t="str">
        <f t="shared" si="21"/>
        <v/>
      </c>
      <c r="AB81" s="152" t="str">
        <f t="shared" si="22"/>
        <v/>
      </c>
      <c r="AC81" s="158" t="str">
        <f>IF(AB81="","",IFERROR(INDEX(HELPER!$D$8:$D$48,IF(AB81&gt;=HELPER!$B$8,1,MATCH(AB81,HELPER!$B$8:$B$48,-1)+1)),""))</f>
        <v/>
      </c>
      <c r="AD81" s="155" t="str">
        <f>IF(AC81="","",IFERROR(VLOOKUP(AC81,HELPER!$F$8:$G$48,2,FALSE),""))</f>
        <v/>
      </c>
      <c r="AE81" s="135"/>
      <c r="AF81" s="90"/>
    </row>
    <row r="82" spans="1:32" ht="15" customHeight="1" x14ac:dyDescent="0.25">
      <c r="A82" s="135"/>
      <c r="B82" s="111">
        <v>14</v>
      </c>
      <c r="C82" s="209" t="str">
        <f>IF('INPUT DATA'!N24="","",'INPUT DATA'!N24)</f>
        <v/>
      </c>
      <c r="D82" s="210"/>
      <c r="E82" s="210"/>
      <c r="F82" s="123"/>
      <c r="G82" s="119"/>
      <c r="H82" s="119"/>
      <c r="I82" s="119"/>
      <c r="J82" s="124"/>
      <c r="K82" s="143" t="str">
        <f t="shared" ref="K82:K118" si="23">IF(COUNT($F82:$J82)=0,"",SUM($F82:$J82))</f>
        <v/>
      </c>
      <c r="L82" s="143" t="str">
        <f t="shared" si="12"/>
        <v/>
      </c>
      <c r="M82" s="146" t="str">
        <f t="shared" si="13"/>
        <v/>
      </c>
      <c r="N82" s="123"/>
      <c r="O82" s="119"/>
      <c r="P82" s="124"/>
      <c r="Q82" s="143" t="str">
        <f t="shared" si="14"/>
        <v/>
      </c>
      <c r="R82" s="143" t="str">
        <f t="shared" si="15"/>
        <v/>
      </c>
      <c r="S82" s="143" t="str">
        <f t="shared" si="16"/>
        <v/>
      </c>
      <c r="T82" s="123"/>
      <c r="U82" s="119"/>
      <c r="V82" s="124"/>
      <c r="W82" s="143" t="str">
        <f t="shared" si="17"/>
        <v/>
      </c>
      <c r="X82" s="143" t="str">
        <f t="shared" si="18"/>
        <v/>
      </c>
      <c r="Y82" s="143" t="str">
        <f t="shared" si="19"/>
        <v/>
      </c>
      <c r="Z82" s="150" t="str">
        <f t="shared" si="20"/>
        <v/>
      </c>
      <c r="AA82" s="143" t="str">
        <f t="shared" si="21"/>
        <v/>
      </c>
      <c r="AB82" s="152" t="str">
        <f t="shared" si="22"/>
        <v/>
      </c>
      <c r="AC82" s="158" t="str">
        <f>IF(AB82="","",IFERROR(INDEX(HELPER!$D$8:$D$48,IF(AB82&gt;=HELPER!$B$8,1,MATCH(AB82,HELPER!$B$8:$B$48,-1)+1)),""))</f>
        <v/>
      </c>
      <c r="AD82" s="155" t="str">
        <f>IF(AC82="","",IFERROR(VLOOKUP(AC82,HELPER!$F$8:$G$48,2,FALSE),""))</f>
        <v/>
      </c>
      <c r="AE82" s="135"/>
      <c r="AF82" s="90"/>
    </row>
    <row r="83" spans="1:32" ht="15" customHeight="1" x14ac:dyDescent="0.25">
      <c r="A83" s="135"/>
      <c r="B83" s="111">
        <v>15</v>
      </c>
      <c r="C83" s="209" t="str">
        <f>IF('INPUT DATA'!N25="","",'INPUT DATA'!N25)</f>
        <v/>
      </c>
      <c r="D83" s="210"/>
      <c r="E83" s="210"/>
      <c r="F83" s="123"/>
      <c r="G83" s="119"/>
      <c r="H83" s="119"/>
      <c r="I83" s="119"/>
      <c r="J83" s="124"/>
      <c r="K83" s="143" t="str">
        <f t="shared" si="23"/>
        <v/>
      </c>
      <c r="L83" s="143" t="str">
        <f t="shared" si="12"/>
        <v/>
      </c>
      <c r="M83" s="146" t="str">
        <f t="shared" si="13"/>
        <v/>
      </c>
      <c r="N83" s="123"/>
      <c r="O83" s="119"/>
      <c r="P83" s="124"/>
      <c r="Q83" s="143" t="str">
        <f t="shared" si="14"/>
        <v/>
      </c>
      <c r="R83" s="143" t="str">
        <f t="shared" si="15"/>
        <v/>
      </c>
      <c r="S83" s="143" t="str">
        <f t="shared" si="16"/>
        <v/>
      </c>
      <c r="T83" s="123"/>
      <c r="U83" s="119"/>
      <c r="V83" s="124"/>
      <c r="W83" s="143" t="str">
        <f t="shared" si="17"/>
        <v/>
      </c>
      <c r="X83" s="143" t="str">
        <f t="shared" si="18"/>
        <v/>
      </c>
      <c r="Y83" s="143" t="str">
        <f t="shared" si="19"/>
        <v/>
      </c>
      <c r="Z83" s="150" t="str">
        <f t="shared" si="20"/>
        <v/>
      </c>
      <c r="AA83" s="143" t="str">
        <f t="shared" si="21"/>
        <v/>
      </c>
      <c r="AB83" s="152" t="str">
        <f t="shared" si="22"/>
        <v/>
      </c>
      <c r="AC83" s="158" t="str">
        <f>IF(AB83="","",IFERROR(INDEX(HELPER!$D$8:$D$48,IF(AB83&gt;=HELPER!$B$8,1,MATCH(AB83,HELPER!$B$8:$B$48,-1)+1)),""))</f>
        <v/>
      </c>
      <c r="AD83" s="155" t="str">
        <f>IF(AC83="","",IFERROR(VLOOKUP(AC83,HELPER!$F$8:$G$48,2,FALSE),""))</f>
        <v/>
      </c>
      <c r="AE83" s="135"/>
      <c r="AF83" s="90"/>
    </row>
    <row r="84" spans="1:32" ht="15" customHeight="1" x14ac:dyDescent="0.25">
      <c r="A84" s="135"/>
      <c r="B84" s="111">
        <v>16</v>
      </c>
      <c r="C84" s="209" t="str">
        <f>IF('INPUT DATA'!N26="","",'INPUT DATA'!N26)</f>
        <v/>
      </c>
      <c r="D84" s="210"/>
      <c r="E84" s="210"/>
      <c r="F84" s="123"/>
      <c r="G84" s="119"/>
      <c r="H84" s="119"/>
      <c r="I84" s="119"/>
      <c r="J84" s="124"/>
      <c r="K84" s="143" t="str">
        <f t="shared" si="23"/>
        <v/>
      </c>
      <c r="L84" s="143" t="str">
        <f t="shared" si="12"/>
        <v/>
      </c>
      <c r="M84" s="146" t="str">
        <f t="shared" si="13"/>
        <v/>
      </c>
      <c r="N84" s="123"/>
      <c r="O84" s="119"/>
      <c r="P84" s="124"/>
      <c r="Q84" s="143" t="str">
        <f t="shared" si="14"/>
        <v/>
      </c>
      <c r="R84" s="143" t="str">
        <f t="shared" si="15"/>
        <v/>
      </c>
      <c r="S84" s="143" t="str">
        <f t="shared" si="16"/>
        <v/>
      </c>
      <c r="T84" s="123"/>
      <c r="U84" s="119"/>
      <c r="V84" s="124"/>
      <c r="W84" s="143" t="str">
        <f t="shared" si="17"/>
        <v/>
      </c>
      <c r="X84" s="143" t="str">
        <f t="shared" si="18"/>
        <v/>
      </c>
      <c r="Y84" s="143" t="str">
        <f t="shared" si="19"/>
        <v/>
      </c>
      <c r="Z84" s="150" t="str">
        <f t="shared" si="20"/>
        <v/>
      </c>
      <c r="AA84" s="143" t="str">
        <f t="shared" si="21"/>
        <v/>
      </c>
      <c r="AB84" s="152" t="str">
        <f t="shared" si="22"/>
        <v/>
      </c>
      <c r="AC84" s="158" t="str">
        <f>IF(AB84="","",IFERROR(INDEX(HELPER!$D$8:$D$48,IF(AB84&gt;=HELPER!$B$8,1,MATCH(AB84,HELPER!$B$8:$B$48,-1)+1)),""))</f>
        <v/>
      </c>
      <c r="AD84" s="155" t="str">
        <f>IF(AC84="","",IFERROR(VLOOKUP(AC84,HELPER!$F$8:$G$48,2,FALSE),""))</f>
        <v/>
      </c>
      <c r="AE84" s="135"/>
      <c r="AF84" s="90"/>
    </row>
    <row r="85" spans="1:32" ht="15" customHeight="1" x14ac:dyDescent="0.25">
      <c r="A85" s="135"/>
      <c r="B85" s="111">
        <v>17</v>
      </c>
      <c r="C85" s="209" t="str">
        <f>IF('INPUT DATA'!N27="","",'INPUT DATA'!N27)</f>
        <v/>
      </c>
      <c r="D85" s="210"/>
      <c r="E85" s="210"/>
      <c r="F85" s="123"/>
      <c r="G85" s="119"/>
      <c r="H85" s="119"/>
      <c r="I85" s="119"/>
      <c r="J85" s="124"/>
      <c r="K85" s="143" t="str">
        <f t="shared" si="23"/>
        <v/>
      </c>
      <c r="L85" s="143" t="str">
        <f t="shared" si="12"/>
        <v/>
      </c>
      <c r="M85" s="146" t="str">
        <f t="shared" si="13"/>
        <v/>
      </c>
      <c r="N85" s="123"/>
      <c r="O85" s="119"/>
      <c r="P85" s="124"/>
      <c r="Q85" s="143" t="str">
        <f t="shared" si="14"/>
        <v/>
      </c>
      <c r="R85" s="143" t="str">
        <f t="shared" si="15"/>
        <v/>
      </c>
      <c r="S85" s="143" t="str">
        <f t="shared" si="16"/>
        <v/>
      </c>
      <c r="T85" s="123"/>
      <c r="U85" s="119"/>
      <c r="V85" s="124"/>
      <c r="W85" s="143" t="str">
        <f t="shared" si="17"/>
        <v/>
      </c>
      <c r="X85" s="143" t="str">
        <f t="shared" si="18"/>
        <v/>
      </c>
      <c r="Y85" s="143" t="str">
        <f t="shared" si="19"/>
        <v/>
      </c>
      <c r="Z85" s="150" t="str">
        <f t="shared" si="20"/>
        <v/>
      </c>
      <c r="AA85" s="143" t="str">
        <f t="shared" si="21"/>
        <v/>
      </c>
      <c r="AB85" s="152" t="str">
        <f t="shared" si="22"/>
        <v/>
      </c>
      <c r="AC85" s="158" t="str">
        <f>IF(AB85="","",IFERROR(INDEX(HELPER!$D$8:$D$48,IF(AB85&gt;=HELPER!$B$8,1,MATCH(AB85,HELPER!$B$8:$B$48,-1)+1)),""))</f>
        <v/>
      </c>
      <c r="AD85" s="155" t="str">
        <f>IF(AC85="","",IFERROR(VLOOKUP(AC85,HELPER!$F$8:$G$48,2,FALSE),""))</f>
        <v/>
      </c>
      <c r="AE85" s="135"/>
      <c r="AF85" s="90"/>
    </row>
    <row r="86" spans="1:32" ht="15" customHeight="1" x14ac:dyDescent="0.25">
      <c r="A86" s="135"/>
      <c r="B86" s="111">
        <v>18</v>
      </c>
      <c r="C86" s="209" t="str">
        <f>IF('INPUT DATA'!N28="","",'INPUT DATA'!N28)</f>
        <v/>
      </c>
      <c r="D86" s="210"/>
      <c r="E86" s="210"/>
      <c r="F86" s="123"/>
      <c r="G86" s="119"/>
      <c r="H86" s="119"/>
      <c r="I86" s="119"/>
      <c r="J86" s="124"/>
      <c r="K86" s="143" t="str">
        <f t="shared" si="23"/>
        <v/>
      </c>
      <c r="L86" s="143" t="str">
        <f t="shared" si="12"/>
        <v/>
      </c>
      <c r="M86" s="146" t="str">
        <f t="shared" si="13"/>
        <v/>
      </c>
      <c r="N86" s="123"/>
      <c r="O86" s="119"/>
      <c r="P86" s="124"/>
      <c r="Q86" s="143" t="str">
        <f t="shared" si="14"/>
        <v/>
      </c>
      <c r="R86" s="143" t="str">
        <f t="shared" si="15"/>
        <v/>
      </c>
      <c r="S86" s="143" t="str">
        <f t="shared" si="16"/>
        <v/>
      </c>
      <c r="T86" s="123"/>
      <c r="U86" s="119"/>
      <c r="V86" s="124"/>
      <c r="W86" s="143" t="str">
        <f t="shared" si="17"/>
        <v/>
      </c>
      <c r="X86" s="143" t="str">
        <f t="shared" si="18"/>
        <v/>
      </c>
      <c r="Y86" s="143" t="str">
        <f t="shared" si="19"/>
        <v/>
      </c>
      <c r="Z86" s="150" t="str">
        <f t="shared" si="20"/>
        <v/>
      </c>
      <c r="AA86" s="143" t="str">
        <f t="shared" si="21"/>
        <v/>
      </c>
      <c r="AB86" s="152" t="str">
        <f t="shared" si="22"/>
        <v/>
      </c>
      <c r="AC86" s="158" t="str">
        <f>IF(AB86="","",IFERROR(INDEX(HELPER!$D$8:$D$48,IF(AB86&gt;=HELPER!$B$8,1,MATCH(AB86,HELPER!$B$8:$B$48,-1)+1)),""))</f>
        <v/>
      </c>
      <c r="AD86" s="155" t="str">
        <f>IF(AC86="","",IFERROR(VLOOKUP(AC86,HELPER!$F$8:$G$48,2,FALSE),""))</f>
        <v/>
      </c>
      <c r="AE86" s="135"/>
      <c r="AF86" s="90"/>
    </row>
    <row r="87" spans="1:32" ht="15" customHeight="1" x14ac:dyDescent="0.25">
      <c r="A87" s="135"/>
      <c r="B87" s="111">
        <v>19</v>
      </c>
      <c r="C87" s="209" t="str">
        <f>IF('INPUT DATA'!N29="","",'INPUT DATA'!N29)</f>
        <v/>
      </c>
      <c r="D87" s="210"/>
      <c r="E87" s="210"/>
      <c r="F87" s="123"/>
      <c r="G87" s="119"/>
      <c r="H87" s="119"/>
      <c r="I87" s="119"/>
      <c r="J87" s="124"/>
      <c r="K87" s="143" t="str">
        <f t="shared" si="23"/>
        <v/>
      </c>
      <c r="L87" s="143" t="str">
        <f t="shared" si="12"/>
        <v/>
      </c>
      <c r="M87" s="146" t="str">
        <f t="shared" si="13"/>
        <v/>
      </c>
      <c r="N87" s="123"/>
      <c r="O87" s="119"/>
      <c r="P87" s="124"/>
      <c r="Q87" s="143" t="str">
        <f t="shared" si="14"/>
        <v/>
      </c>
      <c r="R87" s="143" t="str">
        <f t="shared" si="15"/>
        <v/>
      </c>
      <c r="S87" s="143" t="str">
        <f t="shared" si="16"/>
        <v/>
      </c>
      <c r="T87" s="123"/>
      <c r="U87" s="119"/>
      <c r="V87" s="124"/>
      <c r="W87" s="143" t="str">
        <f t="shared" si="17"/>
        <v/>
      </c>
      <c r="X87" s="143" t="str">
        <f t="shared" si="18"/>
        <v/>
      </c>
      <c r="Y87" s="143" t="str">
        <f t="shared" si="19"/>
        <v/>
      </c>
      <c r="Z87" s="150" t="str">
        <f t="shared" si="20"/>
        <v/>
      </c>
      <c r="AA87" s="143" t="str">
        <f t="shared" si="21"/>
        <v/>
      </c>
      <c r="AB87" s="152" t="str">
        <f t="shared" si="22"/>
        <v/>
      </c>
      <c r="AC87" s="158" t="str">
        <f>IF(AB87="","",IFERROR(INDEX(HELPER!$D$8:$D$48,IF(AB87&gt;=HELPER!$B$8,1,MATCH(AB87,HELPER!$B$8:$B$48,-1)+1)),""))</f>
        <v/>
      </c>
      <c r="AD87" s="155" t="str">
        <f>IF(AC87="","",IFERROR(VLOOKUP(AC87,HELPER!$F$8:$G$48,2,FALSE),""))</f>
        <v/>
      </c>
      <c r="AE87" s="135"/>
      <c r="AF87" s="90"/>
    </row>
    <row r="88" spans="1:32" ht="15" customHeight="1" x14ac:dyDescent="0.25">
      <c r="A88" s="135"/>
      <c r="B88" s="112">
        <v>20</v>
      </c>
      <c r="C88" s="209" t="str">
        <f>IF('INPUT DATA'!N30="","",'INPUT DATA'!N30)</f>
        <v/>
      </c>
      <c r="D88" s="210"/>
      <c r="E88" s="210"/>
      <c r="F88" s="123"/>
      <c r="G88" s="119"/>
      <c r="H88" s="119"/>
      <c r="I88" s="119"/>
      <c r="J88" s="124"/>
      <c r="K88" s="143" t="str">
        <f t="shared" si="23"/>
        <v/>
      </c>
      <c r="L88" s="143" t="str">
        <f t="shared" si="12"/>
        <v/>
      </c>
      <c r="M88" s="146" t="str">
        <f t="shared" si="13"/>
        <v/>
      </c>
      <c r="N88" s="123"/>
      <c r="O88" s="119"/>
      <c r="P88" s="124"/>
      <c r="Q88" s="143" t="str">
        <f t="shared" si="14"/>
        <v/>
      </c>
      <c r="R88" s="143" t="str">
        <f t="shared" si="15"/>
        <v/>
      </c>
      <c r="S88" s="143" t="str">
        <f t="shared" si="16"/>
        <v/>
      </c>
      <c r="T88" s="123"/>
      <c r="U88" s="119"/>
      <c r="V88" s="124"/>
      <c r="W88" s="143" t="str">
        <f t="shared" si="17"/>
        <v/>
      </c>
      <c r="X88" s="143" t="str">
        <f t="shared" si="18"/>
        <v/>
      </c>
      <c r="Y88" s="143" t="str">
        <f t="shared" si="19"/>
        <v/>
      </c>
      <c r="Z88" s="150" t="str">
        <f t="shared" si="20"/>
        <v/>
      </c>
      <c r="AA88" s="143" t="str">
        <f t="shared" si="21"/>
        <v/>
      </c>
      <c r="AB88" s="152" t="str">
        <f t="shared" si="22"/>
        <v/>
      </c>
      <c r="AC88" s="158" t="str">
        <f>IF(AB88="","",IFERROR(INDEX(HELPER!$D$8:$D$48,IF(AB88&gt;=HELPER!$B$8,1,MATCH(AB88,HELPER!$B$8:$B$48,-1)+1)),""))</f>
        <v/>
      </c>
      <c r="AD88" s="155" t="str">
        <f>IF(AC88="","",IFERROR(VLOOKUP(AC88,HELPER!$F$8:$G$48,2,FALSE),""))</f>
        <v/>
      </c>
      <c r="AE88" s="135"/>
      <c r="AF88" s="90"/>
    </row>
    <row r="89" spans="1:32" ht="15" customHeight="1" x14ac:dyDescent="0.25">
      <c r="A89" s="135"/>
      <c r="B89" s="112">
        <v>21</v>
      </c>
      <c r="C89" s="209" t="str">
        <f>IF('INPUT DATA'!N31="","",'INPUT DATA'!N31)</f>
        <v/>
      </c>
      <c r="D89" s="210"/>
      <c r="E89" s="210"/>
      <c r="F89" s="123"/>
      <c r="G89" s="119"/>
      <c r="H89" s="119"/>
      <c r="I89" s="119"/>
      <c r="J89" s="124"/>
      <c r="K89" s="143" t="str">
        <f t="shared" si="23"/>
        <v/>
      </c>
      <c r="L89" s="143" t="str">
        <f t="shared" si="12"/>
        <v/>
      </c>
      <c r="M89" s="146" t="str">
        <f t="shared" si="13"/>
        <v/>
      </c>
      <c r="N89" s="123"/>
      <c r="O89" s="119"/>
      <c r="P89" s="124"/>
      <c r="Q89" s="143" t="str">
        <f t="shared" si="14"/>
        <v/>
      </c>
      <c r="R89" s="143" t="str">
        <f t="shared" si="15"/>
        <v/>
      </c>
      <c r="S89" s="143" t="str">
        <f t="shared" si="16"/>
        <v/>
      </c>
      <c r="T89" s="123"/>
      <c r="U89" s="119"/>
      <c r="V89" s="124"/>
      <c r="W89" s="143" t="str">
        <f t="shared" si="17"/>
        <v/>
      </c>
      <c r="X89" s="143" t="str">
        <f t="shared" si="18"/>
        <v/>
      </c>
      <c r="Y89" s="143" t="str">
        <f t="shared" si="19"/>
        <v/>
      </c>
      <c r="Z89" s="150" t="str">
        <f t="shared" si="20"/>
        <v/>
      </c>
      <c r="AA89" s="143" t="str">
        <f t="shared" si="21"/>
        <v/>
      </c>
      <c r="AB89" s="152" t="str">
        <f t="shared" si="22"/>
        <v/>
      </c>
      <c r="AC89" s="158" t="str">
        <f>IF(AB89="","",IFERROR(INDEX(HELPER!$D$8:$D$48,IF(AB89&gt;=HELPER!$B$8,1,MATCH(AB89,HELPER!$B$8:$B$48,-1)+1)),""))</f>
        <v/>
      </c>
      <c r="AD89" s="155" t="str">
        <f>IF(AC89="","",IFERROR(VLOOKUP(AC89,HELPER!$F$8:$G$48,2,FALSE),""))</f>
        <v/>
      </c>
      <c r="AE89" s="135"/>
      <c r="AF89" s="90"/>
    </row>
    <row r="90" spans="1:32" ht="15" customHeight="1" x14ac:dyDescent="0.25">
      <c r="A90" s="135"/>
      <c r="B90" s="112">
        <v>22</v>
      </c>
      <c r="C90" s="209" t="str">
        <f>IF('INPUT DATA'!N32="","",'INPUT DATA'!N32)</f>
        <v/>
      </c>
      <c r="D90" s="210"/>
      <c r="E90" s="210"/>
      <c r="F90" s="123"/>
      <c r="G90" s="119"/>
      <c r="H90" s="119"/>
      <c r="I90" s="119"/>
      <c r="J90" s="124"/>
      <c r="K90" s="143" t="str">
        <f t="shared" si="23"/>
        <v/>
      </c>
      <c r="L90" s="143" t="str">
        <f t="shared" si="12"/>
        <v/>
      </c>
      <c r="M90" s="146" t="str">
        <f t="shared" si="13"/>
        <v/>
      </c>
      <c r="N90" s="123"/>
      <c r="O90" s="119"/>
      <c r="P90" s="124"/>
      <c r="Q90" s="143" t="str">
        <f t="shared" si="14"/>
        <v/>
      </c>
      <c r="R90" s="143" t="str">
        <f t="shared" si="15"/>
        <v/>
      </c>
      <c r="S90" s="143" t="str">
        <f t="shared" si="16"/>
        <v/>
      </c>
      <c r="T90" s="123"/>
      <c r="U90" s="119"/>
      <c r="V90" s="124"/>
      <c r="W90" s="143" t="str">
        <f t="shared" si="17"/>
        <v/>
      </c>
      <c r="X90" s="143" t="str">
        <f t="shared" si="18"/>
        <v/>
      </c>
      <c r="Y90" s="143" t="str">
        <f t="shared" si="19"/>
        <v/>
      </c>
      <c r="Z90" s="150" t="str">
        <f t="shared" si="20"/>
        <v/>
      </c>
      <c r="AA90" s="143" t="str">
        <f t="shared" si="21"/>
        <v/>
      </c>
      <c r="AB90" s="152" t="str">
        <f t="shared" si="22"/>
        <v/>
      </c>
      <c r="AC90" s="158" t="str">
        <f>IF(AB90="","",IFERROR(INDEX(HELPER!$D$8:$D$48,IF(AB90&gt;=HELPER!$B$8,1,MATCH(AB90,HELPER!$B$8:$B$48,-1)+1)),""))</f>
        <v/>
      </c>
      <c r="AD90" s="155" t="str">
        <f>IF(AC90="","",IFERROR(VLOOKUP(AC90,HELPER!$F$8:$G$48,2,FALSE),""))</f>
        <v/>
      </c>
      <c r="AE90" s="135"/>
      <c r="AF90" s="90"/>
    </row>
    <row r="91" spans="1:32" ht="15" customHeight="1" x14ac:dyDescent="0.25">
      <c r="A91" s="135"/>
      <c r="B91" s="112">
        <v>23</v>
      </c>
      <c r="C91" s="209" t="str">
        <f>IF('INPUT DATA'!N33="","",'INPUT DATA'!N33)</f>
        <v/>
      </c>
      <c r="D91" s="210"/>
      <c r="E91" s="210"/>
      <c r="F91" s="123"/>
      <c r="G91" s="119"/>
      <c r="H91" s="119"/>
      <c r="I91" s="119"/>
      <c r="J91" s="124"/>
      <c r="K91" s="143" t="str">
        <f t="shared" si="23"/>
        <v/>
      </c>
      <c r="L91" s="143" t="str">
        <f t="shared" si="12"/>
        <v/>
      </c>
      <c r="M91" s="146" t="str">
        <f t="shared" si="13"/>
        <v/>
      </c>
      <c r="N91" s="123"/>
      <c r="O91" s="119"/>
      <c r="P91" s="124"/>
      <c r="Q91" s="143" t="str">
        <f t="shared" si="14"/>
        <v/>
      </c>
      <c r="R91" s="143" t="str">
        <f t="shared" si="15"/>
        <v/>
      </c>
      <c r="S91" s="143" t="str">
        <f t="shared" si="16"/>
        <v/>
      </c>
      <c r="T91" s="123"/>
      <c r="U91" s="119"/>
      <c r="V91" s="124"/>
      <c r="W91" s="143" t="str">
        <f t="shared" si="17"/>
        <v/>
      </c>
      <c r="X91" s="143" t="str">
        <f t="shared" si="18"/>
        <v/>
      </c>
      <c r="Y91" s="143" t="str">
        <f t="shared" si="19"/>
        <v/>
      </c>
      <c r="Z91" s="150" t="str">
        <f t="shared" si="20"/>
        <v/>
      </c>
      <c r="AA91" s="143" t="str">
        <f t="shared" si="21"/>
        <v/>
      </c>
      <c r="AB91" s="152" t="str">
        <f t="shared" si="22"/>
        <v/>
      </c>
      <c r="AC91" s="158" t="str">
        <f>IF(AB91="","",IFERROR(INDEX(HELPER!$D$8:$D$48,IF(AB91&gt;=HELPER!$B$8,1,MATCH(AB91,HELPER!$B$8:$B$48,-1)+1)),""))</f>
        <v/>
      </c>
      <c r="AD91" s="155" t="str">
        <f>IF(AC91="","",IFERROR(VLOOKUP(AC91,HELPER!$F$8:$G$48,2,FALSE),""))</f>
        <v/>
      </c>
      <c r="AE91" s="135"/>
      <c r="AF91" s="90"/>
    </row>
    <row r="92" spans="1:32" ht="15" customHeight="1" x14ac:dyDescent="0.25">
      <c r="A92" s="135"/>
      <c r="B92" s="112">
        <v>24</v>
      </c>
      <c r="C92" s="209" t="str">
        <f>IF('INPUT DATA'!N34="","",'INPUT DATA'!N34)</f>
        <v/>
      </c>
      <c r="D92" s="210"/>
      <c r="E92" s="210"/>
      <c r="F92" s="123"/>
      <c r="G92" s="119"/>
      <c r="H92" s="119"/>
      <c r="I92" s="119"/>
      <c r="J92" s="124"/>
      <c r="K92" s="143" t="str">
        <f t="shared" si="23"/>
        <v/>
      </c>
      <c r="L92" s="143" t="str">
        <f t="shared" si="12"/>
        <v/>
      </c>
      <c r="M92" s="146" t="str">
        <f t="shared" si="13"/>
        <v/>
      </c>
      <c r="N92" s="123"/>
      <c r="O92" s="119"/>
      <c r="P92" s="124"/>
      <c r="Q92" s="143" t="str">
        <f t="shared" si="14"/>
        <v/>
      </c>
      <c r="R92" s="143" t="str">
        <f t="shared" si="15"/>
        <v/>
      </c>
      <c r="S92" s="143" t="str">
        <f t="shared" si="16"/>
        <v/>
      </c>
      <c r="T92" s="123"/>
      <c r="U92" s="119"/>
      <c r="V92" s="124"/>
      <c r="W92" s="143" t="str">
        <f t="shared" si="17"/>
        <v/>
      </c>
      <c r="X92" s="143" t="str">
        <f t="shared" si="18"/>
        <v/>
      </c>
      <c r="Y92" s="143" t="str">
        <f t="shared" si="19"/>
        <v/>
      </c>
      <c r="Z92" s="150" t="str">
        <f t="shared" si="20"/>
        <v/>
      </c>
      <c r="AA92" s="143" t="str">
        <f t="shared" si="21"/>
        <v/>
      </c>
      <c r="AB92" s="152" t="str">
        <f t="shared" si="22"/>
        <v/>
      </c>
      <c r="AC92" s="158" t="str">
        <f>IF(AB92="","",IFERROR(INDEX(HELPER!$D$8:$D$48,IF(AB92&gt;=HELPER!$B$8,1,MATCH(AB92,HELPER!$B$8:$B$48,-1)+1)),""))</f>
        <v/>
      </c>
      <c r="AD92" s="155" t="str">
        <f>IF(AC92="","",IFERROR(VLOOKUP(AC92,HELPER!$F$8:$G$48,2,FALSE),""))</f>
        <v/>
      </c>
      <c r="AE92" s="135"/>
      <c r="AF92" s="90"/>
    </row>
    <row r="93" spans="1:32" ht="15" customHeight="1" x14ac:dyDescent="0.25">
      <c r="A93" s="135"/>
      <c r="B93" s="112">
        <v>25</v>
      </c>
      <c r="C93" s="209" t="str">
        <f>IF('INPUT DATA'!N35="","",'INPUT DATA'!N35)</f>
        <v/>
      </c>
      <c r="D93" s="210"/>
      <c r="E93" s="210"/>
      <c r="F93" s="123"/>
      <c r="G93" s="119"/>
      <c r="H93" s="119"/>
      <c r="I93" s="119"/>
      <c r="J93" s="124"/>
      <c r="K93" s="143" t="str">
        <f t="shared" si="23"/>
        <v/>
      </c>
      <c r="L93" s="143" t="str">
        <f t="shared" si="12"/>
        <v/>
      </c>
      <c r="M93" s="146" t="str">
        <f t="shared" si="13"/>
        <v/>
      </c>
      <c r="N93" s="123"/>
      <c r="O93" s="119"/>
      <c r="P93" s="124"/>
      <c r="Q93" s="143" t="str">
        <f t="shared" si="14"/>
        <v/>
      </c>
      <c r="R93" s="143" t="str">
        <f t="shared" si="15"/>
        <v/>
      </c>
      <c r="S93" s="143" t="str">
        <f t="shared" si="16"/>
        <v/>
      </c>
      <c r="T93" s="123"/>
      <c r="U93" s="119"/>
      <c r="V93" s="124"/>
      <c r="W93" s="143" t="str">
        <f t="shared" si="17"/>
        <v/>
      </c>
      <c r="X93" s="143" t="str">
        <f t="shared" si="18"/>
        <v/>
      </c>
      <c r="Y93" s="143" t="str">
        <f t="shared" si="19"/>
        <v/>
      </c>
      <c r="Z93" s="150" t="str">
        <f t="shared" si="20"/>
        <v/>
      </c>
      <c r="AA93" s="143" t="str">
        <f t="shared" si="21"/>
        <v/>
      </c>
      <c r="AB93" s="152" t="str">
        <f t="shared" si="22"/>
        <v/>
      </c>
      <c r="AC93" s="158" t="str">
        <f>IF(AB93="","",IFERROR(INDEX(HELPER!$D$8:$D$48,IF(AB93&gt;=HELPER!$B$8,1,MATCH(AB93,HELPER!$B$8:$B$48,-1)+1)),""))</f>
        <v/>
      </c>
      <c r="AD93" s="155" t="str">
        <f>IF(AC93="","",IFERROR(VLOOKUP(AC93,HELPER!$F$8:$G$48,2,FALSE),""))</f>
        <v/>
      </c>
      <c r="AE93" s="135"/>
      <c r="AF93" s="90"/>
    </row>
    <row r="94" spans="1:32" ht="15" customHeight="1" x14ac:dyDescent="0.25">
      <c r="A94" s="135"/>
      <c r="B94" s="112">
        <v>26</v>
      </c>
      <c r="C94" s="209" t="str">
        <f>IF('INPUT DATA'!N36="","",'INPUT DATA'!N36)</f>
        <v/>
      </c>
      <c r="D94" s="210"/>
      <c r="E94" s="210"/>
      <c r="F94" s="123"/>
      <c r="G94" s="119"/>
      <c r="H94" s="119"/>
      <c r="I94" s="119"/>
      <c r="J94" s="124"/>
      <c r="K94" s="143" t="str">
        <f t="shared" si="23"/>
        <v/>
      </c>
      <c r="L94" s="143" t="str">
        <f t="shared" si="12"/>
        <v/>
      </c>
      <c r="M94" s="146" t="str">
        <f t="shared" si="13"/>
        <v/>
      </c>
      <c r="N94" s="123"/>
      <c r="O94" s="119"/>
      <c r="P94" s="124"/>
      <c r="Q94" s="143" t="str">
        <f t="shared" si="14"/>
        <v/>
      </c>
      <c r="R94" s="143" t="str">
        <f t="shared" si="15"/>
        <v/>
      </c>
      <c r="S94" s="143" t="str">
        <f t="shared" si="16"/>
        <v/>
      </c>
      <c r="T94" s="123"/>
      <c r="U94" s="119"/>
      <c r="V94" s="124"/>
      <c r="W94" s="143" t="str">
        <f t="shared" si="17"/>
        <v/>
      </c>
      <c r="X94" s="143" t="str">
        <f t="shared" si="18"/>
        <v/>
      </c>
      <c r="Y94" s="143" t="str">
        <f t="shared" si="19"/>
        <v/>
      </c>
      <c r="Z94" s="150" t="str">
        <f t="shared" si="20"/>
        <v/>
      </c>
      <c r="AA94" s="143" t="str">
        <f t="shared" si="21"/>
        <v/>
      </c>
      <c r="AB94" s="152" t="str">
        <f t="shared" si="22"/>
        <v/>
      </c>
      <c r="AC94" s="158" t="str">
        <f>IF(AB94="","",IFERROR(INDEX(HELPER!$D$8:$D$48,IF(AB94&gt;=HELPER!$B$8,1,MATCH(AB94,HELPER!$B$8:$B$48,-1)+1)),""))</f>
        <v/>
      </c>
      <c r="AD94" s="155" t="str">
        <f>IF(AC94="","",IFERROR(VLOOKUP(AC94,HELPER!$F$8:$G$48,2,FALSE),""))</f>
        <v/>
      </c>
      <c r="AE94" s="135"/>
      <c r="AF94" s="90"/>
    </row>
    <row r="95" spans="1:32" ht="15" customHeight="1" x14ac:dyDescent="0.25">
      <c r="A95" s="135"/>
      <c r="B95" s="112">
        <v>27</v>
      </c>
      <c r="C95" s="209" t="str">
        <f>IF('INPUT DATA'!N37="","",'INPUT DATA'!N37)</f>
        <v/>
      </c>
      <c r="D95" s="210"/>
      <c r="E95" s="210"/>
      <c r="F95" s="123"/>
      <c r="G95" s="119"/>
      <c r="H95" s="119"/>
      <c r="I95" s="119"/>
      <c r="J95" s="124"/>
      <c r="K95" s="143" t="str">
        <f t="shared" si="23"/>
        <v/>
      </c>
      <c r="L95" s="143" t="str">
        <f t="shared" si="12"/>
        <v/>
      </c>
      <c r="M95" s="146" t="str">
        <f t="shared" si="13"/>
        <v/>
      </c>
      <c r="N95" s="123"/>
      <c r="O95" s="119"/>
      <c r="P95" s="124"/>
      <c r="Q95" s="143" t="str">
        <f t="shared" si="14"/>
        <v/>
      </c>
      <c r="R95" s="143" t="str">
        <f t="shared" si="15"/>
        <v/>
      </c>
      <c r="S95" s="143" t="str">
        <f t="shared" si="16"/>
        <v/>
      </c>
      <c r="T95" s="123"/>
      <c r="U95" s="119"/>
      <c r="V95" s="124"/>
      <c r="W95" s="143" t="str">
        <f t="shared" si="17"/>
        <v/>
      </c>
      <c r="X95" s="143" t="str">
        <f t="shared" si="18"/>
        <v/>
      </c>
      <c r="Y95" s="143" t="str">
        <f t="shared" si="19"/>
        <v/>
      </c>
      <c r="Z95" s="150" t="str">
        <f t="shared" si="20"/>
        <v/>
      </c>
      <c r="AA95" s="143" t="str">
        <f t="shared" si="21"/>
        <v/>
      </c>
      <c r="AB95" s="152" t="str">
        <f t="shared" si="22"/>
        <v/>
      </c>
      <c r="AC95" s="158" t="str">
        <f>IF(AB95="","",IFERROR(INDEX(HELPER!$D$8:$D$48,IF(AB95&gt;=HELPER!$B$8,1,MATCH(AB95,HELPER!$B$8:$B$48,-1)+1)),""))</f>
        <v/>
      </c>
      <c r="AD95" s="155" t="str">
        <f>IF(AC95="","",IFERROR(VLOOKUP(AC95,HELPER!$F$8:$G$48,2,FALSE),""))</f>
        <v/>
      </c>
      <c r="AE95" s="135"/>
      <c r="AF95" s="90"/>
    </row>
    <row r="96" spans="1:32" ht="15" customHeight="1" x14ac:dyDescent="0.25">
      <c r="A96" s="135"/>
      <c r="B96" s="112">
        <v>28</v>
      </c>
      <c r="C96" s="209" t="str">
        <f>IF('INPUT DATA'!N38="","",'INPUT DATA'!N38)</f>
        <v/>
      </c>
      <c r="D96" s="210"/>
      <c r="E96" s="210"/>
      <c r="F96" s="123"/>
      <c r="G96" s="119"/>
      <c r="H96" s="119"/>
      <c r="I96" s="119"/>
      <c r="J96" s="124"/>
      <c r="K96" s="143" t="str">
        <f t="shared" si="23"/>
        <v/>
      </c>
      <c r="L96" s="143" t="str">
        <f t="shared" si="12"/>
        <v/>
      </c>
      <c r="M96" s="146" t="str">
        <f t="shared" si="13"/>
        <v/>
      </c>
      <c r="N96" s="123"/>
      <c r="O96" s="119"/>
      <c r="P96" s="124"/>
      <c r="Q96" s="143" t="str">
        <f t="shared" si="14"/>
        <v/>
      </c>
      <c r="R96" s="143" t="str">
        <f t="shared" si="15"/>
        <v/>
      </c>
      <c r="S96" s="143" t="str">
        <f t="shared" si="16"/>
        <v/>
      </c>
      <c r="T96" s="123"/>
      <c r="U96" s="119"/>
      <c r="V96" s="124"/>
      <c r="W96" s="143" t="str">
        <f t="shared" si="17"/>
        <v/>
      </c>
      <c r="X96" s="143" t="str">
        <f t="shared" si="18"/>
        <v/>
      </c>
      <c r="Y96" s="143" t="str">
        <f t="shared" si="19"/>
        <v/>
      </c>
      <c r="Z96" s="150" t="str">
        <f t="shared" si="20"/>
        <v/>
      </c>
      <c r="AA96" s="143" t="str">
        <f t="shared" si="21"/>
        <v/>
      </c>
      <c r="AB96" s="152" t="str">
        <f t="shared" si="22"/>
        <v/>
      </c>
      <c r="AC96" s="158" t="str">
        <f>IF(AB96="","",IFERROR(INDEX(HELPER!$D$8:$D$48,IF(AB96&gt;=HELPER!$B$8,1,MATCH(AB96,HELPER!$B$8:$B$48,-1)+1)),""))</f>
        <v/>
      </c>
      <c r="AD96" s="155" t="str">
        <f>IF(AC96="","",IFERROR(VLOOKUP(AC96,HELPER!$F$8:$G$48,2,FALSE),""))</f>
        <v/>
      </c>
      <c r="AE96" s="135"/>
      <c r="AF96" s="90"/>
    </row>
    <row r="97" spans="1:32" ht="15" customHeight="1" x14ac:dyDescent="0.25">
      <c r="A97" s="135"/>
      <c r="B97" s="112">
        <v>29</v>
      </c>
      <c r="C97" s="209" t="str">
        <f>IF('INPUT DATA'!N39="","",'INPUT DATA'!N39)</f>
        <v/>
      </c>
      <c r="D97" s="210"/>
      <c r="E97" s="210"/>
      <c r="F97" s="123"/>
      <c r="G97" s="119"/>
      <c r="H97" s="119"/>
      <c r="I97" s="119"/>
      <c r="J97" s="124"/>
      <c r="K97" s="143" t="str">
        <f t="shared" si="23"/>
        <v/>
      </c>
      <c r="L97" s="143" t="str">
        <f t="shared" si="12"/>
        <v/>
      </c>
      <c r="M97" s="146" t="str">
        <f t="shared" si="13"/>
        <v/>
      </c>
      <c r="N97" s="123"/>
      <c r="O97" s="119"/>
      <c r="P97" s="124"/>
      <c r="Q97" s="143" t="str">
        <f t="shared" si="14"/>
        <v/>
      </c>
      <c r="R97" s="143" t="str">
        <f t="shared" si="15"/>
        <v/>
      </c>
      <c r="S97" s="143" t="str">
        <f t="shared" si="16"/>
        <v/>
      </c>
      <c r="T97" s="123"/>
      <c r="U97" s="119"/>
      <c r="V97" s="124"/>
      <c r="W97" s="143" t="str">
        <f t="shared" si="17"/>
        <v/>
      </c>
      <c r="X97" s="143" t="str">
        <f t="shared" si="18"/>
        <v/>
      </c>
      <c r="Y97" s="143" t="str">
        <f t="shared" si="19"/>
        <v/>
      </c>
      <c r="Z97" s="150" t="str">
        <f t="shared" si="20"/>
        <v/>
      </c>
      <c r="AA97" s="143" t="str">
        <f t="shared" si="21"/>
        <v/>
      </c>
      <c r="AB97" s="152" t="str">
        <f t="shared" si="22"/>
        <v/>
      </c>
      <c r="AC97" s="158" t="str">
        <f>IF(AB97="","",IFERROR(INDEX(HELPER!$D$8:$D$48,IF(AB97&gt;=HELPER!$B$8,1,MATCH(AB97,HELPER!$B$8:$B$48,-1)+1)),""))</f>
        <v/>
      </c>
      <c r="AD97" s="155" t="str">
        <f>IF(AC97="","",IFERROR(VLOOKUP(AC97,HELPER!$F$8:$G$48,2,FALSE),""))</f>
        <v/>
      </c>
      <c r="AE97" s="135"/>
      <c r="AF97" s="90"/>
    </row>
    <row r="98" spans="1:32" ht="15" customHeight="1" x14ac:dyDescent="0.25">
      <c r="A98" s="135"/>
      <c r="B98" s="112">
        <v>30</v>
      </c>
      <c r="C98" s="209" t="str">
        <f>IF('INPUT DATA'!N40="","",'INPUT DATA'!N40)</f>
        <v/>
      </c>
      <c r="D98" s="210"/>
      <c r="E98" s="210"/>
      <c r="F98" s="123"/>
      <c r="G98" s="119"/>
      <c r="H98" s="119"/>
      <c r="I98" s="119"/>
      <c r="J98" s="124"/>
      <c r="K98" s="143" t="str">
        <f t="shared" si="23"/>
        <v/>
      </c>
      <c r="L98" s="143" t="str">
        <f t="shared" si="12"/>
        <v/>
      </c>
      <c r="M98" s="146" t="str">
        <f t="shared" si="13"/>
        <v/>
      </c>
      <c r="N98" s="123"/>
      <c r="O98" s="119"/>
      <c r="P98" s="124"/>
      <c r="Q98" s="143" t="str">
        <f t="shared" si="14"/>
        <v/>
      </c>
      <c r="R98" s="143" t="str">
        <f t="shared" si="15"/>
        <v/>
      </c>
      <c r="S98" s="143" t="str">
        <f t="shared" si="16"/>
        <v/>
      </c>
      <c r="T98" s="123"/>
      <c r="U98" s="119"/>
      <c r="V98" s="124"/>
      <c r="W98" s="143" t="str">
        <f t="shared" si="17"/>
        <v/>
      </c>
      <c r="X98" s="143" t="str">
        <f t="shared" si="18"/>
        <v/>
      </c>
      <c r="Y98" s="143" t="str">
        <f t="shared" si="19"/>
        <v/>
      </c>
      <c r="Z98" s="150" t="str">
        <f t="shared" si="20"/>
        <v/>
      </c>
      <c r="AA98" s="143" t="str">
        <f t="shared" si="21"/>
        <v/>
      </c>
      <c r="AB98" s="152" t="str">
        <f t="shared" si="22"/>
        <v/>
      </c>
      <c r="AC98" s="158" t="str">
        <f>IF(AB98="","",IFERROR(INDEX(HELPER!$D$8:$D$48,IF(AB98&gt;=HELPER!$B$8,1,MATCH(AB98,HELPER!$B$8:$B$48,-1)+1)),""))</f>
        <v/>
      </c>
      <c r="AD98" s="155" t="str">
        <f>IF(AC98="","",IFERROR(VLOOKUP(AC98,HELPER!$F$8:$G$48,2,FALSE),""))</f>
        <v/>
      </c>
      <c r="AE98" s="135"/>
      <c r="AF98" s="90"/>
    </row>
    <row r="99" spans="1:32" ht="15" customHeight="1" x14ac:dyDescent="0.25">
      <c r="A99" s="135"/>
      <c r="B99" s="112">
        <v>31</v>
      </c>
      <c r="C99" s="209" t="str">
        <f>IF('INPUT DATA'!N41="","",'INPUT DATA'!N41)</f>
        <v/>
      </c>
      <c r="D99" s="210"/>
      <c r="E99" s="210"/>
      <c r="F99" s="123"/>
      <c r="G99" s="119"/>
      <c r="H99" s="119"/>
      <c r="I99" s="119"/>
      <c r="J99" s="124"/>
      <c r="K99" s="143" t="str">
        <f t="shared" si="23"/>
        <v/>
      </c>
      <c r="L99" s="143" t="str">
        <f t="shared" si="12"/>
        <v/>
      </c>
      <c r="M99" s="146" t="str">
        <f t="shared" si="13"/>
        <v/>
      </c>
      <c r="N99" s="123"/>
      <c r="O99" s="119"/>
      <c r="P99" s="124"/>
      <c r="Q99" s="143" t="str">
        <f t="shared" si="14"/>
        <v/>
      </c>
      <c r="R99" s="143" t="str">
        <f t="shared" si="15"/>
        <v/>
      </c>
      <c r="S99" s="143" t="str">
        <f t="shared" si="16"/>
        <v/>
      </c>
      <c r="T99" s="123"/>
      <c r="U99" s="119"/>
      <c r="V99" s="124"/>
      <c r="W99" s="143" t="str">
        <f t="shared" si="17"/>
        <v/>
      </c>
      <c r="X99" s="143" t="str">
        <f t="shared" si="18"/>
        <v/>
      </c>
      <c r="Y99" s="143" t="str">
        <f t="shared" si="19"/>
        <v/>
      </c>
      <c r="Z99" s="150" t="str">
        <f t="shared" si="20"/>
        <v/>
      </c>
      <c r="AA99" s="143" t="str">
        <f t="shared" si="21"/>
        <v/>
      </c>
      <c r="AB99" s="152" t="str">
        <f t="shared" si="22"/>
        <v/>
      </c>
      <c r="AC99" s="158" t="str">
        <f>IF(AB99="","",IFERROR(INDEX(HELPER!$D$8:$D$48,IF(AB99&gt;=HELPER!$B$8,1,MATCH(AB99,HELPER!$B$8:$B$48,-1)+1)),""))</f>
        <v/>
      </c>
      <c r="AD99" s="155" t="str">
        <f>IF(AC99="","",IFERROR(VLOOKUP(AC99,HELPER!$F$8:$G$48,2,FALSE),""))</f>
        <v/>
      </c>
      <c r="AE99" s="135"/>
      <c r="AF99" s="90"/>
    </row>
    <row r="100" spans="1:32" ht="15" customHeight="1" x14ac:dyDescent="0.25">
      <c r="A100" s="135"/>
      <c r="B100" s="112">
        <v>32</v>
      </c>
      <c r="C100" s="209" t="str">
        <f>IF('INPUT DATA'!N42="","",'INPUT DATA'!N42)</f>
        <v/>
      </c>
      <c r="D100" s="210"/>
      <c r="E100" s="210"/>
      <c r="F100" s="123"/>
      <c r="G100" s="119"/>
      <c r="H100" s="119"/>
      <c r="I100" s="119"/>
      <c r="J100" s="124"/>
      <c r="K100" s="143" t="str">
        <f t="shared" si="23"/>
        <v/>
      </c>
      <c r="L100" s="143" t="str">
        <f t="shared" si="12"/>
        <v/>
      </c>
      <c r="M100" s="146" t="str">
        <f t="shared" si="13"/>
        <v/>
      </c>
      <c r="N100" s="123"/>
      <c r="O100" s="119"/>
      <c r="P100" s="124"/>
      <c r="Q100" s="143" t="str">
        <f t="shared" si="14"/>
        <v/>
      </c>
      <c r="R100" s="143" t="str">
        <f t="shared" si="15"/>
        <v/>
      </c>
      <c r="S100" s="143" t="str">
        <f t="shared" si="16"/>
        <v/>
      </c>
      <c r="T100" s="123"/>
      <c r="U100" s="119"/>
      <c r="V100" s="124"/>
      <c r="W100" s="143" t="str">
        <f t="shared" si="17"/>
        <v/>
      </c>
      <c r="X100" s="143" t="str">
        <f t="shared" si="18"/>
        <v/>
      </c>
      <c r="Y100" s="143" t="str">
        <f t="shared" si="19"/>
        <v/>
      </c>
      <c r="Z100" s="150" t="str">
        <f t="shared" si="20"/>
        <v/>
      </c>
      <c r="AA100" s="143" t="str">
        <f t="shared" si="21"/>
        <v/>
      </c>
      <c r="AB100" s="152" t="str">
        <f t="shared" si="22"/>
        <v/>
      </c>
      <c r="AC100" s="158" t="str">
        <f>IF(AB100="","",IFERROR(INDEX(HELPER!$D$8:$D$48,IF(AB100&gt;=HELPER!$B$8,1,MATCH(AB100,HELPER!$B$8:$B$48,-1)+1)),""))</f>
        <v/>
      </c>
      <c r="AD100" s="155" t="str">
        <f>IF(AC100="","",IFERROR(VLOOKUP(AC100,HELPER!$F$8:$G$48,2,FALSE),""))</f>
        <v/>
      </c>
      <c r="AE100" s="135"/>
      <c r="AF100" s="90"/>
    </row>
    <row r="101" spans="1:32" ht="15" customHeight="1" x14ac:dyDescent="0.25">
      <c r="A101" s="135"/>
      <c r="B101" s="112">
        <v>33</v>
      </c>
      <c r="C101" s="209" t="str">
        <f>IF('INPUT DATA'!N43="","",'INPUT DATA'!N43)</f>
        <v/>
      </c>
      <c r="D101" s="210"/>
      <c r="E101" s="210"/>
      <c r="F101" s="123"/>
      <c r="G101" s="119"/>
      <c r="H101" s="119"/>
      <c r="I101" s="119"/>
      <c r="J101" s="124"/>
      <c r="K101" s="143" t="str">
        <f t="shared" si="23"/>
        <v/>
      </c>
      <c r="L101" s="143" t="str">
        <f t="shared" si="12"/>
        <v/>
      </c>
      <c r="M101" s="146" t="str">
        <f t="shared" si="13"/>
        <v/>
      </c>
      <c r="N101" s="123"/>
      <c r="O101" s="119"/>
      <c r="P101" s="124"/>
      <c r="Q101" s="143" t="str">
        <f t="shared" si="14"/>
        <v/>
      </c>
      <c r="R101" s="143" t="str">
        <f t="shared" si="15"/>
        <v/>
      </c>
      <c r="S101" s="143" t="str">
        <f t="shared" si="16"/>
        <v/>
      </c>
      <c r="T101" s="123"/>
      <c r="U101" s="119"/>
      <c r="V101" s="124"/>
      <c r="W101" s="143" t="str">
        <f t="shared" si="17"/>
        <v/>
      </c>
      <c r="X101" s="143" t="str">
        <f t="shared" si="18"/>
        <v/>
      </c>
      <c r="Y101" s="143" t="str">
        <f t="shared" si="19"/>
        <v/>
      </c>
      <c r="Z101" s="150" t="str">
        <f t="shared" si="20"/>
        <v/>
      </c>
      <c r="AA101" s="143" t="str">
        <f t="shared" si="21"/>
        <v/>
      </c>
      <c r="AB101" s="152" t="str">
        <f t="shared" si="22"/>
        <v/>
      </c>
      <c r="AC101" s="158" t="str">
        <f>IF(AB101="","",IFERROR(INDEX(HELPER!$D$8:$D$48,IF(AB101&gt;=HELPER!$B$8,1,MATCH(AB101,HELPER!$B$8:$B$48,-1)+1)),""))</f>
        <v/>
      </c>
      <c r="AD101" s="155" t="str">
        <f>IF(AC101="","",IFERROR(VLOOKUP(AC101,HELPER!$F$8:$G$48,2,FALSE),""))</f>
        <v/>
      </c>
      <c r="AE101" s="135"/>
      <c r="AF101" s="90"/>
    </row>
    <row r="102" spans="1:32" ht="15" customHeight="1" x14ac:dyDescent="0.25">
      <c r="A102" s="135"/>
      <c r="B102" s="112">
        <v>34</v>
      </c>
      <c r="C102" s="209" t="str">
        <f>IF('INPUT DATA'!N44="","",'INPUT DATA'!N44)</f>
        <v/>
      </c>
      <c r="D102" s="210"/>
      <c r="E102" s="210"/>
      <c r="F102" s="123"/>
      <c r="G102" s="119"/>
      <c r="H102" s="119"/>
      <c r="I102" s="119"/>
      <c r="J102" s="124"/>
      <c r="K102" s="143" t="str">
        <f t="shared" si="23"/>
        <v/>
      </c>
      <c r="L102" s="143" t="str">
        <f t="shared" si="12"/>
        <v/>
      </c>
      <c r="M102" s="146" t="str">
        <f t="shared" si="13"/>
        <v/>
      </c>
      <c r="N102" s="123"/>
      <c r="O102" s="119"/>
      <c r="P102" s="124"/>
      <c r="Q102" s="143" t="str">
        <f t="shared" si="14"/>
        <v/>
      </c>
      <c r="R102" s="143" t="str">
        <f t="shared" si="15"/>
        <v/>
      </c>
      <c r="S102" s="143" t="str">
        <f t="shared" si="16"/>
        <v/>
      </c>
      <c r="T102" s="123"/>
      <c r="U102" s="119"/>
      <c r="V102" s="124"/>
      <c r="W102" s="143" t="str">
        <f t="shared" si="17"/>
        <v/>
      </c>
      <c r="X102" s="143" t="str">
        <f t="shared" si="18"/>
        <v/>
      </c>
      <c r="Y102" s="143" t="str">
        <f t="shared" si="19"/>
        <v/>
      </c>
      <c r="Z102" s="150" t="str">
        <f t="shared" si="20"/>
        <v/>
      </c>
      <c r="AA102" s="143" t="str">
        <f t="shared" si="21"/>
        <v/>
      </c>
      <c r="AB102" s="152" t="str">
        <f t="shared" si="22"/>
        <v/>
      </c>
      <c r="AC102" s="158" t="str">
        <f>IF(AB102="","",IFERROR(INDEX(HELPER!$D$8:$D$48,IF(AB102&gt;=HELPER!$B$8,1,MATCH(AB102,HELPER!$B$8:$B$48,-1)+1)),""))</f>
        <v/>
      </c>
      <c r="AD102" s="155" t="str">
        <f>IF(AC102="","",IFERROR(VLOOKUP(AC102,HELPER!$F$8:$G$48,2,FALSE),""))</f>
        <v/>
      </c>
      <c r="AE102" s="135"/>
      <c r="AF102" s="90"/>
    </row>
    <row r="103" spans="1:32" ht="15" customHeight="1" x14ac:dyDescent="0.25">
      <c r="A103" s="135"/>
      <c r="B103" s="112">
        <v>35</v>
      </c>
      <c r="C103" s="209" t="str">
        <f>IF('INPUT DATA'!N45="","",'INPUT DATA'!N45)</f>
        <v/>
      </c>
      <c r="D103" s="210"/>
      <c r="E103" s="210"/>
      <c r="F103" s="123"/>
      <c r="G103" s="119"/>
      <c r="H103" s="119"/>
      <c r="I103" s="119"/>
      <c r="J103" s="124"/>
      <c r="K103" s="143" t="str">
        <f t="shared" si="23"/>
        <v/>
      </c>
      <c r="L103" s="143" t="str">
        <f t="shared" si="12"/>
        <v/>
      </c>
      <c r="M103" s="146" t="str">
        <f t="shared" si="13"/>
        <v/>
      </c>
      <c r="N103" s="123"/>
      <c r="O103" s="119"/>
      <c r="P103" s="124"/>
      <c r="Q103" s="143" t="str">
        <f t="shared" si="14"/>
        <v/>
      </c>
      <c r="R103" s="143" t="str">
        <f t="shared" si="15"/>
        <v/>
      </c>
      <c r="S103" s="143" t="str">
        <f t="shared" si="16"/>
        <v/>
      </c>
      <c r="T103" s="123"/>
      <c r="U103" s="119"/>
      <c r="V103" s="124"/>
      <c r="W103" s="143" t="str">
        <f t="shared" si="17"/>
        <v/>
      </c>
      <c r="X103" s="143" t="str">
        <f t="shared" si="18"/>
        <v/>
      </c>
      <c r="Y103" s="143" t="str">
        <f t="shared" si="19"/>
        <v/>
      </c>
      <c r="Z103" s="150" t="str">
        <f t="shared" si="20"/>
        <v/>
      </c>
      <c r="AA103" s="143" t="str">
        <f t="shared" si="21"/>
        <v/>
      </c>
      <c r="AB103" s="152" t="str">
        <f t="shared" si="22"/>
        <v/>
      </c>
      <c r="AC103" s="158" t="str">
        <f>IF(AB103="","",IFERROR(INDEX(HELPER!$D$8:$D$48,IF(AB103&gt;=HELPER!$B$8,1,MATCH(AB103,HELPER!$B$8:$B$48,-1)+1)),""))</f>
        <v/>
      </c>
      <c r="AD103" s="155" t="str">
        <f>IF(AC103="","",IFERROR(VLOOKUP(AC103,HELPER!$F$8:$G$48,2,FALSE),""))</f>
        <v/>
      </c>
      <c r="AE103" s="135"/>
      <c r="AF103" s="90"/>
    </row>
    <row r="104" spans="1:32" ht="15" customHeight="1" x14ac:dyDescent="0.25">
      <c r="A104" s="135"/>
      <c r="B104" s="112">
        <v>36</v>
      </c>
      <c r="C104" s="209" t="str">
        <f>IF('INPUT DATA'!N46="","",'INPUT DATA'!N46)</f>
        <v/>
      </c>
      <c r="D104" s="210"/>
      <c r="E104" s="210"/>
      <c r="F104" s="123"/>
      <c r="G104" s="119"/>
      <c r="H104" s="119"/>
      <c r="I104" s="119"/>
      <c r="J104" s="124"/>
      <c r="K104" s="143" t="str">
        <f t="shared" si="23"/>
        <v/>
      </c>
      <c r="L104" s="143" t="str">
        <f t="shared" si="12"/>
        <v/>
      </c>
      <c r="M104" s="146" t="str">
        <f t="shared" si="13"/>
        <v/>
      </c>
      <c r="N104" s="123"/>
      <c r="O104" s="119"/>
      <c r="P104" s="124"/>
      <c r="Q104" s="143" t="str">
        <f t="shared" si="14"/>
        <v/>
      </c>
      <c r="R104" s="143" t="str">
        <f t="shared" si="15"/>
        <v/>
      </c>
      <c r="S104" s="143" t="str">
        <f t="shared" si="16"/>
        <v/>
      </c>
      <c r="T104" s="123"/>
      <c r="U104" s="119"/>
      <c r="V104" s="124"/>
      <c r="W104" s="143" t="str">
        <f t="shared" si="17"/>
        <v/>
      </c>
      <c r="X104" s="143" t="str">
        <f t="shared" si="18"/>
        <v/>
      </c>
      <c r="Y104" s="143" t="str">
        <f t="shared" si="19"/>
        <v/>
      </c>
      <c r="Z104" s="150" t="str">
        <f t="shared" si="20"/>
        <v/>
      </c>
      <c r="AA104" s="143" t="str">
        <f t="shared" si="21"/>
        <v/>
      </c>
      <c r="AB104" s="152" t="str">
        <f t="shared" si="22"/>
        <v/>
      </c>
      <c r="AC104" s="158" t="str">
        <f>IF(AB104="","",IFERROR(INDEX(HELPER!$D$8:$D$48,IF(AB104&gt;=HELPER!$B$8,1,MATCH(AB104,HELPER!$B$8:$B$48,-1)+1)),""))</f>
        <v/>
      </c>
      <c r="AD104" s="155" t="str">
        <f>IF(AC104="","",IFERROR(VLOOKUP(AC104,HELPER!$F$8:$G$48,2,FALSE),""))</f>
        <v/>
      </c>
      <c r="AE104" s="135"/>
      <c r="AF104" s="90"/>
    </row>
    <row r="105" spans="1:32" ht="15" customHeight="1" x14ac:dyDescent="0.25">
      <c r="A105" s="135"/>
      <c r="B105" s="112">
        <v>37</v>
      </c>
      <c r="C105" s="209" t="str">
        <f>IF('INPUT DATA'!N47="","",'INPUT DATA'!N47)</f>
        <v/>
      </c>
      <c r="D105" s="210"/>
      <c r="E105" s="210"/>
      <c r="F105" s="123"/>
      <c r="G105" s="119"/>
      <c r="H105" s="119"/>
      <c r="I105" s="119"/>
      <c r="J105" s="124"/>
      <c r="K105" s="143" t="str">
        <f t="shared" si="23"/>
        <v/>
      </c>
      <c r="L105" s="143" t="str">
        <f t="shared" si="12"/>
        <v/>
      </c>
      <c r="M105" s="146" t="str">
        <f t="shared" si="13"/>
        <v/>
      </c>
      <c r="N105" s="123"/>
      <c r="O105" s="119"/>
      <c r="P105" s="124"/>
      <c r="Q105" s="143" t="str">
        <f t="shared" si="14"/>
        <v/>
      </c>
      <c r="R105" s="143" t="str">
        <f t="shared" si="15"/>
        <v/>
      </c>
      <c r="S105" s="143" t="str">
        <f t="shared" si="16"/>
        <v/>
      </c>
      <c r="T105" s="123"/>
      <c r="U105" s="119"/>
      <c r="V105" s="124"/>
      <c r="W105" s="143" t="str">
        <f t="shared" si="17"/>
        <v/>
      </c>
      <c r="X105" s="143" t="str">
        <f t="shared" si="18"/>
        <v/>
      </c>
      <c r="Y105" s="143" t="str">
        <f t="shared" si="19"/>
        <v/>
      </c>
      <c r="Z105" s="150" t="str">
        <f t="shared" si="20"/>
        <v/>
      </c>
      <c r="AA105" s="143" t="str">
        <f t="shared" si="21"/>
        <v/>
      </c>
      <c r="AB105" s="152" t="str">
        <f t="shared" si="22"/>
        <v/>
      </c>
      <c r="AC105" s="158" t="str">
        <f>IF(AB105="","",IFERROR(INDEX(HELPER!$D$8:$D$48,IF(AB105&gt;=HELPER!$B$8,1,MATCH(AB105,HELPER!$B$8:$B$48,-1)+1)),""))</f>
        <v/>
      </c>
      <c r="AD105" s="155" t="str">
        <f>IF(AC105="","",IFERROR(VLOOKUP(AC105,HELPER!$F$8:$G$48,2,FALSE),""))</f>
        <v/>
      </c>
      <c r="AE105" s="135"/>
      <c r="AF105" s="90"/>
    </row>
    <row r="106" spans="1:32" ht="15" customHeight="1" x14ac:dyDescent="0.25">
      <c r="A106" s="135"/>
      <c r="B106" s="112">
        <v>38</v>
      </c>
      <c r="C106" s="209" t="str">
        <f>IF('INPUT DATA'!N48="","",'INPUT DATA'!N48)</f>
        <v/>
      </c>
      <c r="D106" s="210"/>
      <c r="E106" s="210"/>
      <c r="F106" s="123"/>
      <c r="G106" s="119"/>
      <c r="H106" s="119"/>
      <c r="I106" s="119"/>
      <c r="J106" s="124"/>
      <c r="K106" s="143" t="str">
        <f t="shared" si="23"/>
        <v/>
      </c>
      <c r="L106" s="143" t="str">
        <f t="shared" si="12"/>
        <v/>
      </c>
      <c r="M106" s="146" t="str">
        <f t="shared" si="13"/>
        <v/>
      </c>
      <c r="N106" s="123"/>
      <c r="O106" s="119"/>
      <c r="P106" s="124"/>
      <c r="Q106" s="143" t="str">
        <f t="shared" si="14"/>
        <v/>
      </c>
      <c r="R106" s="143" t="str">
        <f t="shared" si="15"/>
        <v/>
      </c>
      <c r="S106" s="143" t="str">
        <f t="shared" si="16"/>
        <v/>
      </c>
      <c r="T106" s="123"/>
      <c r="U106" s="119"/>
      <c r="V106" s="124"/>
      <c r="W106" s="143" t="str">
        <f t="shared" si="17"/>
        <v/>
      </c>
      <c r="X106" s="143" t="str">
        <f t="shared" si="18"/>
        <v/>
      </c>
      <c r="Y106" s="143" t="str">
        <f t="shared" si="19"/>
        <v/>
      </c>
      <c r="Z106" s="150" t="str">
        <f t="shared" si="20"/>
        <v/>
      </c>
      <c r="AA106" s="143" t="str">
        <f t="shared" si="21"/>
        <v/>
      </c>
      <c r="AB106" s="152" t="str">
        <f t="shared" si="22"/>
        <v/>
      </c>
      <c r="AC106" s="158" t="str">
        <f>IF(AB106="","",IFERROR(INDEX(HELPER!$D$8:$D$48,IF(AB106&gt;=HELPER!$B$8,1,MATCH(AB106,HELPER!$B$8:$B$48,-1)+1)),""))</f>
        <v/>
      </c>
      <c r="AD106" s="155" t="str">
        <f>IF(AC106="","",IFERROR(VLOOKUP(AC106,HELPER!$F$8:$G$48,2,FALSE),""))</f>
        <v/>
      </c>
      <c r="AE106" s="135"/>
      <c r="AF106" s="90"/>
    </row>
    <row r="107" spans="1:32" ht="15" customHeight="1" x14ac:dyDescent="0.25">
      <c r="A107" s="135"/>
      <c r="B107" s="112">
        <v>39</v>
      </c>
      <c r="C107" s="209" t="str">
        <f>IF('INPUT DATA'!N49="","",'INPUT DATA'!N49)</f>
        <v/>
      </c>
      <c r="D107" s="210"/>
      <c r="E107" s="210"/>
      <c r="F107" s="123"/>
      <c r="G107" s="119"/>
      <c r="H107" s="119"/>
      <c r="I107" s="119"/>
      <c r="J107" s="124"/>
      <c r="K107" s="143" t="str">
        <f t="shared" si="23"/>
        <v/>
      </c>
      <c r="L107" s="143" t="str">
        <f t="shared" si="12"/>
        <v/>
      </c>
      <c r="M107" s="146" t="str">
        <f t="shared" si="13"/>
        <v/>
      </c>
      <c r="N107" s="123"/>
      <c r="O107" s="119"/>
      <c r="P107" s="124"/>
      <c r="Q107" s="143" t="str">
        <f t="shared" si="14"/>
        <v/>
      </c>
      <c r="R107" s="143" t="str">
        <f t="shared" si="15"/>
        <v/>
      </c>
      <c r="S107" s="143" t="str">
        <f t="shared" si="16"/>
        <v/>
      </c>
      <c r="T107" s="123"/>
      <c r="U107" s="119"/>
      <c r="V107" s="124"/>
      <c r="W107" s="143" t="str">
        <f t="shared" si="17"/>
        <v/>
      </c>
      <c r="X107" s="143" t="str">
        <f t="shared" si="18"/>
        <v/>
      </c>
      <c r="Y107" s="143" t="str">
        <f t="shared" si="19"/>
        <v/>
      </c>
      <c r="Z107" s="150" t="str">
        <f t="shared" si="20"/>
        <v/>
      </c>
      <c r="AA107" s="143" t="str">
        <f t="shared" si="21"/>
        <v/>
      </c>
      <c r="AB107" s="152" t="str">
        <f t="shared" si="22"/>
        <v/>
      </c>
      <c r="AC107" s="158" t="str">
        <f>IF(AB107="","",IFERROR(INDEX(HELPER!$D$8:$D$48,IF(AB107&gt;=HELPER!$B$8,1,MATCH(AB107,HELPER!$B$8:$B$48,-1)+1)),""))</f>
        <v/>
      </c>
      <c r="AD107" s="155" t="str">
        <f>IF(AC107="","",IFERROR(VLOOKUP(AC107,HELPER!$F$8:$G$48,2,FALSE),""))</f>
        <v/>
      </c>
      <c r="AE107" s="135"/>
      <c r="AF107" s="90"/>
    </row>
    <row r="108" spans="1:32" ht="15" customHeight="1" x14ac:dyDescent="0.25">
      <c r="A108" s="135"/>
      <c r="B108" s="112">
        <v>40</v>
      </c>
      <c r="C108" s="209" t="str">
        <f>IF('INPUT DATA'!N50="","",'INPUT DATA'!N50)</f>
        <v/>
      </c>
      <c r="D108" s="210"/>
      <c r="E108" s="210"/>
      <c r="F108" s="123"/>
      <c r="G108" s="119"/>
      <c r="H108" s="119"/>
      <c r="I108" s="119"/>
      <c r="J108" s="124"/>
      <c r="K108" s="143" t="str">
        <f t="shared" si="23"/>
        <v/>
      </c>
      <c r="L108" s="143" t="str">
        <f t="shared" si="12"/>
        <v/>
      </c>
      <c r="M108" s="146" t="str">
        <f t="shared" si="13"/>
        <v/>
      </c>
      <c r="N108" s="123"/>
      <c r="O108" s="119"/>
      <c r="P108" s="124"/>
      <c r="Q108" s="143" t="str">
        <f t="shared" si="14"/>
        <v/>
      </c>
      <c r="R108" s="143" t="str">
        <f t="shared" si="15"/>
        <v/>
      </c>
      <c r="S108" s="143" t="str">
        <f t="shared" si="16"/>
        <v/>
      </c>
      <c r="T108" s="123"/>
      <c r="U108" s="119"/>
      <c r="V108" s="124"/>
      <c r="W108" s="143" t="str">
        <f t="shared" si="17"/>
        <v/>
      </c>
      <c r="X108" s="143" t="str">
        <f t="shared" si="18"/>
        <v/>
      </c>
      <c r="Y108" s="143" t="str">
        <f t="shared" si="19"/>
        <v/>
      </c>
      <c r="Z108" s="150" t="str">
        <f t="shared" si="20"/>
        <v/>
      </c>
      <c r="AA108" s="143" t="str">
        <f t="shared" si="21"/>
        <v/>
      </c>
      <c r="AB108" s="152" t="str">
        <f t="shared" si="22"/>
        <v/>
      </c>
      <c r="AC108" s="158" t="str">
        <f>IF(AB108="","",IFERROR(INDEX(HELPER!$D$8:$D$48,IF(AB108&gt;=HELPER!$B$8,1,MATCH(AB108,HELPER!$B$8:$B$48,-1)+1)),""))</f>
        <v/>
      </c>
      <c r="AD108" s="155" t="str">
        <f>IF(AC108="","",IFERROR(VLOOKUP(AC108,HELPER!$F$8:$G$48,2,FALSE),""))</f>
        <v/>
      </c>
      <c r="AE108" s="135"/>
      <c r="AF108" s="90"/>
    </row>
    <row r="109" spans="1:32" ht="15" customHeight="1" x14ac:dyDescent="0.25">
      <c r="A109" s="135"/>
      <c r="B109" s="112">
        <v>41</v>
      </c>
      <c r="C109" s="209" t="str">
        <f>IF('INPUT DATA'!N51="","",'INPUT DATA'!N51)</f>
        <v/>
      </c>
      <c r="D109" s="210"/>
      <c r="E109" s="210"/>
      <c r="F109" s="123"/>
      <c r="G109" s="119"/>
      <c r="H109" s="119"/>
      <c r="I109" s="119"/>
      <c r="J109" s="124"/>
      <c r="K109" s="143" t="str">
        <f t="shared" si="23"/>
        <v/>
      </c>
      <c r="L109" s="143" t="str">
        <f t="shared" si="12"/>
        <v/>
      </c>
      <c r="M109" s="146" t="str">
        <f t="shared" si="13"/>
        <v/>
      </c>
      <c r="N109" s="123"/>
      <c r="O109" s="119"/>
      <c r="P109" s="124"/>
      <c r="Q109" s="143" t="str">
        <f t="shared" si="14"/>
        <v/>
      </c>
      <c r="R109" s="143" t="str">
        <f t="shared" si="15"/>
        <v/>
      </c>
      <c r="S109" s="143" t="str">
        <f t="shared" si="16"/>
        <v/>
      </c>
      <c r="T109" s="123"/>
      <c r="U109" s="119"/>
      <c r="V109" s="124"/>
      <c r="W109" s="143" t="str">
        <f t="shared" si="17"/>
        <v/>
      </c>
      <c r="X109" s="143" t="str">
        <f t="shared" si="18"/>
        <v/>
      </c>
      <c r="Y109" s="143" t="str">
        <f t="shared" si="19"/>
        <v/>
      </c>
      <c r="Z109" s="150" t="str">
        <f t="shared" si="20"/>
        <v/>
      </c>
      <c r="AA109" s="143" t="str">
        <f t="shared" si="21"/>
        <v/>
      </c>
      <c r="AB109" s="152" t="str">
        <f t="shared" si="22"/>
        <v/>
      </c>
      <c r="AC109" s="158" t="str">
        <f>IF(AB109="","",IFERROR(INDEX(HELPER!$D$8:$D$48,IF(AB109&gt;=HELPER!$B$8,1,MATCH(AB109,HELPER!$B$8:$B$48,-1)+1)),""))</f>
        <v/>
      </c>
      <c r="AD109" s="155" t="str">
        <f>IF(AC109="","",IFERROR(VLOOKUP(AC109,HELPER!$F$8:$G$48,2,FALSE),""))</f>
        <v/>
      </c>
      <c r="AE109" s="135"/>
      <c r="AF109" s="90"/>
    </row>
    <row r="110" spans="1:32" ht="15" customHeight="1" x14ac:dyDescent="0.25">
      <c r="A110" s="135"/>
      <c r="B110" s="112">
        <v>42</v>
      </c>
      <c r="C110" s="209" t="str">
        <f>IF('INPUT DATA'!N52="","",'INPUT DATA'!N52)</f>
        <v/>
      </c>
      <c r="D110" s="210"/>
      <c r="E110" s="210"/>
      <c r="F110" s="123"/>
      <c r="G110" s="119"/>
      <c r="H110" s="119"/>
      <c r="I110" s="119"/>
      <c r="J110" s="124"/>
      <c r="K110" s="143" t="str">
        <f t="shared" si="23"/>
        <v/>
      </c>
      <c r="L110" s="143" t="str">
        <f t="shared" si="12"/>
        <v/>
      </c>
      <c r="M110" s="146" t="str">
        <f t="shared" si="13"/>
        <v/>
      </c>
      <c r="N110" s="123"/>
      <c r="O110" s="119"/>
      <c r="P110" s="124"/>
      <c r="Q110" s="143" t="str">
        <f t="shared" si="14"/>
        <v/>
      </c>
      <c r="R110" s="143" t="str">
        <f t="shared" si="15"/>
        <v/>
      </c>
      <c r="S110" s="143" t="str">
        <f t="shared" si="16"/>
        <v/>
      </c>
      <c r="T110" s="123"/>
      <c r="U110" s="119"/>
      <c r="V110" s="124"/>
      <c r="W110" s="143" t="str">
        <f t="shared" si="17"/>
        <v/>
      </c>
      <c r="X110" s="143" t="str">
        <f t="shared" si="18"/>
        <v/>
      </c>
      <c r="Y110" s="143" t="str">
        <f t="shared" si="19"/>
        <v/>
      </c>
      <c r="Z110" s="150" t="str">
        <f t="shared" si="20"/>
        <v/>
      </c>
      <c r="AA110" s="143" t="str">
        <f t="shared" si="21"/>
        <v/>
      </c>
      <c r="AB110" s="152" t="str">
        <f t="shared" si="22"/>
        <v/>
      </c>
      <c r="AC110" s="158" t="str">
        <f>IF(AB110="","",IFERROR(INDEX(HELPER!$D$8:$D$48,IF(AB110&gt;=HELPER!$B$8,1,MATCH(AB110,HELPER!$B$8:$B$48,-1)+1)),""))</f>
        <v/>
      </c>
      <c r="AD110" s="155" t="str">
        <f>IF(AC110="","",IFERROR(VLOOKUP(AC110,HELPER!$F$8:$G$48,2,FALSE),""))</f>
        <v/>
      </c>
      <c r="AE110" s="135"/>
      <c r="AF110" s="90"/>
    </row>
    <row r="111" spans="1:32" ht="15" customHeight="1" x14ac:dyDescent="0.25">
      <c r="A111" s="135"/>
      <c r="B111" s="112">
        <v>43</v>
      </c>
      <c r="C111" s="209" t="str">
        <f>IF('INPUT DATA'!N53="","",'INPUT DATA'!N53)</f>
        <v/>
      </c>
      <c r="D111" s="210"/>
      <c r="E111" s="210"/>
      <c r="F111" s="123"/>
      <c r="G111" s="119"/>
      <c r="H111" s="119"/>
      <c r="I111" s="119"/>
      <c r="J111" s="124"/>
      <c r="K111" s="143" t="str">
        <f t="shared" si="23"/>
        <v/>
      </c>
      <c r="L111" s="143" t="str">
        <f t="shared" si="12"/>
        <v/>
      </c>
      <c r="M111" s="146" t="str">
        <f t="shared" si="13"/>
        <v/>
      </c>
      <c r="N111" s="123"/>
      <c r="O111" s="119"/>
      <c r="P111" s="124"/>
      <c r="Q111" s="143" t="str">
        <f t="shared" si="14"/>
        <v/>
      </c>
      <c r="R111" s="143" t="str">
        <f t="shared" si="15"/>
        <v/>
      </c>
      <c r="S111" s="143" t="str">
        <f t="shared" si="16"/>
        <v/>
      </c>
      <c r="T111" s="123"/>
      <c r="U111" s="119"/>
      <c r="V111" s="124"/>
      <c r="W111" s="143" t="str">
        <f t="shared" si="17"/>
        <v/>
      </c>
      <c r="X111" s="143" t="str">
        <f t="shared" si="18"/>
        <v/>
      </c>
      <c r="Y111" s="143" t="str">
        <f t="shared" si="19"/>
        <v/>
      </c>
      <c r="Z111" s="150" t="str">
        <f t="shared" si="20"/>
        <v/>
      </c>
      <c r="AA111" s="143" t="str">
        <f t="shared" si="21"/>
        <v/>
      </c>
      <c r="AB111" s="152" t="str">
        <f t="shared" si="22"/>
        <v/>
      </c>
      <c r="AC111" s="158" t="str">
        <f>IF(AB111="","",IFERROR(INDEX(HELPER!$D$8:$D$48,IF(AB111&gt;=HELPER!$B$8,1,MATCH(AB111,HELPER!$B$8:$B$48,-1)+1)),""))</f>
        <v/>
      </c>
      <c r="AD111" s="155" t="str">
        <f>IF(AC111="","",IFERROR(VLOOKUP(AC111,HELPER!$F$8:$G$48,2,FALSE),""))</f>
        <v/>
      </c>
      <c r="AE111" s="135"/>
      <c r="AF111" s="90"/>
    </row>
    <row r="112" spans="1:32" ht="15" customHeight="1" x14ac:dyDescent="0.25">
      <c r="A112" s="135"/>
      <c r="B112" s="112">
        <v>44</v>
      </c>
      <c r="C112" s="209" t="str">
        <f>IF('INPUT DATA'!N54="","",'INPUT DATA'!N54)</f>
        <v/>
      </c>
      <c r="D112" s="210"/>
      <c r="E112" s="210"/>
      <c r="F112" s="123"/>
      <c r="G112" s="119"/>
      <c r="H112" s="119"/>
      <c r="I112" s="119"/>
      <c r="J112" s="124"/>
      <c r="K112" s="143" t="str">
        <f t="shared" si="23"/>
        <v/>
      </c>
      <c r="L112" s="143" t="str">
        <f t="shared" si="12"/>
        <v/>
      </c>
      <c r="M112" s="146" t="str">
        <f t="shared" si="13"/>
        <v/>
      </c>
      <c r="N112" s="123"/>
      <c r="O112" s="119"/>
      <c r="P112" s="124"/>
      <c r="Q112" s="143" t="str">
        <f t="shared" si="14"/>
        <v/>
      </c>
      <c r="R112" s="143" t="str">
        <f t="shared" si="15"/>
        <v/>
      </c>
      <c r="S112" s="143" t="str">
        <f t="shared" si="16"/>
        <v/>
      </c>
      <c r="T112" s="123"/>
      <c r="U112" s="119"/>
      <c r="V112" s="124"/>
      <c r="W112" s="143" t="str">
        <f t="shared" si="17"/>
        <v/>
      </c>
      <c r="X112" s="143" t="str">
        <f t="shared" si="18"/>
        <v/>
      </c>
      <c r="Y112" s="143" t="str">
        <f t="shared" si="19"/>
        <v/>
      </c>
      <c r="Z112" s="150" t="str">
        <f t="shared" si="20"/>
        <v/>
      </c>
      <c r="AA112" s="143" t="str">
        <f t="shared" si="21"/>
        <v/>
      </c>
      <c r="AB112" s="152" t="str">
        <f t="shared" si="22"/>
        <v/>
      </c>
      <c r="AC112" s="158" t="str">
        <f>IF(AB112="","",IFERROR(INDEX(HELPER!$D$8:$D$48,IF(AB112&gt;=HELPER!$B$8,1,MATCH(AB112,HELPER!$B$8:$B$48,-1)+1)),""))</f>
        <v/>
      </c>
      <c r="AD112" s="155" t="str">
        <f>IF(AC112="","",IFERROR(VLOOKUP(AC112,HELPER!$F$8:$G$48,2,FALSE),""))</f>
        <v/>
      </c>
      <c r="AE112" s="135"/>
      <c r="AF112" s="90"/>
    </row>
    <row r="113" spans="1:32" ht="15" customHeight="1" x14ac:dyDescent="0.25">
      <c r="A113" s="135"/>
      <c r="B113" s="112">
        <v>45</v>
      </c>
      <c r="C113" s="209" t="str">
        <f>IF('INPUT DATA'!N55="","",'INPUT DATA'!N55)</f>
        <v/>
      </c>
      <c r="D113" s="210"/>
      <c r="E113" s="210"/>
      <c r="F113" s="123"/>
      <c r="G113" s="119"/>
      <c r="H113" s="119"/>
      <c r="I113" s="119"/>
      <c r="J113" s="124"/>
      <c r="K113" s="143" t="str">
        <f t="shared" si="23"/>
        <v/>
      </c>
      <c r="L113" s="143" t="str">
        <f t="shared" si="12"/>
        <v/>
      </c>
      <c r="M113" s="146" t="str">
        <f t="shared" si="13"/>
        <v/>
      </c>
      <c r="N113" s="123"/>
      <c r="O113" s="119"/>
      <c r="P113" s="124"/>
      <c r="Q113" s="143" t="str">
        <f t="shared" si="14"/>
        <v/>
      </c>
      <c r="R113" s="143" t="str">
        <f t="shared" si="15"/>
        <v/>
      </c>
      <c r="S113" s="143" t="str">
        <f t="shared" si="16"/>
        <v/>
      </c>
      <c r="T113" s="123"/>
      <c r="U113" s="119"/>
      <c r="V113" s="124"/>
      <c r="W113" s="143" t="str">
        <f t="shared" si="17"/>
        <v/>
      </c>
      <c r="X113" s="143" t="str">
        <f t="shared" si="18"/>
        <v/>
      </c>
      <c r="Y113" s="143" t="str">
        <f t="shared" si="19"/>
        <v/>
      </c>
      <c r="Z113" s="150" t="str">
        <f t="shared" si="20"/>
        <v/>
      </c>
      <c r="AA113" s="143" t="str">
        <f t="shared" si="21"/>
        <v/>
      </c>
      <c r="AB113" s="152" t="str">
        <f t="shared" si="22"/>
        <v/>
      </c>
      <c r="AC113" s="158" t="str">
        <f>IF(AB113="","",IFERROR(INDEX(HELPER!$D$8:$D$48,IF(AB113&gt;=HELPER!$B$8,1,MATCH(AB113,HELPER!$B$8:$B$48,-1)+1)),""))</f>
        <v/>
      </c>
      <c r="AD113" s="155" t="str">
        <f>IF(AC113="","",IFERROR(VLOOKUP(AC113,HELPER!$F$8:$G$48,2,FALSE),""))</f>
        <v/>
      </c>
      <c r="AE113" s="135"/>
      <c r="AF113" s="90"/>
    </row>
    <row r="114" spans="1:32" ht="15" customHeight="1" x14ac:dyDescent="0.25">
      <c r="A114" s="135"/>
      <c r="B114" s="112">
        <v>46</v>
      </c>
      <c r="C114" s="209" t="str">
        <f>IF('INPUT DATA'!N56="","",'INPUT DATA'!N56)</f>
        <v/>
      </c>
      <c r="D114" s="210"/>
      <c r="E114" s="210"/>
      <c r="F114" s="123"/>
      <c r="G114" s="119"/>
      <c r="H114" s="119"/>
      <c r="I114" s="119"/>
      <c r="J114" s="124"/>
      <c r="K114" s="143" t="str">
        <f t="shared" si="23"/>
        <v/>
      </c>
      <c r="L114" s="143" t="str">
        <f t="shared" si="12"/>
        <v/>
      </c>
      <c r="M114" s="146" t="str">
        <f t="shared" si="13"/>
        <v/>
      </c>
      <c r="N114" s="123"/>
      <c r="O114" s="119"/>
      <c r="P114" s="124"/>
      <c r="Q114" s="143" t="str">
        <f t="shared" si="14"/>
        <v/>
      </c>
      <c r="R114" s="143" t="str">
        <f t="shared" si="15"/>
        <v/>
      </c>
      <c r="S114" s="143" t="str">
        <f t="shared" si="16"/>
        <v/>
      </c>
      <c r="T114" s="123"/>
      <c r="U114" s="119"/>
      <c r="V114" s="124"/>
      <c r="W114" s="143" t="str">
        <f t="shared" si="17"/>
        <v/>
      </c>
      <c r="X114" s="143" t="str">
        <f t="shared" si="18"/>
        <v/>
      </c>
      <c r="Y114" s="143" t="str">
        <f t="shared" si="19"/>
        <v/>
      </c>
      <c r="Z114" s="150" t="str">
        <f t="shared" si="20"/>
        <v/>
      </c>
      <c r="AA114" s="143" t="str">
        <f t="shared" si="21"/>
        <v/>
      </c>
      <c r="AB114" s="152" t="str">
        <f t="shared" si="22"/>
        <v/>
      </c>
      <c r="AC114" s="158" t="str">
        <f>IF(AB114="","",IFERROR(INDEX(HELPER!$D$8:$D$48,IF(AB114&gt;=HELPER!$B$8,1,MATCH(AB114,HELPER!$B$8:$B$48,-1)+1)),""))</f>
        <v/>
      </c>
      <c r="AD114" s="155" t="str">
        <f>IF(AC114="","",IFERROR(VLOOKUP(AC114,HELPER!$F$8:$G$48,2,FALSE),""))</f>
        <v/>
      </c>
      <c r="AE114" s="135"/>
      <c r="AF114" s="90"/>
    </row>
    <row r="115" spans="1:32" ht="15" customHeight="1" x14ac:dyDescent="0.25">
      <c r="A115" s="135"/>
      <c r="B115" s="112">
        <v>47</v>
      </c>
      <c r="C115" s="209" t="str">
        <f>IF('INPUT DATA'!N57="","",'INPUT DATA'!N57)</f>
        <v/>
      </c>
      <c r="D115" s="210"/>
      <c r="E115" s="210"/>
      <c r="F115" s="123"/>
      <c r="G115" s="119"/>
      <c r="H115" s="119"/>
      <c r="I115" s="119"/>
      <c r="J115" s="124"/>
      <c r="K115" s="143" t="str">
        <f t="shared" si="23"/>
        <v/>
      </c>
      <c r="L115" s="143" t="str">
        <f t="shared" si="12"/>
        <v/>
      </c>
      <c r="M115" s="146" t="str">
        <f t="shared" si="13"/>
        <v/>
      </c>
      <c r="N115" s="123"/>
      <c r="O115" s="119"/>
      <c r="P115" s="124"/>
      <c r="Q115" s="143" t="str">
        <f t="shared" si="14"/>
        <v/>
      </c>
      <c r="R115" s="143" t="str">
        <f t="shared" si="15"/>
        <v/>
      </c>
      <c r="S115" s="143" t="str">
        <f t="shared" si="16"/>
        <v/>
      </c>
      <c r="T115" s="123"/>
      <c r="U115" s="119"/>
      <c r="V115" s="124"/>
      <c r="W115" s="143" t="str">
        <f t="shared" si="17"/>
        <v/>
      </c>
      <c r="X115" s="143" t="str">
        <f t="shared" si="18"/>
        <v/>
      </c>
      <c r="Y115" s="143" t="str">
        <f t="shared" si="19"/>
        <v/>
      </c>
      <c r="Z115" s="150" t="str">
        <f t="shared" si="20"/>
        <v/>
      </c>
      <c r="AA115" s="143" t="str">
        <f t="shared" si="21"/>
        <v/>
      </c>
      <c r="AB115" s="152" t="str">
        <f t="shared" si="22"/>
        <v/>
      </c>
      <c r="AC115" s="158" t="str">
        <f>IF(AB115="","",IFERROR(INDEX(HELPER!$D$8:$D$48,IF(AB115&gt;=HELPER!$B$8,1,MATCH(AB115,HELPER!$B$8:$B$48,-1)+1)),""))</f>
        <v/>
      </c>
      <c r="AD115" s="155" t="str">
        <f>IF(AC115="","",IFERROR(VLOOKUP(AC115,HELPER!$F$8:$G$48,2,FALSE),""))</f>
        <v/>
      </c>
      <c r="AE115" s="135"/>
      <c r="AF115" s="90"/>
    </row>
    <row r="116" spans="1:32" ht="15" customHeight="1" x14ac:dyDescent="0.25">
      <c r="A116" s="135"/>
      <c r="B116" s="112">
        <v>48</v>
      </c>
      <c r="C116" s="209" t="str">
        <f>IF('INPUT DATA'!N58="","",'INPUT DATA'!N58)</f>
        <v/>
      </c>
      <c r="D116" s="210"/>
      <c r="E116" s="210"/>
      <c r="F116" s="123"/>
      <c r="G116" s="119"/>
      <c r="H116" s="119"/>
      <c r="I116" s="119"/>
      <c r="J116" s="124"/>
      <c r="K116" s="143" t="str">
        <f t="shared" si="23"/>
        <v/>
      </c>
      <c r="L116" s="143" t="str">
        <f t="shared" si="12"/>
        <v/>
      </c>
      <c r="M116" s="146" t="str">
        <f t="shared" si="13"/>
        <v/>
      </c>
      <c r="N116" s="123"/>
      <c r="O116" s="119"/>
      <c r="P116" s="124"/>
      <c r="Q116" s="143" t="str">
        <f t="shared" si="14"/>
        <v/>
      </c>
      <c r="R116" s="143" t="str">
        <f t="shared" si="15"/>
        <v/>
      </c>
      <c r="S116" s="143" t="str">
        <f t="shared" si="16"/>
        <v/>
      </c>
      <c r="T116" s="123"/>
      <c r="U116" s="119"/>
      <c r="V116" s="124"/>
      <c r="W116" s="143" t="str">
        <f t="shared" si="17"/>
        <v/>
      </c>
      <c r="X116" s="143" t="str">
        <f t="shared" si="18"/>
        <v/>
      </c>
      <c r="Y116" s="143" t="str">
        <f t="shared" si="19"/>
        <v/>
      </c>
      <c r="Z116" s="150" t="str">
        <f t="shared" si="20"/>
        <v/>
      </c>
      <c r="AA116" s="143" t="str">
        <f t="shared" si="21"/>
        <v/>
      </c>
      <c r="AB116" s="152" t="str">
        <f t="shared" si="22"/>
        <v/>
      </c>
      <c r="AC116" s="158" t="str">
        <f>IF(AB116="","",IFERROR(INDEX(HELPER!$D$8:$D$48,IF(AB116&gt;=HELPER!$B$8,1,MATCH(AB116,HELPER!$B$8:$B$48,-1)+1)),""))</f>
        <v/>
      </c>
      <c r="AD116" s="155" t="str">
        <f>IF(AC116="","",IFERROR(VLOOKUP(AC116,HELPER!$F$8:$G$48,2,FALSE),""))</f>
        <v/>
      </c>
      <c r="AE116" s="135"/>
      <c r="AF116" s="90"/>
    </row>
    <row r="117" spans="1:32" ht="15" customHeight="1" x14ac:dyDescent="0.25">
      <c r="A117" s="135"/>
      <c r="B117" s="112">
        <v>49</v>
      </c>
      <c r="C117" s="209" t="str">
        <f>IF('INPUT DATA'!N59="","",'INPUT DATA'!N59)</f>
        <v/>
      </c>
      <c r="D117" s="210"/>
      <c r="E117" s="210"/>
      <c r="F117" s="123"/>
      <c r="G117" s="119"/>
      <c r="H117" s="119"/>
      <c r="I117" s="119"/>
      <c r="J117" s="124"/>
      <c r="K117" s="143" t="str">
        <f t="shared" si="23"/>
        <v/>
      </c>
      <c r="L117" s="143" t="str">
        <f t="shared" si="12"/>
        <v/>
      </c>
      <c r="M117" s="146" t="str">
        <f t="shared" si="13"/>
        <v/>
      </c>
      <c r="N117" s="123"/>
      <c r="O117" s="119"/>
      <c r="P117" s="124"/>
      <c r="Q117" s="143" t="str">
        <f t="shared" si="14"/>
        <v/>
      </c>
      <c r="R117" s="143" t="str">
        <f t="shared" si="15"/>
        <v/>
      </c>
      <c r="S117" s="143" t="str">
        <f t="shared" si="16"/>
        <v/>
      </c>
      <c r="T117" s="123"/>
      <c r="U117" s="119"/>
      <c r="V117" s="124"/>
      <c r="W117" s="143" t="str">
        <f t="shared" si="17"/>
        <v/>
      </c>
      <c r="X117" s="143" t="str">
        <f t="shared" si="18"/>
        <v/>
      </c>
      <c r="Y117" s="143" t="str">
        <f t="shared" si="19"/>
        <v/>
      </c>
      <c r="Z117" s="150" t="str">
        <f t="shared" si="20"/>
        <v/>
      </c>
      <c r="AA117" s="143" t="str">
        <f t="shared" si="21"/>
        <v/>
      </c>
      <c r="AB117" s="152" t="str">
        <f t="shared" si="22"/>
        <v/>
      </c>
      <c r="AC117" s="158" t="str">
        <f>IF(AB117="","",IFERROR(INDEX(HELPER!$D$8:$D$48,IF(AB117&gt;=HELPER!$B$8,1,MATCH(AB117,HELPER!$B$8:$B$48,-1)+1)),""))</f>
        <v/>
      </c>
      <c r="AD117" s="155" t="str">
        <f>IF(AC117="","",IFERROR(VLOOKUP(AC117,HELPER!$F$8:$G$48,2,FALSE),""))</f>
        <v/>
      </c>
      <c r="AE117" s="135"/>
      <c r="AF117" s="90"/>
    </row>
    <row r="118" spans="1:32" ht="15" customHeight="1" thickBot="1" x14ac:dyDescent="0.3">
      <c r="A118" s="135"/>
      <c r="B118" s="113">
        <v>50</v>
      </c>
      <c r="C118" s="229" t="str">
        <f>IF('INPUT DATA'!N60="","",'INPUT DATA'!N60)</f>
        <v/>
      </c>
      <c r="D118" s="230"/>
      <c r="E118" s="230"/>
      <c r="F118" s="125"/>
      <c r="G118" s="126"/>
      <c r="H118" s="126"/>
      <c r="I118" s="126"/>
      <c r="J118" s="127"/>
      <c r="K118" s="144" t="str">
        <f t="shared" si="23"/>
        <v/>
      </c>
      <c r="L118" s="144" t="str">
        <f t="shared" si="12"/>
        <v/>
      </c>
      <c r="M118" s="147" t="str">
        <f t="shared" si="13"/>
        <v/>
      </c>
      <c r="N118" s="125"/>
      <c r="O118" s="126"/>
      <c r="P118" s="127"/>
      <c r="Q118" s="144" t="str">
        <f t="shared" si="14"/>
        <v/>
      </c>
      <c r="R118" s="144" t="str">
        <f t="shared" si="15"/>
        <v/>
      </c>
      <c r="S118" s="144" t="str">
        <f t="shared" si="16"/>
        <v/>
      </c>
      <c r="T118" s="125"/>
      <c r="U118" s="126"/>
      <c r="V118" s="127"/>
      <c r="W118" s="144" t="str">
        <f t="shared" si="17"/>
        <v/>
      </c>
      <c r="X118" s="144" t="str">
        <f t="shared" si="18"/>
        <v/>
      </c>
      <c r="Y118" s="144" t="str">
        <f t="shared" si="19"/>
        <v/>
      </c>
      <c r="Z118" s="148" t="str">
        <f t="shared" si="20"/>
        <v/>
      </c>
      <c r="AA118" s="144" t="str">
        <f t="shared" si="21"/>
        <v/>
      </c>
      <c r="AB118" s="153" t="str">
        <f t="shared" si="22"/>
        <v/>
      </c>
      <c r="AC118" s="159" t="str">
        <f>IF(AB118="","",IFERROR(INDEX(HELPER!$D$8:$D$48,IF(AB118&gt;=HELPER!$B$8,1,MATCH(AB118,HELPER!$B$8:$B$48,-1)+1)),""))</f>
        <v/>
      </c>
      <c r="AD118" s="156" t="str">
        <f>IF(AC118="","",IFERROR(VLOOKUP(AC118,HELPER!$F$8:$G$48,2,FALSE),""))</f>
        <v/>
      </c>
      <c r="AE118" s="135"/>
      <c r="AF118" s="90"/>
    </row>
    <row r="119" spans="1:32" ht="13.2" customHeight="1" x14ac:dyDescent="0.25">
      <c r="A119" s="135"/>
      <c r="B119" s="135"/>
      <c r="C119" s="239"/>
      <c r="D119" s="226"/>
      <c r="E119" s="226"/>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90"/>
    </row>
    <row r="120" spans="1:32" ht="13.2" customHeight="1" x14ac:dyDescent="0.25">
      <c r="A120" s="135"/>
      <c r="B120" s="135"/>
      <c r="C120" s="239"/>
      <c r="D120" s="226"/>
      <c r="E120" s="226"/>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90"/>
    </row>
  </sheetData>
  <sheetProtection algorithmName="SHA-512" hashValue="OqYZC1/veZN8lJB42wjbjWpbpJQVvw02C0ikr79IyAeDc5DhegzckEc5d5k1q3SJtTezKvVAopBTiYLTSaZ1sw==" saltValue="Vw+HejWTncfIjp6iMvG6vA==" spinCount="100000" sheet="1" objects="1" scenarios="1" formatCells="0" formatColumns="0" formatRows="0"/>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27">
    <dataValidation type="custom" allowBlank="1" showInputMessage="1" showErrorMessage="1" errorTitle="Invalid Input" error="The score cannot be greater than the HPS." promptTitle="Score Entry" prompt="Enter learners' raw scores." sqref="V18:V67 V69:V118" xr:uid="{B34555D9-72FB-4525-9FDB-696F7809AC60}">
      <formula1>V18&lt;=$V$15</formula1>
    </dataValidation>
    <dataValidation type="custom" allowBlank="1" showInputMessage="1" showErrorMessage="1" errorTitle="Invalid Input" error="The score cannot be greater than the HPS." promptTitle="Score Entry" prompt="Enter learners' raw scores." sqref="U18:U67 U69:U118" xr:uid="{76CCF88B-5F2A-40EB-8D47-CBDBB051B751}">
      <formula1>U18&lt;=$U$15</formula1>
    </dataValidation>
    <dataValidation type="custom" allowBlank="1" showInputMessage="1" showErrorMessage="1" errorTitle="Invalid Input" error="The score cannot be greater than the HPS." promptTitle="Score Entry" prompt="Enter learners' raw scores." sqref="T18:T67 T69:T118" xr:uid="{B469242D-A071-43EF-A359-352E9E406A58}">
      <formula1>T18&lt;=$T$15</formula1>
    </dataValidation>
    <dataValidation type="custom" allowBlank="1" showInputMessage="1" showErrorMessage="1" errorTitle="Invalid Input" error="The score cannot be greater than the HPS." promptTitle="Score Entry" prompt="Enter learners' raw scores." sqref="P18:P67 P69:P118" xr:uid="{0A24EAA1-DEB8-4BDD-9DE3-CA7262FA4DF1}">
      <formula1>P18&lt;=$P$15</formula1>
    </dataValidation>
    <dataValidation type="custom" allowBlank="1" showInputMessage="1" showErrorMessage="1" errorTitle="Invalid Input" error="The score cannot be greater than the HPS." promptTitle="Score Entry" prompt="Enter learners' raw scores." sqref="O18:O67 O69:O118" xr:uid="{7701F9E6-EAD1-4268-B6BB-F590959AF2FA}">
      <formula1>O18&lt;=$O$15</formula1>
    </dataValidation>
    <dataValidation type="custom" allowBlank="1" showInputMessage="1" showErrorMessage="1" errorTitle="Invalid Input" error="The score cannot be greater than the HPS." promptTitle="Score Entry" prompt="Enter learners' raw scores." sqref="N18:N67 N69:N118" xr:uid="{96BC3DC5-CA7E-45A7-80F7-DC0206A62AF9}">
      <formula1>N18&lt;=$N$15</formula1>
    </dataValidation>
    <dataValidation type="custom" allowBlank="1" showInputMessage="1" showErrorMessage="1" errorTitle="Invalid Input" error="The score cannot be greater than the HPS." promptTitle="Score Entry" prompt="Enter learners' raw scores." sqref="J18:J67 J69:J118" xr:uid="{FA439CB5-1031-4058-807B-78690280C38C}">
      <formula1>J18&lt;=$J$15</formula1>
    </dataValidation>
    <dataValidation type="custom" allowBlank="1" showInputMessage="1" showErrorMessage="1" errorTitle="Invalid Input" error="The score cannot be greater than the HPS." promptTitle="Score Entry" prompt="Enter learners' raw scores." sqref="I18:I67 I69:I118" xr:uid="{7B5DCC44-B636-430E-99BB-BB68A4C18D40}">
      <formula1>I18&lt;=$I$15</formula1>
    </dataValidation>
    <dataValidation type="custom" allowBlank="1" showInputMessage="1" showErrorMessage="1" errorTitle="Invalid Input" error="The score cannot be greater than the HPS." promptTitle="Score Entry" prompt="Enter learners' raw scores." sqref="H18:H67 H69:H118" xr:uid="{F784D49B-0FEA-496F-B3D8-76FC685A8305}">
      <formula1>H18&lt;=$H$15</formula1>
    </dataValidation>
    <dataValidation type="custom" allowBlank="1" showInputMessage="1" showErrorMessage="1" errorTitle="Invalid Input" error="The score cannot be greater than the HPS." promptTitle="Score Entry" prompt="Enter learners' raw scores." sqref="G18:G67 G69:G118" xr:uid="{7F584D2D-6CF5-4E6A-A34D-817F2B62DDD3}">
      <formula1>G18&lt;=$G$15</formula1>
    </dataValidation>
    <dataValidation type="custom" allowBlank="1" showInputMessage="1" showErrorMessage="1" errorTitle="Invalid Input" error="The score cannot be greater than the HPS." promptTitle="Score Entry" prompt="Enter learners' raw scores." sqref="F18:F67 F69:F118" xr:uid="{9A95F7D1-FA0E-4F72-88C3-0817A4BAB33E}">
      <formula1>F18&lt;=$F$15</formula1>
    </dataValidation>
    <dataValidation type="whole" allowBlank="1" showInputMessage="1" showErrorMessage="1" promptTitle="Highest Possible Score" prompt="Enter HPS." sqref="T15:V15 F15:J15" xr:uid="{8317700B-46DE-48D9-9D97-705858BA86C0}">
      <formula1>0</formula1>
      <formula2>1000</formula2>
    </dataValidation>
    <dataValidation allowBlank="1" showInputMessage="1" showErrorMessage="1" prompt="Transmuted Term Grade" sqref="AC18:AC67 AC69:AC118" xr:uid="{E557403E-7E0E-48E8-9D93-FA8532CFA2D7}"/>
    <dataValidation allowBlank="1" showInputMessage="1" showErrorMessage="1" prompt="INITIAL GRADE" sqref="AB18:AB67 AB69:AB118" xr:uid="{1CDD27D0-77C4-484E-B996-A5CBD943529B}"/>
    <dataValidation allowBlank="1" showInputMessage="1" showErrorMessage="1" prompt="Examinations' Weighted Score" sqref="AA15 AA18:AA67 AA69:AA118" xr:uid="{248B01CB-FE2C-4DB8-90F1-C496063BE9B5}"/>
    <dataValidation allowBlank="1" showInputMessage="1" showErrorMessage="1" prompt="Examinations' Percetage Score" sqref="Z15 Z18:Z67 Z69:Z118" xr:uid="{9FE0CAAA-1CB6-4D97-ABBF-21A9188F6215}"/>
    <dataValidation allowBlank="1" showInputMessage="1" showErrorMessage="1" prompt="Weighted Score for Term Exam" sqref="Y15 Y18:Y67 Y69:Y118" xr:uid="{83783267-F6E4-4580-9D06-1B6E4BE23FBC}"/>
    <dataValidation allowBlank="1" showInputMessage="1" showErrorMessage="1" prompt="Weighted Score for Summative Test 2" sqref="X15 X18:X67 X69:X118" xr:uid="{A50E9A5C-93C8-405A-9BD6-A27CFDC0BA6F}"/>
    <dataValidation allowBlank="1" showInputMessage="1" showErrorMessage="1" prompt="Weighted Score for Summative Test 1" sqref="W15 W18:W67 W69:W118" xr:uid="{C845B82E-36A9-4822-A0D9-CC699019F614}"/>
    <dataValidation allowBlank="1" showInputMessage="1" showErrorMessage="1" prompt="Products/Performance Tasks' Weighted Score." sqref="S15 S18:S67 S69:S118" xr:uid="{01E07A75-D59E-4EEC-AC63-83EC9D2CE8D2}"/>
    <dataValidation allowBlank="1" showInputMessage="1" showErrorMessage="1" prompt="Products/Performance Tasks' Percentage Score." sqref="R15 R18:R67 R69:R118" xr:uid="{869F17AF-BBC0-448E-8F63-07FD17C26952}"/>
    <dataValidation allowBlank="1" showInputMessage="1" showErrorMessage="1" prompt="Written/Oral Works' Weighted Score." sqref="M15 M18:M67 M69:M118" xr:uid="{68149FB4-9FF5-44EC-A26D-70D66B54F63F}"/>
    <dataValidation allowBlank="1" showInputMessage="1" showErrorMessage="1" prompt="Written/Oral Works' Percentage Score." sqref="L15 L18:L67 L69:L118" xr:uid="{F93FB843-D211-4514-A65F-2A905DB6E361}"/>
    <dataValidation allowBlank="1" showInputMessage="1" showErrorMessage="1" prompt="Products/Performance Tasks' Highest Possible Score." sqref="Q15 Q18:Q67 Q69:Q118" xr:uid="{9B9A79C8-8300-474C-A77F-90BE0F6A9CBF}"/>
    <dataValidation allowBlank="1" showInputMessage="1" showErrorMessage="1" prompt="Written/Oral Works' Highest Possible Score." sqref="K15 K18:K67 K69:K118" xr:uid="{C55A7DF9-B0D6-4669-A010-3D16544D9AED}"/>
    <dataValidation allowBlank="1" showInputMessage="1" showErrorMessage="1" prompt="Do not type name of learners here. Go to INPUT DATA sheet." sqref="C18:E67 C69:E118" xr:uid="{A11CD7BD-9483-4D57-BC34-3A7B63543791}"/>
    <dataValidation type="whole" allowBlank="1" showInputMessage="1" showErrorMessage="1" promptTitle="Highest Possible Score" prompt="Enter HPS." sqref="N15:P15" xr:uid="{269CF6BC-8305-4A1D-A392-FA4342D8F39B}">
      <formula1>0</formula1>
      <formula2>1000</formula2>
    </dataValidation>
  </dataValidations>
  <pageMargins left="0.23622047244094491" right="0.23622047244094491" top="0.39370078740157483" bottom="0.39370078740157483" header="0.31496062992125978" footer="0.31496062992125978"/>
  <pageSetup paperSize="9" scale="76"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331A33-1C08-4EE3-8244-09C0EBD7753E}">
  <sheetPr>
    <tabColor rgb="FFFFC000"/>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F15" sqref="F15"/>
    </sheetView>
  </sheetViews>
  <sheetFormatPr defaultColWidth="12.6640625" defaultRowHeight="15.75" customHeight="1" x14ac:dyDescent="0.25"/>
  <cols>
    <col min="1" max="2" width="3.88671875" style="141" customWidth="1"/>
    <col min="3" max="5" width="12.6640625" style="141" customWidth="1"/>
    <col min="6" max="10" width="3.88671875" style="141" customWidth="1"/>
    <col min="11" max="11" width="5.109375" style="141" customWidth="1"/>
    <col min="12" max="12" width="5.6640625" style="141" customWidth="1"/>
    <col min="13" max="13" width="6.33203125" style="141" customWidth="1"/>
    <col min="14" max="16" width="3.88671875" style="141" customWidth="1"/>
    <col min="17" max="17" width="5.109375" style="141" customWidth="1"/>
    <col min="18" max="18" width="5.6640625" style="141" customWidth="1"/>
    <col min="19" max="19" width="6.33203125" style="141" customWidth="1"/>
    <col min="20" max="22" width="5.6640625" style="141" customWidth="1"/>
    <col min="23" max="25" width="8" style="141" customWidth="1"/>
    <col min="26" max="27" width="5.6640625" style="141" customWidth="1"/>
    <col min="28" max="28" width="7.33203125" style="141" customWidth="1"/>
    <col min="29" max="29" width="10.109375" style="141" customWidth="1"/>
    <col min="30" max="30" width="14.5546875" style="141" customWidth="1"/>
    <col min="31" max="31" width="12.6640625" style="141" customWidth="1"/>
    <col min="32" max="32" width="3.88671875" style="141" customWidth="1"/>
    <col min="33" max="33" width="12.6640625" style="141" customWidth="1"/>
    <col min="34" max="16384" width="12.6640625" style="141"/>
  </cols>
  <sheetData>
    <row r="1" spans="1:32" ht="15.75" customHeight="1" x14ac:dyDescent="0.5">
      <c r="A1" s="88"/>
      <c r="AF1" s="89"/>
    </row>
    <row r="2" spans="1:32" ht="15.75" customHeight="1" x14ac:dyDescent="0.25">
      <c r="B2" s="225" t="s">
        <v>19</v>
      </c>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F2" s="89"/>
    </row>
    <row r="3" spans="1:32" ht="15.75" customHeight="1" x14ac:dyDescent="0.25">
      <c r="B3" s="226"/>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F3" s="89"/>
    </row>
    <row r="4" spans="1:32" ht="15.75" customHeight="1" thickBot="1" x14ac:dyDescent="0.3">
      <c r="AF4" s="89"/>
    </row>
    <row r="5" spans="1:32" ht="15.75" customHeight="1" thickBot="1" x14ac:dyDescent="0.35">
      <c r="A5" s="135"/>
      <c r="B5" s="135"/>
      <c r="C5" s="135"/>
      <c r="D5" s="135"/>
      <c r="E5" s="92" t="s">
        <v>3</v>
      </c>
      <c r="F5" s="201" t="str">
        <f>IF('INPUT DATA'!E10="","",'INPUT DATA'!E10)</f>
        <v/>
      </c>
      <c r="G5" s="202"/>
      <c r="H5" s="202"/>
      <c r="I5" s="202"/>
      <c r="J5" s="202"/>
      <c r="K5" s="202"/>
      <c r="L5" s="203"/>
      <c r="M5" s="93"/>
      <c r="N5" s="93"/>
      <c r="O5" s="93"/>
      <c r="P5" s="93"/>
      <c r="Q5" s="92" t="s">
        <v>7</v>
      </c>
      <c r="R5" s="201" t="str">
        <f>IF('INPUT DATA'!E11="","",'INPUT DATA'!E11)</f>
        <v/>
      </c>
      <c r="S5" s="202"/>
      <c r="T5" s="202"/>
      <c r="U5" s="202"/>
      <c r="V5" s="203"/>
      <c r="W5" s="93"/>
      <c r="X5" s="93"/>
      <c r="Y5" s="92" t="s">
        <v>8</v>
      </c>
      <c r="Z5" s="201" t="str">
        <f>IF('INPUT DATA'!E13="","",'INPUT DATA'!E13)</f>
        <v/>
      </c>
      <c r="AA5" s="202"/>
      <c r="AB5" s="203"/>
      <c r="AC5" s="135"/>
      <c r="AD5" s="135"/>
      <c r="AE5" s="135"/>
      <c r="AF5" s="90"/>
    </row>
    <row r="6" spans="1:32" ht="6" customHeight="1" thickBot="1" x14ac:dyDescent="0.35">
      <c r="A6" s="135"/>
      <c r="B6" s="135"/>
      <c r="C6" s="135"/>
      <c r="D6" s="135"/>
      <c r="E6" s="92"/>
      <c r="F6" s="94"/>
      <c r="G6" s="95"/>
      <c r="H6" s="95"/>
      <c r="I6" s="95"/>
      <c r="J6" s="95"/>
      <c r="K6" s="95"/>
      <c r="L6" s="95"/>
      <c r="M6" s="93"/>
      <c r="N6" s="93"/>
      <c r="O6" s="93"/>
      <c r="P6" s="93"/>
      <c r="Q6" s="92"/>
      <c r="R6" s="94"/>
      <c r="S6" s="95"/>
      <c r="T6" s="95"/>
      <c r="U6" s="95"/>
      <c r="V6" s="95"/>
      <c r="W6" s="93"/>
      <c r="X6" s="93"/>
      <c r="Y6" s="92"/>
      <c r="Z6" s="94"/>
      <c r="AA6" s="95"/>
      <c r="AB6" s="95"/>
      <c r="AC6" s="135"/>
      <c r="AD6" s="135"/>
      <c r="AE6" s="135"/>
      <c r="AF6" s="90"/>
    </row>
    <row r="7" spans="1:32" ht="15.75" customHeight="1" thickBot="1" x14ac:dyDescent="0.35">
      <c r="A7" s="135"/>
      <c r="B7" s="135"/>
      <c r="C7" s="135"/>
      <c r="D7" s="135"/>
      <c r="E7" s="92" t="s">
        <v>9</v>
      </c>
      <c r="F7" s="201" t="str">
        <f>IF('INPUT DATA'!E14="","",'INPUT DATA'!E14)</f>
        <v/>
      </c>
      <c r="G7" s="202"/>
      <c r="H7" s="202"/>
      <c r="I7" s="202"/>
      <c r="J7" s="202"/>
      <c r="K7" s="202"/>
      <c r="L7" s="202"/>
      <c r="M7" s="202"/>
      <c r="N7" s="202"/>
      <c r="O7" s="202"/>
      <c r="P7" s="202"/>
      <c r="Q7" s="202"/>
      <c r="R7" s="202"/>
      <c r="S7" s="202"/>
      <c r="T7" s="202"/>
      <c r="U7" s="202"/>
      <c r="V7" s="203"/>
      <c r="W7" s="93"/>
      <c r="X7" s="93"/>
      <c r="Y7" s="92" t="s">
        <v>10</v>
      </c>
      <c r="Z7" s="201" t="str">
        <f>IF('INPUT DATA'!E15="","",'INPUT DATA'!E15)</f>
        <v/>
      </c>
      <c r="AA7" s="202"/>
      <c r="AB7" s="203"/>
      <c r="AC7" s="135"/>
      <c r="AD7" s="135"/>
      <c r="AE7" s="135"/>
      <c r="AF7" s="90"/>
    </row>
    <row r="8" spans="1:32" ht="13.8" customHeight="1" thickBot="1" x14ac:dyDescent="0.3">
      <c r="A8" s="135"/>
      <c r="B8" s="13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90"/>
    </row>
    <row r="9" spans="1:32" ht="15.75" customHeight="1" thickBot="1" x14ac:dyDescent="0.35">
      <c r="A9" s="135"/>
      <c r="B9" s="217"/>
      <c r="C9" s="218"/>
      <c r="D9" s="218"/>
      <c r="E9" s="218"/>
      <c r="F9" s="218"/>
      <c r="G9" s="218"/>
      <c r="H9" s="218"/>
      <c r="I9" s="218"/>
      <c r="J9" s="218"/>
      <c r="K9" s="218"/>
      <c r="L9" s="218"/>
      <c r="M9" s="218"/>
      <c r="N9" s="218"/>
      <c r="O9" s="218"/>
      <c r="P9" s="218"/>
      <c r="Q9" s="218"/>
      <c r="R9" s="218"/>
      <c r="S9" s="218"/>
      <c r="T9" s="218"/>
      <c r="U9" s="218"/>
      <c r="V9" s="218"/>
      <c r="W9" s="218"/>
      <c r="X9" s="218"/>
      <c r="Y9" s="218"/>
      <c r="Z9" s="218"/>
      <c r="AA9" s="218"/>
      <c r="AB9" s="218"/>
      <c r="AC9" s="218"/>
      <c r="AD9" s="219"/>
      <c r="AE9" s="135"/>
      <c r="AF9" s="91"/>
    </row>
    <row r="10" spans="1:32" ht="14.4" customHeight="1" thickBot="1" x14ac:dyDescent="0.3">
      <c r="A10" s="135"/>
      <c r="B10" s="220" t="s">
        <v>40</v>
      </c>
      <c r="C10" s="221"/>
      <c r="D10" s="221"/>
      <c r="E10" s="222"/>
      <c r="F10" s="235" t="s">
        <v>15</v>
      </c>
      <c r="G10" s="215"/>
      <c r="H10" s="215"/>
      <c r="I10" s="216"/>
      <c r="J10" s="224" t="str">
        <f>IF('INPUT DATA'!E25="","",'INPUT DATA'!E25)</f>
        <v/>
      </c>
      <c r="K10" s="215"/>
      <c r="L10" s="215"/>
      <c r="M10" s="216"/>
      <c r="N10" s="244" t="s">
        <v>21</v>
      </c>
      <c r="O10" s="221"/>
      <c r="P10" s="222"/>
      <c r="Q10" s="224" t="str">
        <f>IF('INPUT DATA'!E23="","",'INPUT DATA'!E23)</f>
        <v/>
      </c>
      <c r="R10" s="221"/>
      <c r="S10" s="221"/>
      <c r="T10" s="221"/>
      <c r="U10" s="221"/>
      <c r="V10" s="221"/>
      <c r="W10" s="221"/>
      <c r="X10" s="222"/>
      <c r="Y10" s="228" t="s">
        <v>14</v>
      </c>
      <c r="Z10" s="221"/>
      <c r="AA10" s="224" t="s">
        <v>70</v>
      </c>
      <c r="AB10" s="221"/>
      <c r="AC10" s="221"/>
      <c r="AD10" s="222"/>
      <c r="AE10" s="135"/>
      <c r="AF10" s="90"/>
    </row>
    <row r="11" spans="1:32" ht="14.4" customHeight="1" thickBot="1" x14ac:dyDescent="0.3">
      <c r="A11" s="135"/>
      <c r="B11" s="223"/>
      <c r="C11" s="221"/>
      <c r="D11" s="221"/>
      <c r="E11" s="222"/>
      <c r="F11" s="240" t="s">
        <v>16</v>
      </c>
      <c r="G11" s="202"/>
      <c r="H11" s="202"/>
      <c r="I11" s="203"/>
      <c r="J11" s="227" t="str">
        <f>IF('INPUT DATA'!E26="","",'INPUT DATA'!E26)</f>
        <v/>
      </c>
      <c r="K11" s="202"/>
      <c r="L11" s="202"/>
      <c r="M11" s="203"/>
      <c r="N11" s="214"/>
      <c r="O11" s="215"/>
      <c r="P11" s="216"/>
      <c r="Q11" s="214"/>
      <c r="R11" s="215"/>
      <c r="S11" s="215"/>
      <c r="T11" s="215"/>
      <c r="U11" s="215"/>
      <c r="V11" s="215"/>
      <c r="W11" s="215"/>
      <c r="X11" s="216"/>
      <c r="Y11" s="214"/>
      <c r="Z11" s="215"/>
      <c r="AA11" s="214"/>
      <c r="AB11" s="215"/>
      <c r="AC11" s="215"/>
      <c r="AD11" s="216"/>
      <c r="AE11" s="135"/>
      <c r="AF11" s="90"/>
    </row>
    <row r="12" spans="1:32" ht="13.2" customHeight="1" thickBot="1" x14ac:dyDescent="0.3">
      <c r="A12" s="135"/>
      <c r="B12" s="223"/>
      <c r="C12" s="221"/>
      <c r="D12" s="221"/>
      <c r="E12" s="222"/>
      <c r="F12" s="238" t="s">
        <v>23</v>
      </c>
      <c r="G12" s="212"/>
      <c r="H12" s="212"/>
      <c r="I12" s="212"/>
      <c r="J12" s="212"/>
      <c r="K12" s="212"/>
      <c r="L12" s="212"/>
      <c r="M12" s="213"/>
      <c r="N12" s="206" t="s">
        <v>24</v>
      </c>
      <c r="O12" s="212"/>
      <c r="P12" s="212"/>
      <c r="Q12" s="212"/>
      <c r="R12" s="212"/>
      <c r="S12" s="213"/>
      <c r="T12" s="206" t="s">
        <v>25</v>
      </c>
      <c r="U12" s="212"/>
      <c r="V12" s="212"/>
      <c r="W12" s="212"/>
      <c r="X12" s="212"/>
      <c r="Y12" s="212"/>
      <c r="Z12" s="212"/>
      <c r="AA12" s="213"/>
      <c r="AB12" s="206" t="s">
        <v>26</v>
      </c>
      <c r="AC12" s="206" t="s">
        <v>27</v>
      </c>
      <c r="AD12" s="206" t="s">
        <v>28</v>
      </c>
      <c r="AE12" s="135"/>
      <c r="AF12" s="90"/>
    </row>
    <row r="13" spans="1:32" ht="13.8" customHeight="1" thickBot="1" x14ac:dyDescent="0.3">
      <c r="A13" s="135"/>
      <c r="B13" s="223"/>
      <c r="C13" s="221"/>
      <c r="D13" s="221"/>
      <c r="E13" s="222"/>
      <c r="F13" s="214"/>
      <c r="G13" s="215"/>
      <c r="H13" s="215"/>
      <c r="I13" s="215"/>
      <c r="J13" s="215"/>
      <c r="K13" s="215"/>
      <c r="L13" s="215"/>
      <c r="M13" s="216"/>
      <c r="N13" s="214"/>
      <c r="O13" s="215"/>
      <c r="P13" s="215"/>
      <c r="Q13" s="215"/>
      <c r="R13" s="215"/>
      <c r="S13" s="216"/>
      <c r="T13" s="214"/>
      <c r="U13" s="215"/>
      <c r="V13" s="215"/>
      <c r="W13" s="215"/>
      <c r="X13" s="215"/>
      <c r="Y13" s="215"/>
      <c r="Z13" s="215"/>
      <c r="AA13" s="216"/>
      <c r="AB13" s="207"/>
      <c r="AC13" s="207"/>
      <c r="AD13" s="207"/>
      <c r="AE13" s="135"/>
      <c r="AF13" s="90"/>
    </row>
    <row r="14" spans="1:32" ht="13.8" customHeight="1" thickBot="1" x14ac:dyDescent="0.3">
      <c r="A14" s="135"/>
      <c r="B14" s="223"/>
      <c r="C14" s="221"/>
      <c r="D14" s="221"/>
      <c r="E14" s="222"/>
      <c r="F14" s="75">
        <v>1</v>
      </c>
      <c r="G14" s="76">
        <v>2</v>
      </c>
      <c r="H14" s="76">
        <v>3</v>
      </c>
      <c r="I14" s="76">
        <v>4</v>
      </c>
      <c r="J14" s="103">
        <v>5</v>
      </c>
      <c r="K14" s="77" t="s">
        <v>29</v>
      </c>
      <c r="L14" s="77" t="s">
        <v>30</v>
      </c>
      <c r="M14" s="77" t="s">
        <v>31</v>
      </c>
      <c r="N14" s="75">
        <v>1</v>
      </c>
      <c r="O14" s="76">
        <v>2</v>
      </c>
      <c r="P14" s="103">
        <v>3</v>
      </c>
      <c r="Q14" s="77" t="s">
        <v>29</v>
      </c>
      <c r="R14" s="77" t="s">
        <v>30</v>
      </c>
      <c r="S14" s="77" t="s">
        <v>31</v>
      </c>
      <c r="T14" s="75" t="s">
        <v>32</v>
      </c>
      <c r="U14" s="76" t="s">
        <v>33</v>
      </c>
      <c r="V14" s="103" t="s">
        <v>34</v>
      </c>
      <c r="W14" s="78" t="s">
        <v>35</v>
      </c>
      <c r="X14" s="79" t="s">
        <v>36</v>
      </c>
      <c r="Y14" s="80" t="s">
        <v>37</v>
      </c>
      <c r="Z14" s="77" t="s">
        <v>30</v>
      </c>
      <c r="AA14" s="77" t="s">
        <v>31</v>
      </c>
      <c r="AB14" s="207"/>
      <c r="AC14" s="207"/>
      <c r="AD14" s="207"/>
      <c r="AE14" s="135"/>
      <c r="AF14" s="90"/>
    </row>
    <row r="15" spans="1:32" ht="14.4" customHeight="1" thickBot="1" x14ac:dyDescent="0.3">
      <c r="A15" s="135"/>
      <c r="B15" s="231" t="s">
        <v>38</v>
      </c>
      <c r="C15" s="202"/>
      <c r="D15" s="202"/>
      <c r="E15" s="203"/>
      <c r="F15" s="175"/>
      <c r="G15" s="176"/>
      <c r="H15" s="176"/>
      <c r="I15" s="176"/>
      <c r="J15" s="177"/>
      <c r="K15" s="63" t="str">
        <f>IF(COUNT(F15:J15)=0,"",SUM(F15:J15))</f>
        <v/>
      </c>
      <c r="L15" s="71">
        <v>100</v>
      </c>
      <c r="M15" s="72">
        <v>0.2</v>
      </c>
      <c r="N15" s="175"/>
      <c r="O15" s="176"/>
      <c r="P15" s="177"/>
      <c r="Q15" s="63" t="str">
        <f>IF(COUNT(N15:P15)=0,"",SUM(N15:P15))</f>
        <v/>
      </c>
      <c r="R15" s="73">
        <v>100</v>
      </c>
      <c r="S15" s="74">
        <v>0.6</v>
      </c>
      <c r="T15" s="175"/>
      <c r="U15" s="176"/>
      <c r="V15" s="177"/>
      <c r="W15" s="84">
        <v>30</v>
      </c>
      <c r="X15" s="85">
        <v>30</v>
      </c>
      <c r="Y15" s="86">
        <v>40</v>
      </c>
      <c r="Z15" s="73">
        <v>100</v>
      </c>
      <c r="AA15" s="74">
        <v>0.2</v>
      </c>
      <c r="AB15" s="208"/>
      <c r="AC15" s="208"/>
      <c r="AD15" s="208"/>
      <c r="AE15" s="135"/>
      <c r="AF15" s="90"/>
    </row>
    <row r="16" spans="1:32" ht="14.4" customHeight="1" thickBot="1" x14ac:dyDescent="0.3">
      <c r="A16" s="135"/>
      <c r="B16" s="232" t="s">
        <v>2</v>
      </c>
      <c r="C16" s="233"/>
      <c r="D16" s="233"/>
      <c r="E16" s="233"/>
      <c r="F16" s="233"/>
      <c r="G16" s="233"/>
      <c r="H16" s="233"/>
      <c r="I16" s="233"/>
      <c r="J16" s="233"/>
      <c r="K16" s="233"/>
      <c r="L16" s="233"/>
      <c r="M16" s="233"/>
      <c r="N16" s="233"/>
      <c r="O16" s="233"/>
      <c r="P16" s="233"/>
      <c r="Q16" s="233"/>
      <c r="R16" s="233"/>
      <c r="S16" s="233"/>
      <c r="T16" s="233"/>
      <c r="U16" s="233"/>
      <c r="V16" s="233"/>
      <c r="W16" s="233"/>
      <c r="X16" s="233"/>
      <c r="Y16" s="233"/>
      <c r="Z16" s="233"/>
      <c r="AA16" s="233"/>
      <c r="AB16" s="233"/>
      <c r="AC16" s="233"/>
      <c r="AD16" s="234"/>
      <c r="AE16" s="135"/>
      <c r="AF16" s="90"/>
    </row>
    <row r="17" spans="1:32" ht="14.4" customHeight="1" thickBot="1" x14ac:dyDescent="0.3">
      <c r="A17" s="135"/>
      <c r="B17" s="241" t="s">
        <v>5</v>
      </c>
      <c r="C17" s="233"/>
      <c r="D17" s="233"/>
      <c r="E17" s="233"/>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5"/>
      <c r="AF17" s="90"/>
    </row>
    <row r="18" spans="1:32" ht="15" customHeight="1" x14ac:dyDescent="0.25">
      <c r="A18" s="135"/>
      <c r="B18" s="64">
        <v>1</v>
      </c>
      <c r="C18" s="211" t="str">
        <f>IF('INPUT DATA'!K11="","",'INPUT DATA'!K11)</f>
        <v/>
      </c>
      <c r="D18" s="205"/>
      <c r="E18" s="205"/>
      <c r="F18" s="120"/>
      <c r="G18" s="121"/>
      <c r="H18" s="121"/>
      <c r="I18" s="121"/>
      <c r="J18" s="122"/>
      <c r="K18" s="142" t="str">
        <f t="shared" ref="K18:K81" si="0">IF(COUNT($F18:$J18)=0,"",SUM($F18:$J18))</f>
        <v/>
      </c>
      <c r="L18" s="142" t="str">
        <f t="shared" ref="L18:L67" si="1">IF(COUNT(F18:J18)=0,"",IFERROR(K18/$K$15*$L$15,""))</f>
        <v/>
      </c>
      <c r="M18" s="145" t="str">
        <f t="shared" ref="M18:M67" si="2">IF(L18="","",L18*$M$15)</f>
        <v/>
      </c>
      <c r="N18" s="120"/>
      <c r="O18" s="121"/>
      <c r="P18" s="122"/>
      <c r="Q18" s="142" t="str">
        <f t="shared" ref="Q18:Q67" si="3">IF(COUNT(N18:P18)=0,"",SUM(N18:P18))</f>
        <v/>
      </c>
      <c r="R18" s="142" t="str">
        <f t="shared" ref="R18:R67" si="4">IF(COUNT(N18:P18)=0,"",IFERROR(Q18/$Q$15*$R$15,""))</f>
        <v/>
      </c>
      <c r="S18" s="142" t="str">
        <f t="shared" ref="S18:S67" si="5">IF(R18="","",R18*$S$15)</f>
        <v/>
      </c>
      <c r="T18" s="120"/>
      <c r="U18" s="121"/>
      <c r="V18" s="122"/>
      <c r="W18" s="142" t="str">
        <f t="shared" ref="W18:W67" si="6">IF(T18="","",IFERROR(T18/$T$15*$W$15,""))</f>
        <v/>
      </c>
      <c r="X18" s="142" t="str">
        <f t="shared" ref="X18:X67" si="7">IF(U18="","",IFERROR(U18/$U$15*$X$15,""))</f>
        <v/>
      </c>
      <c r="Y18" s="142" t="str">
        <f t="shared" ref="Y18:Y67" si="8">IF(V18="","",IFERROR(V18/$V$15*$Y$15,""))</f>
        <v/>
      </c>
      <c r="Z18" s="149" t="str">
        <f t="shared" ref="Z18:Z67" si="9">IF(COUNT(T18:V18)=0,"",SUM(W18:Y18))</f>
        <v/>
      </c>
      <c r="AA18" s="142" t="str">
        <f t="shared" ref="AA18:AA67" si="10">IF(Z18="","",Z18*$AA$15)</f>
        <v/>
      </c>
      <c r="AB18" s="151" t="str">
        <f t="shared" ref="AB18:AB67" si="11">IF(COUNT(F18:J18,N18:P18,T18:V18)=0,"",SUM(M18,S18,AA18))</f>
        <v/>
      </c>
      <c r="AC18" s="157" t="str">
        <f>IF(AB18="","",IFERROR(INDEX(HELPER!$D$8:$D$48,IF(AB18&gt;=HELPER!$B$8,1,MATCH(AB18,HELPER!$B$8:$B$48,-1)+1)),""))</f>
        <v/>
      </c>
      <c r="AD18" s="154" t="str">
        <f>IF(AC18="","",IFERROR(VLOOKUP(AC18,HELPER!$F$8:$G$48,2,FALSE),""))</f>
        <v/>
      </c>
      <c r="AE18" s="135"/>
      <c r="AF18" s="90"/>
    </row>
    <row r="19" spans="1:32" ht="15" customHeight="1" x14ac:dyDescent="0.25">
      <c r="A19" s="135"/>
      <c r="B19" s="65">
        <v>2</v>
      </c>
      <c r="C19" s="211" t="str">
        <f>IF('INPUT DATA'!K12="","",'INPUT DATA'!K12)</f>
        <v/>
      </c>
      <c r="D19" s="205"/>
      <c r="E19" s="205"/>
      <c r="F19" s="123"/>
      <c r="G19" s="119"/>
      <c r="H19" s="119"/>
      <c r="I19" s="119"/>
      <c r="J19" s="124"/>
      <c r="K19" s="143" t="str">
        <f t="shared" si="0"/>
        <v/>
      </c>
      <c r="L19" s="143" t="str">
        <f t="shared" si="1"/>
        <v/>
      </c>
      <c r="M19" s="146" t="str">
        <f t="shared" si="2"/>
        <v/>
      </c>
      <c r="N19" s="123"/>
      <c r="O19" s="119"/>
      <c r="P19" s="124"/>
      <c r="Q19" s="143" t="str">
        <f t="shared" si="3"/>
        <v/>
      </c>
      <c r="R19" s="143" t="str">
        <f t="shared" si="4"/>
        <v/>
      </c>
      <c r="S19" s="143" t="str">
        <f t="shared" si="5"/>
        <v/>
      </c>
      <c r="T19" s="123"/>
      <c r="U19" s="119"/>
      <c r="V19" s="124"/>
      <c r="W19" s="143" t="str">
        <f t="shared" si="6"/>
        <v/>
      </c>
      <c r="X19" s="143" t="str">
        <f t="shared" si="7"/>
        <v/>
      </c>
      <c r="Y19" s="143" t="str">
        <f t="shared" si="8"/>
        <v/>
      </c>
      <c r="Z19" s="150" t="str">
        <f t="shared" si="9"/>
        <v/>
      </c>
      <c r="AA19" s="143" t="str">
        <f t="shared" si="10"/>
        <v/>
      </c>
      <c r="AB19" s="152" t="str">
        <f t="shared" si="11"/>
        <v/>
      </c>
      <c r="AC19" s="158" t="str">
        <f>IF(AB19="","",IFERROR(INDEX(HELPER!$D$8:$D$48,IF(AB19&gt;=HELPER!$B$8,1,MATCH(AB19,HELPER!$B$8:$B$48,-1)+1)),""))</f>
        <v/>
      </c>
      <c r="AD19" s="155" t="str">
        <f>IF(AC19="","",IFERROR(VLOOKUP(AC19,HELPER!$F$8:$G$48,2,FALSE),""))</f>
        <v/>
      </c>
      <c r="AE19" s="135"/>
      <c r="AF19" s="90"/>
    </row>
    <row r="20" spans="1:32" ht="15" customHeight="1" x14ac:dyDescent="0.25">
      <c r="A20" s="135"/>
      <c r="B20" s="65">
        <v>3</v>
      </c>
      <c r="C20" s="211" t="str">
        <f>IF('INPUT DATA'!K13="","",'INPUT DATA'!K13)</f>
        <v/>
      </c>
      <c r="D20" s="205"/>
      <c r="E20" s="205"/>
      <c r="F20" s="123"/>
      <c r="G20" s="119"/>
      <c r="H20" s="119"/>
      <c r="I20" s="119"/>
      <c r="J20" s="124"/>
      <c r="K20" s="143" t="str">
        <f t="shared" si="0"/>
        <v/>
      </c>
      <c r="L20" s="143" t="str">
        <f t="shared" si="1"/>
        <v/>
      </c>
      <c r="M20" s="146" t="str">
        <f t="shared" si="2"/>
        <v/>
      </c>
      <c r="N20" s="123"/>
      <c r="O20" s="119"/>
      <c r="P20" s="124"/>
      <c r="Q20" s="143" t="str">
        <f t="shared" si="3"/>
        <v/>
      </c>
      <c r="R20" s="143" t="str">
        <f t="shared" si="4"/>
        <v/>
      </c>
      <c r="S20" s="143" t="str">
        <f t="shared" si="5"/>
        <v/>
      </c>
      <c r="T20" s="123"/>
      <c r="U20" s="119"/>
      <c r="V20" s="124"/>
      <c r="W20" s="143" t="str">
        <f t="shared" si="6"/>
        <v/>
      </c>
      <c r="X20" s="143" t="str">
        <f t="shared" si="7"/>
        <v/>
      </c>
      <c r="Y20" s="143" t="str">
        <f t="shared" si="8"/>
        <v/>
      </c>
      <c r="Z20" s="150" t="str">
        <f t="shared" si="9"/>
        <v/>
      </c>
      <c r="AA20" s="143" t="str">
        <f t="shared" si="10"/>
        <v/>
      </c>
      <c r="AB20" s="152" t="str">
        <f t="shared" si="11"/>
        <v/>
      </c>
      <c r="AC20" s="158" t="str">
        <f>IF(AB20="","",IFERROR(INDEX(HELPER!$D$8:$D$48,IF(AB20&gt;=HELPER!$B$8,1,MATCH(AB20,HELPER!$B$8:$B$48,-1)+1)),""))</f>
        <v/>
      </c>
      <c r="AD20" s="155" t="str">
        <f>IF(AC20="","",IFERROR(VLOOKUP(AC20,HELPER!$F$8:$G$48,2,FALSE),""))</f>
        <v/>
      </c>
      <c r="AE20" s="135"/>
      <c r="AF20" s="90"/>
    </row>
    <row r="21" spans="1:32" ht="15" customHeight="1" x14ac:dyDescent="0.25">
      <c r="A21" s="135"/>
      <c r="B21" s="65">
        <v>4</v>
      </c>
      <c r="C21" s="211" t="str">
        <f>IF('INPUT DATA'!K14="","",'INPUT DATA'!K14)</f>
        <v/>
      </c>
      <c r="D21" s="205"/>
      <c r="E21" s="205"/>
      <c r="F21" s="123"/>
      <c r="G21" s="119"/>
      <c r="H21" s="119"/>
      <c r="I21" s="119"/>
      <c r="J21" s="124"/>
      <c r="K21" s="143" t="str">
        <f t="shared" si="0"/>
        <v/>
      </c>
      <c r="L21" s="143" t="str">
        <f t="shared" si="1"/>
        <v/>
      </c>
      <c r="M21" s="146" t="str">
        <f t="shared" si="2"/>
        <v/>
      </c>
      <c r="N21" s="123"/>
      <c r="O21" s="119"/>
      <c r="P21" s="124"/>
      <c r="Q21" s="143" t="str">
        <f t="shared" si="3"/>
        <v/>
      </c>
      <c r="R21" s="143" t="str">
        <f t="shared" si="4"/>
        <v/>
      </c>
      <c r="S21" s="143" t="str">
        <f t="shared" si="5"/>
        <v/>
      </c>
      <c r="T21" s="123"/>
      <c r="U21" s="119"/>
      <c r="V21" s="124"/>
      <c r="W21" s="143" t="str">
        <f t="shared" si="6"/>
        <v/>
      </c>
      <c r="X21" s="143" t="str">
        <f t="shared" si="7"/>
        <v/>
      </c>
      <c r="Y21" s="143" t="str">
        <f t="shared" si="8"/>
        <v/>
      </c>
      <c r="Z21" s="150" t="str">
        <f t="shared" si="9"/>
        <v/>
      </c>
      <c r="AA21" s="143" t="str">
        <f t="shared" si="10"/>
        <v/>
      </c>
      <c r="AB21" s="152" t="str">
        <f t="shared" si="11"/>
        <v/>
      </c>
      <c r="AC21" s="158" t="str">
        <f>IF(AB21="","",IFERROR(INDEX(HELPER!$D$8:$D$48,IF(AB21&gt;=HELPER!$B$8,1,MATCH(AB21,HELPER!$B$8:$B$48,-1)+1)),""))</f>
        <v/>
      </c>
      <c r="AD21" s="155" t="str">
        <f>IF(AC21="","",IFERROR(VLOOKUP(AC21,HELPER!$F$8:$G$48,2,FALSE),""))</f>
        <v/>
      </c>
      <c r="AE21" s="135"/>
      <c r="AF21" s="90"/>
    </row>
    <row r="22" spans="1:32" ht="15" customHeight="1" x14ac:dyDescent="0.25">
      <c r="A22" s="135"/>
      <c r="B22" s="65">
        <v>5</v>
      </c>
      <c r="C22" s="204" t="str">
        <f>IF('INPUT DATA'!K15="","",'INPUT DATA'!K15)</f>
        <v/>
      </c>
      <c r="D22" s="205"/>
      <c r="E22" s="205"/>
      <c r="F22" s="123"/>
      <c r="G22" s="119"/>
      <c r="H22" s="119"/>
      <c r="I22" s="119"/>
      <c r="J22" s="124"/>
      <c r="K22" s="143" t="str">
        <f t="shared" si="0"/>
        <v/>
      </c>
      <c r="L22" s="143" t="str">
        <f t="shared" si="1"/>
        <v/>
      </c>
      <c r="M22" s="146" t="str">
        <f t="shared" si="2"/>
        <v/>
      </c>
      <c r="N22" s="123"/>
      <c r="O22" s="119"/>
      <c r="P22" s="124"/>
      <c r="Q22" s="143" t="str">
        <f t="shared" si="3"/>
        <v/>
      </c>
      <c r="R22" s="143" t="str">
        <f t="shared" si="4"/>
        <v/>
      </c>
      <c r="S22" s="143" t="str">
        <f t="shared" si="5"/>
        <v/>
      </c>
      <c r="T22" s="123"/>
      <c r="U22" s="119"/>
      <c r="V22" s="124"/>
      <c r="W22" s="143" t="str">
        <f t="shared" si="6"/>
        <v/>
      </c>
      <c r="X22" s="143" t="str">
        <f t="shared" si="7"/>
        <v/>
      </c>
      <c r="Y22" s="143" t="str">
        <f t="shared" si="8"/>
        <v/>
      </c>
      <c r="Z22" s="150" t="str">
        <f t="shared" si="9"/>
        <v/>
      </c>
      <c r="AA22" s="143" t="str">
        <f t="shared" si="10"/>
        <v/>
      </c>
      <c r="AB22" s="152" t="str">
        <f t="shared" si="11"/>
        <v/>
      </c>
      <c r="AC22" s="158" t="str">
        <f>IF(AB22="","",IFERROR(INDEX(HELPER!$D$8:$D$48,IF(AB22&gt;=HELPER!$B$8,1,MATCH(AB22,HELPER!$B$8:$B$48,-1)+1)),""))</f>
        <v/>
      </c>
      <c r="AD22" s="155" t="str">
        <f>IF(AC22="","",IFERROR(VLOOKUP(AC22,HELPER!$F$8:$G$48,2,FALSE),""))</f>
        <v/>
      </c>
      <c r="AE22" s="135"/>
      <c r="AF22" s="90"/>
    </row>
    <row r="23" spans="1:32" ht="15" customHeight="1" x14ac:dyDescent="0.25">
      <c r="A23" s="135"/>
      <c r="B23" s="65">
        <v>6</v>
      </c>
      <c r="C23" s="204" t="str">
        <f>IF('INPUT DATA'!K16="","",'INPUT DATA'!K16)</f>
        <v/>
      </c>
      <c r="D23" s="205"/>
      <c r="E23" s="205"/>
      <c r="F23" s="123"/>
      <c r="G23" s="119"/>
      <c r="H23" s="119"/>
      <c r="I23" s="119"/>
      <c r="J23" s="124"/>
      <c r="K23" s="143" t="str">
        <f t="shared" si="0"/>
        <v/>
      </c>
      <c r="L23" s="143" t="str">
        <f t="shared" si="1"/>
        <v/>
      </c>
      <c r="M23" s="146" t="str">
        <f t="shared" si="2"/>
        <v/>
      </c>
      <c r="N23" s="123"/>
      <c r="O23" s="119"/>
      <c r="P23" s="124"/>
      <c r="Q23" s="143" t="str">
        <f t="shared" si="3"/>
        <v/>
      </c>
      <c r="R23" s="143" t="str">
        <f t="shared" si="4"/>
        <v/>
      </c>
      <c r="S23" s="143" t="str">
        <f t="shared" si="5"/>
        <v/>
      </c>
      <c r="T23" s="123"/>
      <c r="U23" s="119"/>
      <c r="V23" s="124"/>
      <c r="W23" s="143" t="str">
        <f t="shared" si="6"/>
        <v/>
      </c>
      <c r="X23" s="143" t="str">
        <f t="shared" si="7"/>
        <v/>
      </c>
      <c r="Y23" s="143" t="str">
        <f t="shared" si="8"/>
        <v/>
      </c>
      <c r="Z23" s="150" t="str">
        <f t="shared" si="9"/>
        <v/>
      </c>
      <c r="AA23" s="143" t="str">
        <f t="shared" si="10"/>
        <v/>
      </c>
      <c r="AB23" s="152" t="str">
        <f t="shared" si="11"/>
        <v/>
      </c>
      <c r="AC23" s="158" t="str">
        <f>IF(AB23="","",IFERROR(INDEX(HELPER!$D$8:$D$48,IF(AB23&gt;=HELPER!$B$8,1,MATCH(AB23,HELPER!$B$8:$B$48,-1)+1)),""))</f>
        <v/>
      </c>
      <c r="AD23" s="155" t="str">
        <f>IF(AC23="","",IFERROR(VLOOKUP(AC23,HELPER!$F$8:$G$48,2,FALSE),""))</f>
        <v/>
      </c>
      <c r="AE23" s="135"/>
      <c r="AF23" s="90"/>
    </row>
    <row r="24" spans="1:32" ht="15" customHeight="1" x14ac:dyDescent="0.25">
      <c r="A24" s="135"/>
      <c r="B24" s="65">
        <v>7</v>
      </c>
      <c r="C24" s="204" t="str">
        <f>IF('INPUT DATA'!K17="","",'INPUT DATA'!K17)</f>
        <v/>
      </c>
      <c r="D24" s="205"/>
      <c r="E24" s="205"/>
      <c r="F24" s="123"/>
      <c r="G24" s="119"/>
      <c r="H24" s="119"/>
      <c r="I24" s="119"/>
      <c r="J24" s="124"/>
      <c r="K24" s="143" t="str">
        <f t="shared" si="0"/>
        <v/>
      </c>
      <c r="L24" s="143" t="str">
        <f t="shared" si="1"/>
        <v/>
      </c>
      <c r="M24" s="146" t="str">
        <f t="shared" si="2"/>
        <v/>
      </c>
      <c r="N24" s="123"/>
      <c r="O24" s="119"/>
      <c r="P24" s="124"/>
      <c r="Q24" s="143" t="str">
        <f t="shared" si="3"/>
        <v/>
      </c>
      <c r="R24" s="143" t="str">
        <f t="shared" si="4"/>
        <v/>
      </c>
      <c r="S24" s="143" t="str">
        <f t="shared" si="5"/>
        <v/>
      </c>
      <c r="T24" s="123"/>
      <c r="U24" s="119"/>
      <c r="V24" s="124"/>
      <c r="W24" s="143" t="str">
        <f t="shared" si="6"/>
        <v/>
      </c>
      <c r="X24" s="143" t="str">
        <f t="shared" si="7"/>
        <v/>
      </c>
      <c r="Y24" s="143" t="str">
        <f t="shared" si="8"/>
        <v/>
      </c>
      <c r="Z24" s="150" t="str">
        <f t="shared" si="9"/>
        <v/>
      </c>
      <c r="AA24" s="143" t="str">
        <f t="shared" si="10"/>
        <v/>
      </c>
      <c r="AB24" s="152" t="str">
        <f t="shared" si="11"/>
        <v/>
      </c>
      <c r="AC24" s="158" t="str">
        <f>IF(AB24="","",IFERROR(INDEX(HELPER!$D$8:$D$48,IF(AB24&gt;=HELPER!$B$8,1,MATCH(AB24,HELPER!$B$8:$B$48,-1)+1)),""))</f>
        <v/>
      </c>
      <c r="AD24" s="155" t="str">
        <f>IF(AC24="","",IFERROR(VLOOKUP(AC24,HELPER!$F$8:$G$48,2,FALSE),""))</f>
        <v/>
      </c>
      <c r="AE24" s="135"/>
      <c r="AF24" s="90"/>
    </row>
    <row r="25" spans="1:32" ht="15" customHeight="1" x14ac:dyDescent="0.25">
      <c r="A25" s="135"/>
      <c r="B25" s="65">
        <v>8</v>
      </c>
      <c r="C25" s="204" t="str">
        <f>IF('INPUT DATA'!K18="","",'INPUT DATA'!K18)</f>
        <v/>
      </c>
      <c r="D25" s="205"/>
      <c r="E25" s="205"/>
      <c r="F25" s="123"/>
      <c r="G25" s="119"/>
      <c r="H25" s="119"/>
      <c r="I25" s="119"/>
      <c r="J25" s="124"/>
      <c r="K25" s="143" t="str">
        <f t="shared" si="0"/>
        <v/>
      </c>
      <c r="L25" s="143" t="str">
        <f t="shared" si="1"/>
        <v/>
      </c>
      <c r="M25" s="146" t="str">
        <f t="shared" si="2"/>
        <v/>
      </c>
      <c r="N25" s="123"/>
      <c r="O25" s="119"/>
      <c r="P25" s="124"/>
      <c r="Q25" s="143" t="str">
        <f t="shared" si="3"/>
        <v/>
      </c>
      <c r="R25" s="143" t="str">
        <f t="shared" si="4"/>
        <v/>
      </c>
      <c r="S25" s="143" t="str">
        <f t="shared" si="5"/>
        <v/>
      </c>
      <c r="T25" s="123"/>
      <c r="U25" s="119"/>
      <c r="V25" s="124"/>
      <c r="W25" s="143" t="str">
        <f t="shared" si="6"/>
        <v/>
      </c>
      <c r="X25" s="143" t="str">
        <f t="shared" si="7"/>
        <v/>
      </c>
      <c r="Y25" s="143" t="str">
        <f t="shared" si="8"/>
        <v/>
      </c>
      <c r="Z25" s="150" t="str">
        <f t="shared" si="9"/>
        <v/>
      </c>
      <c r="AA25" s="143" t="str">
        <f t="shared" si="10"/>
        <v/>
      </c>
      <c r="AB25" s="152" t="str">
        <f t="shared" si="11"/>
        <v/>
      </c>
      <c r="AC25" s="158" t="str">
        <f>IF(AB25="","",IFERROR(INDEX(HELPER!$D$8:$D$48,IF(AB25&gt;=HELPER!$B$8,1,MATCH(AB25,HELPER!$B$8:$B$48,-1)+1)),""))</f>
        <v/>
      </c>
      <c r="AD25" s="155" t="str">
        <f>IF(AC25="","",IFERROR(VLOOKUP(AC25,HELPER!$F$8:$G$48,2,FALSE),""))</f>
        <v/>
      </c>
      <c r="AE25" s="135"/>
      <c r="AF25" s="90"/>
    </row>
    <row r="26" spans="1:32" ht="15" customHeight="1" x14ac:dyDescent="0.25">
      <c r="A26" s="135"/>
      <c r="B26" s="65">
        <v>9</v>
      </c>
      <c r="C26" s="204" t="str">
        <f>IF('INPUT DATA'!K19="","",'INPUT DATA'!K19)</f>
        <v/>
      </c>
      <c r="D26" s="205"/>
      <c r="E26" s="205"/>
      <c r="F26" s="123"/>
      <c r="G26" s="119"/>
      <c r="H26" s="119"/>
      <c r="I26" s="119"/>
      <c r="J26" s="124"/>
      <c r="K26" s="143" t="str">
        <f t="shared" si="0"/>
        <v/>
      </c>
      <c r="L26" s="143" t="str">
        <f t="shared" si="1"/>
        <v/>
      </c>
      <c r="M26" s="146" t="str">
        <f t="shared" si="2"/>
        <v/>
      </c>
      <c r="N26" s="123"/>
      <c r="O26" s="119"/>
      <c r="P26" s="124"/>
      <c r="Q26" s="143" t="str">
        <f t="shared" si="3"/>
        <v/>
      </c>
      <c r="R26" s="143" t="str">
        <f t="shared" si="4"/>
        <v/>
      </c>
      <c r="S26" s="143" t="str">
        <f t="shared" si="5"/>
        <v/>
      </c>
      <c r="T26" s="123"/>
      <c r="U26" s="119"/>
      <c r="V26" s="124"/>
      <c r="W26" s="143" t="str">
        <f t="shared" si="6"/>
        <v/>
      </c>
      <c r="X26" s="143" t="str">
        <f t="shared" si="7"/>
        <v/>
      </c>
      <c r="Y26" s="143" t="str">
        <f t="shared" si="8"/>
        <v/>
      </c>
      <c r="Z26" s="150" t="str">
        <f t="shared" si="9"/>
        <v/>
      </c>
      <c r="AA26" s="143" t="str">
        <f t="shared" si="10"/>
        <v/>
      </c>
      <c r="AB26" s="152" t="str">
        <f t="shared" si="11"/>
        <v/>
      </c>
      <c r="AC26" s="158" t="str">
        <f>IF(AB26="","",IFERROR(INDEX(HELPER!$D$8:$D$48,IF(AB26&gt;=HELPER!$B$8,1,MATCH(AB26,HELPER!$B$8:$B$48,-1)+1)),""))</f>
        <v/>
      </c>
      <c r="AD26" s="155" t="str">
        <f>IF(AC26="","",IFERROR(VLOOKUP(AC26,HELPER!$F$8:$G$48,2,FALSE),""))</f>
        <v/>
      </c>
      <c r="AE26" s="135"/>
      <c r="AF26" s="90"/>
    </row>
    <row r="27" spans="1:32" ht="15" customHeight="1" x14ac:dyDescent="0.25">
      <c r="A27" s="135"/>
      <c r="B27" s="65">
        <v>10</v>
      </c>
      <c r="C27" s="204" t="str">
        <f>IF('INPUT DATA'!K20="","",'INPUT DATA'!K20)</f>
        <v/>
      </c>
      <c r="D27" s="205"/>
      <c r="E27" s="205"/>
      <c r="F27" s="123"/>
      <c r="G27" s="119"/>
      <c r="H27" s="119"/>
      <c r="I27" s="119"/>
      <c r="J27" s="124"/>
      <c r="K27" s="143" t="str">
        <f t="shared" si="0"/>
        <v/>
      </c>
      <c r="L27" s="143" t="str">
        <f t="shared" si="1"/>
        <v/>
      </c>
      <c r="M27" s="146" t="str">
        <f t="shared" si="2"/>
        <v/>
      </c>
      <c r="N27" s="123"/>
      <c r="O27" s="119"/>
      <c r="P27" s="124"/>
      <c r="Q27" s="143" t="str">
        <f t="shared" si="3"/>
        <v/>
      </c>
      <c r="R27" s="143" t="str">
        <f t="shared" si="4"/>
        <v/>
      </c>
      <c r="S27" s="143" t="str">
        <f t="shared" si="5"/>
        <v/>
      </c>
      <c r="T27" s="123"/>
      <c r="U27" s="119"/>
      <c r="V27" s="124"/>
      <c r="W27" s="143" t="str">
        <f t="shared" si="6"/>
        <v/>
      </c>
      <c r="X27" s="143" t="str">
        <f t="shared" si="7"/>
        <v/>
      </c>
      <c r="Y27" s="143" t="str">
        <f t="shared" si="8"/>
        <v/>
      </c>
      <c r="Z27" s="150" t="str">
        <f t="shared" si="9"/>
        <v/>
      </c>
      <c r="AA27" s="143" t="str">
        <f t="shared" si="10"/>
        <v/>
      </c>
      <c r="AB27" s="152" t="str">
        <f t="shared" si="11"/>
        <v/>
      </c>
      <c r="AC27" s="158" t="str">
        <f>IF(AB27="","",IFERROR(INDEX(HELPER!$D$8:$D$48,IF(AB27&gt;=HELPER!$B$8,1,MATCH(AB27,HELPER!$B$8:$B$48,-1)+1)),""))</f>
        <v/>
      </c>
      <c r="AD27" s="155" t="str">
        <f>IF(AC27="","",IFERROR(VLOOKUP(AC27,HELPER!$F$8:$G$48,2,FALSE),""))</f>
        <v/>
      </c>
      <c r="AE27" s="135"/>
      <c r="AF27" s="90"/>
    </row>
    <row r="28" spans="1:32" ht="15" customHeight="1" x14ac:dyDescent="0.25">
      <c r="A28" s="135"/>
      <c r="B28" s="65">
        <v>11</v>
      </c>
      <c r="C28" s="204" t="str">
        <f>IF('INPUT DATA'!K21="","",'INPUT DATA'!K21)</f>
        <v/>
      </c>
      <c r="D28" s="205"/>
      <c r="E28" s="205"/>
      <c r="F28" s="123"/>
      <c r="G28" s="119"/>
      <c r="H28" s="119"/>
      <c r="I28" s="119"/>
      <c r="J28" s="124"/>
      <c r="K28" s="143" t="str">
        <f t="shared" si="0"/>
        <v/>
      </c>
      <c r="L28" s="143" t="str">
        <f t="shared" si="1"/>
        <v/>
      </c>
      <c r="M28" s="146" t="str">
        <f t="shared" si="2"/>
        <v/>
      </c>
      <c r="N28" s="123"/>
      <c r="O28" s="119"/>
      <c r="P28" s="124"/>
      <c r="Q28" s="143" t="str">
        <f t="shared" si="3"/>
        <v/>
      </c>
      <c r="R28" s="143" t="str">
        <f t="shared" si="4"/>
        <v/>
      </c>
      <c r="S28" s="143" t="str">
        <f t="shared" si="5"/>
        <v/>
      </c>
      <c r="T28" s="123"/>
      <c r="U28" s="119"/>
      <c r="V28" s="124"/>
      <c r="W28" s="143" t="str">
        <f t="shared" si="6"/>
        <v/>
      </c>
      <c r="X28" s="143" t="str">
        <f t="shared" si="7"/>
        <v/>
      </c>
      <c r="Y28" s="143" t="str">
        <f t="shared" si="8"/>
        <v/>
      </c>
      <c r="Z28" s="150" t="str">
        <f t="shared" si="9"/>
        <v/>
      </c>
      <c r="AA28" s="143" t="str">
        <f t="shared" si="10"/>
        <v/>
      </c>
      <c r="AB28" s="152" t="str">
        <f t="shared" si="11"/>
        <v/>
      </c>
      <c r="AC28" s="158" t="str">
        <f>IF(AB28="","",IFERROR(INDEX(HELPER!$D$8:$D$48,IF(AB28&gt;=HELPER!$B$8,1,MATCH(AB28,HELPER!$B$8:$B$48,-1)+1)),""))</f>
        <v/>
      </c>
      <c r="AD28" s="155" t="str">
        <f>IF(AC28="","",IFERROR(VLOOKUP(AC28,HELPER!$F$8:$G$48,2,FALSE),""))</f>
        <v/>
      </c>
      <c r="AE28" s="135"/>
      <c r="AF28" s="90"/>
    </row>
    <row r="29" spans="1:32" ht="15" customHeight="1" x14ac:dyDescent="0.25">
      <c r="A29" s="135"/>
      <c r="B29" s="65">
        <v>12</v>
      </c>
      <c r="C29" s="204" t="str">
        <f>IF('INPUT DATA'!K22="","",'INPUT DATA'!K22)</f>
        <v/>
      </c>
      <c r="D29" s="205"/>
      <c r="E29" s="205"/>
      <c r="F29" s="123"/>
      <c r="G29" s="119"/>
      <c r="H29" s="119"/>
      <c r="I29" s="119"/>
      <c r="J29" s="124"/>
      <c r="K29" s="143" t="str">
        <f t="shared" si="0"/>
        <v/>
      </c>
      <c r="L29" s="143" t="str">
        <f t="shared" si="1"/>
        <v/>
      </c>
      <c r="M29" s="146" t="str">
        <f t="shared" si="2"/>
        <v/>
      </c>
      <c r="N29" s="123"/>
      <c r="O29" s="119"/>
      <c r="P29" s="124"/>
      <c r="Q29" s="143" t="str">
        <f t="shared" si="3"/>
        <v/>
      </c>
      <c r="R29" s="143" t="str">
        <f t="shared" si="4"/>
        <v/>
      </c>
      <c r="S29" s="143" t="str">
        <f t="shared" si="5"/>
        <v/>
      </c>
      <c r="T29" s="123"/>
      <c r="U29" s="119"/>
      <c r="V29" s="124"/>
      <c r="W29" s="143" t="str">
        <f t="shared" si="6"/>
        <v/>
      </c>
      <c r="X29" s="143" t="str">
        <f t="shared" si="7"/>
        <v/>
      </c>
      <c r="Y29" s="143" t="str">
        <f t="shared" si="8"/>
        <v/>
      </c>
      <c r="Z29" s="150" t="str">
        <f t="shared" si="9"/>
        <v/>
      </c>
      <c r="AA29" s="143" t="str">
        <f t="shared" si="10"/>
        <v/>
      </c>
      <c r="AB29" s="152" t="str">
        <f t="shared" si="11"/>
        <v/>
      </c>
      <c r="AC29" s="158" t="str">
        <f>IF(AB29="","",IFERROR(INDEX(HELPER!$D$8:$D$48,IF(AB29&gt;=HELPER!$B$8,1,MATCH(AB29,HELPER!$B$8:$B$48,-1)+1)),""))</f>
        <v/>
      </c>
      <c r="AD29" s="155" t="str">
        <f>IF(AC29="","",IFERROR(VLOOKUP(AC29,HELPER!$F$8:$G$48,2,FALSE),""))</f>
        <v/>
      </c>
      <c r="AE29" s="135"/>
      <c r="AF29" s="90"/>
    </row>
    <row r="30" spans="1:32" ht="15" customHeight="1" x14ac:dyDescent="0.25">
      <c r="A30" s="135"/>
      <c r="B30" s="65">
        <v>13</v>
      </c>
      <c r="C30" s="204" t="str">
        <f>IF('INPUT DATA'!K23="","",'INPUT DATA'!K23)</f>
        <v/>
      </c>
      <c r="D30" s="205"/>
      <c r="E30" s="205"/>
      <c r="F30" s="123"/>
      <c r="G30" s="119"/>
      <c r="H30" s="119"/>
      <c r="I30" s="119"/>
      <c r="J30" s="124"/>
      <c r="K30" s="143" t="str">
        <f t="shared" si="0"/>
        <v/>
      </c>
      <c r="L30" s="143" t="str">
        <f t="shared" si="1"/>
        <v/>
      </c>
      <c r="M30" s="146" t="str">
        <f t="shared" si="2"/>
        <v/>
      </c>
      <c r="N30" s="123"/>
      <c r="O30" s="119"/>
      <c r="P30" s="124"/>
      <c r="Q30" s="143" t="str">
        <f t="shared" si="3"/>
        <v/>
      </c>
      <c r="R30" s="143" t="str">
        <f t="shared" si="4"/>
        <v/>
      </c>
      <c r="S30" s="143" t="str">
        <f t="shared" si="5"/>
        <v/>
      </c>
      <c r="T30" s="123"/>
      <c r="U30" s="119"/>
      <c r="V30" s="124"/>
      <c r="W30" s="143" t="str">
        <f t="shared" si="6"/>
        <v/>
      </c>
      <c r="X30" s="143" t="str">
        <f t="shared" si="7"/>
        <v/>
      </c>
      <c r="Y30" s="143" t="str">
        <f t="shared" si="8"/>
        <v/>
      </c>
      <c r="Z30" s="150" t="str">
        <f t="shared" si="9"/>
        <v/>
      </c>
      <c r="AA30" s="143" t="str">
        <f t="shared" si="10"/>
        <v/>
      </c>
      <c r="AB30" s="152" t="str">
        <f t="shared" si="11"/>
        <v/>
      </c>
      <c r="AC30" s="158" t="str">
        <f>IF(AB30="","",IFERROR(INDEX(HELPER!$D$8:$D$48,IF(AB30&gt;=HELPER!$B$8,1,MATCH(AB30,HELPER!$B$8:$B$48,-1)+1)),""))</f>
        <v/>
      </c>
      <c r="AD30" s="155" t="str">
        <f>IF(AC30="","",IFERROR(VLOOKUP(AC30,HELPER!$F$8:$G$48,2,FALSE),""))</f>
        <v/>
      </c>
      <c r="AE30" s="135"/>
      <c r="AF30" s="90"/>
    </row>
    <row r="31" spans="1:32" ht="15" customHeight="1" x14ac:dyDescent="0.25">
      <c r="A31" s="135"/>
      <c r="B31" s="65">
        <v>14</v>
      </c>
      <c r="C31" s="204" t="str">
        <f>IF('INPUT DATA'!K24="","",'INPUT DATA'!K24)</f>
        <v/>
      </c>
      <c r="D31" s="205"/>
      <c r="E31" s="205"/>
      <c r="F31" s="123"/>
      <c r="G31" s="119"/>
      <c r="H31" s="119"/>
      <c r="I31" s="119"/>
      <c r="J31" s="124"/>
      <c r="K31" s="143" t="str">
        <f t="shared" si="0"/>
        <v/>
      </c>
      <c r="L31" s="143" t="str">
        <f t="shared" si="1"/>
        <v/>
      </c>
      <c r="M31" s="146" t="str">
        <f t="shared" si="2"/>
        <v/>
      </c>
      <c r="N31" s="123"/>
      <c r="O31" s="119"/>
      <c r="P31" s="124"/>
      <c r="Q31" s="143" t="str">
        <f t="shared" si="3"/>
        <v/>
      </c>
      <c r="R31" s="143" t="str">
        <f t="shared" si="4"/>
        <v/>
      </c>
      <c r="S31" s="143" t="str">
        <f t="shared" si="5"/>
        <v/>
      </c>
      <c r="T31" s="123"/>
      <c r="U31" s="119"/>
      <c r="V31" s="124"/>
      <c r="W31" s="143" t="str">
        <f t="shared" si="6"/>
        <v/>
      </c>
      <c r="X31" s="143" t="str">
        <f t="shared" si="7"/>
        <v/>
      </c>
      <c r="Y31" s="143" t="str">
        <f t="shared" si="8"/>
        <v/>
      </c>
      <c r="Z31" s="150" t="str">
        <f t="shared" si="9"/>
        <v/>
      </c>
      <c r="AA31" s="143" t="str">
        <f t="shared" si="10"/>
        <v/>
      </c>
      <c r="AB31" s="152" t="str">
        <f t="shared" si="11"/>
        <v/>
      </c>
      <c r="AC31" s="158" t="str">
        <f>IF(AB31="","",IFERROR(INDEX(HELPER!$D$8:$D$48,IF(AB31&gt;=HELPER!$B$8,1,MATCH(AB31,HELPER!$B$8:$B$48,-1)+1)),""))</f>
        <v/>
      </c>
      <c r="AD31" s="155" t="str">
        <f>IF(AC31="","",IFERROR(VLOOKUP(AC31,HELPER!$F$8:$G$48,2,FALSE),""))</f>
        <v/>
      </c>
      <c r="AE31" s="135"/>
      <c r="AF31" s="90"/>
    </row>
    <row r="32" spans="1:32" ht="15" customHeight="1" x14ac:dyDescent="0.25">
      <c r="A32" s="135"/>
      <c r="B32" s="65">
        <v>15</v>
      </c>
      <c r="C32" s="204" t="str">
        <f>IF('INPUT DATA'!K25="","",'INPUT DATA'!K25)</f>
        <v/>
      </c>
      <c r="D32" s="205"/>
      <c r="E32" s="205"/>
      <c r="F32" s="123"/>
      <c r="G32" s="119"/>
      <c r="H32" s="119"/>
      <c r="I32" s="119"/>
      <c r="J32" s="124"/>
      <c r="K32" s="143" t="str">
        <f t="shared" si="0"/>
        <v/>
      </c>
      <c r="L32" s="143" t="str">
        <f t="shared" si="1"/>
        <v/>
      </c>
      <c r="M32" s="146" t="str">
        <f t="shared" si="2"/>
        <v/>
      </c>
      <c r="N32" s="123"/>
      <c r="O32" s="119"/>
      <c r="P32" s="124"/>
      <c r="Q32" s="143" t="str">
        <f t="shared" si="3"/>
        <v/>
      </c>
      <c r="R32" s="143" t="str">
        <f t="shared" si="4"/>
        <v/>
      </c>
      <c r="S32" s="143" t="str">
        <f t="shared" si="5"/>
        <v/>
      </c>
      <c r="T32" s="123"/>
      <c r="U32" s="119"/>
      <c r="V32" s="124"/>
      <c r="W32" s="143" t="str">
        <f t="shared" si="6"/>
        <v/>
      </c>
      <c r="X32" s="143" t="str">
        <f t="shared" si="7"/>
        <v/>
      </c>
      <c r="Y32" s="143" t="str">
        <f t="shared" si="8"/>
        <v/>
      </c>
      <c r="Z32" s="150" t="str">
        <f t="shared" si="9"/>
        <v/>
      </c>
      <c r="AA32" s="143" t="str">
        <f t="shared" si="10"/>
        <v/>
      </c>
      <c r="AB32" s="152" t="str">
        <f t="shared" si="11"/>
        <v/>
      </c>
      <c r="AC32" s="158" t="str">
        <f>IF(AB32="","",IFERROR(INDEX(HELPER!$D$8:$D$48,IF(AB32&gt;=HELPER!$B$8,1,MATCH(AB32,HELPER!$B$8:$B$48,-1)+1)),""))</f>
        <v/>
      </c>
      <c r="AD32" s="155" t="str">
        <f>IF(AC32="","",IFERROR(VLOOKUP(AC32,HELPER!$F$8:$G$48,2,FALSE),""))</f>
        <v/>
      </c>
      <c r="AE32" s="135"/>
      <c r="AF32" s="90"/>
    </row>
    <row r="33" spans="1:32" ht="15" customHeight="1" x14ac:dyDescent="0.25">
      <c r="A33" s="135"/>
      <c r="B33" s="65">
        <v>16</v>
      </c>
      <c r="C33" s="204" t="str">
        <f>IF('INPUT DATA'!K26="","",'INPUT DATA'!K26)</f>
        <v/>
      </c>
      <c r="D33" s="205"/>
      <c r="E33" s="205"/>
      <c r="F33" s="123"/>
      <c r="G33" s="119"/>
      <c r="H33" s="119"/>
      <c r="I33" s="119"/>
      <c r="J33" s="124"/>
      <c r="K33" s="143" t="str">
        <f t="shared" si="0"/>
        <v/>
      </c>
      <c r="L33" s="143" t="str">
        <f t="shared" si="1"/>
        <v/>
      </c>
      <c r="M33" s="146" t="str">
        <f t="shared" si="2"/>
        <v/>
      </c>
      <c r="N33" s="123"/>
      <c r="O33" s="119"/>
      <c r="P33" s="124"/>
      <c r="Q33" s="143" t="str">
        <f t="shared" si="3"/>
        <v/>
      </c>
      <c r="R33" s="143" t="str">
        <f t="shared" si="4"/>
        <v/>
      </c>
      <c r="S33" s="143" t="str">
        <f t="shared" si="5"/>
        <v/>
      </c>
      <c r="T33" s="123"/>
      <c r="U33" s="119"/>
      <c r="V33" s="124"/>
      <c r="W33" s="143" t="str">
        <f t="shared" si="6"/>
        <v/>
      </c>
      <c r="X33" s="143" t="str">
        <f t="shared" si="7"/>
        <v/>
      </c>
      <c r="Y33" s="143" t="str">
        <f t="shared" si="8"/>
        <v/>
      </c>
      <c r="Z33" s="150" t="str">
        <f t="shared" si="9"/>
        <v/>
      </c>
      <c r="AA33" s="143" t="str">
        <f t="shared" si="10"/>
        <v/>
      </c>
      <c r="AB33" s="152" t="str">
        <f t="shared" si="11"/>
        <v/>
      </c>
      <c r="AC33" s="158" t="str">
        <f>IF(AB33="","",IFERROR(INDEX(HELPER!$D$8:$D$48,IF(AB33&gt;=HELPER!$B$8,1,MATCH(AB33,HELPER!$B$8:$B$48,-1)+1)),""))</f>
        <v/>
      </c>
      <c r="AD33" s="155" t="str">
        <f>IF(AC33="","",IFERROR(VLOOKUP(AC33,HELPER!$F$8:$G$48,2,FALSE),""))</f>
        <v/>
      </c>
      <c r="AE33" s="135"/>
      <c r="AF33" s="90"/>
    </row>
    <row r="34" spans="1:32" ht="15" customHeight="1" x14ac:dyDescent="0.25">
      <c r="A34" s="135"/>
      <c r="B34" s="65">
        <v>17</v>
      </c>
      <c r="C34" s="204" t="str">
        <f>IF('INPUT DATA'!K27="","",'INPUT DATA'!K27)</f>
        <v/>
      </c>
      <c r="D34" s="205"/>
      <c r="E34" s="205"/>
      <c r="F34" s="123"/>
      <c r="G34" s="119"/>
      <c r="H34" s="119"/>
      <c r="I34" s="119"/>
      <c r="J34" s="124"/>
      <c r="K34" s="143" t="str">
        <f t="shared" si="0"/>
        <v/>
      </c>
      <c r="L34" s="143" t="str">
        <f t="shared" si="1"/>
        <v/>
      </c>
      <c r="M34" s="146" t="str">
        <f t="shared" si="2"/>
        <v/>
      </c>
      <c r="N34" s="123"/>
      <c r="O34" s="119"/>
      <c r="P34" s="124"/>
      <c r="Q34" s="143" t="str">
        <f t="shared" si="3"/>
        <v/>
      </c>
      <c r="R34" s="143" t="str">
        <f t="shared" si="4"/>
        <v/>
      </c>
      <c r="S34" s="143" t="str">
        <f t="shared" si="5"/>
        <v/>
      </c>
      <c r="T34" s="123"/>
      <c r="U34" s="119"/>
      <c r="V34" s="124"/>
      <c r="W34" s="143" t="str">
        <f t="shared" si="6"/>
        <v/>
      </c>
      <c r="X34" s="143" t="str">
        <f t="shared" si="7"/>
        <v/>
      </c>
      <c r="Y34" s="143" t="str">
        <f t="shared" si="8"/>
        <v/>
      </c>
      <c r="Z34" s="150" t="str">
        <f t="shared" si="9"/>
        <v/>
      </c>
      <c r="AA34" s="143" t="str">
        <f t="shared" si="10"/>
        <v/>
      </c>
      <c r="AB34" s="152" t="str">
        <f t="shared" si="11"/>
        <v/>
      </c>
      <c r="AC34" s="158" t="str">
        <f>IF(AB34="","",IFERROR(INDEX(HELPER!$D$8:$D$48,IF(AB34&gt;=HELPER!$B$8,1,MATCH(AB34,HELPER!$B$8:$B$48,-1)+1)),""))</f>
        <v/>
      </c>
      <c r="AD34" s="155" t="str">
        <f>IF(AC34="","",IFERROR(VLOOKUP(AC34,HELPER!$F$8:$G$48,2,FALSE),""))</f>
        <v/>
      </c>
      <c r="AE34" s="135"/>
      <c r="AF34" s="90"/>
    </row>
    <row r="35" spans="1:32" ht="15" customHeight="1" x14ac:dyDescent="0.25">
      <c r="A35" s="135"/>
      <c r="B35" s="65">
        <v>18</v>
      </c>
      <c r="C35" s="204" t="str">
        <f>IF('INPUT DATA'!K28="","",'INPUT DATA'!K28)</f>
        <v/>
      </c>
      <c r="D35" s="205"/>
      <c r="E35" s="205"/>
      <c r="F35" s="123"/>
      <c r="G35" s="119"/>
      <c r="H35" s="119"/>
      <c r="I35" s="119"/>
      <c r="J35" s="124"/>
      <c r="K35" s="143" t="str">
        <f t="shared" si="0"/>
        <v/>
      </c>
      <c r="L35" s="143" t="str">
        <f t="shared" si="1"/>
        <v/>
      </c>
      <c r="M35" s="146" t="str">
        <f t="shared" si="2"/>
        <v/>
      </c>
      <c r="N35" s="123"/>
      <c r="O35" s="119"/>
      <c r="P35" s="124"/>
      <c r="Q35" s="143" t="str">
        <f t="shared" si="3"/>
        <v/>
      </c>
      <c r="R35" s="143" t="str">
        <f t="shared" si="4"/>
        <v/>
      </c>
      <c r="S35" s="143" t="str">
        <f t="shared" si="5"/>
        <v/>
      </c>
      <c r="T35" s="123"/>
      <c r="U35" s="119"/>
      <c r="V35" s="124"/>
      <c r="W35" s="143" t="str">
        <f t="shared" si="6"/>
        <v/>
      </c>
      <c r="X35" s="143" t="str">
        <f t="shared" si="7"/>
        <v/>
      </c>
      <c r="Y35" s="143" t="str">
        <f t="shared" si="8"/>
        <v/>
      </c>
      <c r="Z35" s="150" t="str">
        <f t="shared" si="9"/>
        <v/>
      </c>
      <c r="AA35" s="143" t="str">
        <f t="shared" si="10"/>
        <v/>
      </c>
      <c r="AB35" s="152" t="str">
        <f t="shared" si="11"/>
        <v/>
      </c>
      <c r="AC35" s="158" t="str">
        <f>IF(AB35="","",IFERROR(INDEX(HELPER!$D$8:$D$48,IF(AB35&gt;=HELPER!$B$8,1,MATCH(AB35,HELPER!$B$8:$B$48,-1)+1)),""))</f>
        <v/>
      </c>
      <c r="AD35" s="155" t="str">
        <f>IF(AC35="","",IFERROR(VLOOKUP(AC35,HELPER!$F$8:$G$48,2,FALSE),""))</f>
        <v/>
      </c>
      <c r="AE35" s="135"/>
      <c r="AF35" s="90"/>
    </row>
    <row r="36" spans="1:32" ht="15" customHeight="1" x14ac:dyDescent="0.25">
      <c r="A36" s="135"/>
      <c r="B36" s="65">
        <v>19</v>
      </c>
      <c r="C36" s="204" t="str">
        <f>IF('INPUT DATA'!K29="","",'INPUT DATA'!K29)</f>
        <v/>
      </c>
      <c r="D36" s="205"/>
      <c r="E36" s="205"/>
      <c r="F36" s="123"/>
      <c r="G36" s="119"/>
      <c r="H36" s="119"/>
      <c r="I36" s="119"/>
      <c r="J36" s="124"/>
      <c r="K36" s="143" t="str">
        <f t="shared" si="0"/>
        <v/>
      </c>
      <c r="L36" s="143" t="str">
        <f t="shared" si="1"/>
        <v/>
      </c>
      <c r="M36" s="146" t="str">
        <f t="shared" si="2"/>
        <v/>
      </c>
      <c r="N36" s="123"/>
      <c r="O36" s="119"/>
      <c r="P36" s="124"/>
      <c r="Q36" s="143" t="str">
        <f t="shared" si="3"/>
        <v/>
      </c>
      <c r="R36" s="143" t="str">
        <f t="shared" si="4"/>
        <v/>
      </c>
      <c r="S36" s="143" t="str">
        <f t="shared" si="5"/>
        <v/>
      </c>
      <c r="T36" s="123"/>
      <c r="U36" s="119"/>
      <c r="V36" s="124"/>
      <c r="W36" s="143" t="str">
        <f t="shared" si="6"/>
        <v/>
      </c>
      <c r="X36" s="143" t="str">
        <f t="shared" si="7"/>
        <v/>
      </c>
      <c r="Y36" s="143" t="str">
        <f t="shared" si="8"/>
        <v/>
      </c>
      <c r="Z36" s="150" t="str">
        <f t="shared" si="9"/>
        <v/>
      </c>
      <c r="AA36" s="143" t="str">
        <f t="shared" si="10"/>
        <v/>
      </c>
      <c r="AB36" s="152" t="str">
        <f t="shared" si="11"/>
        <v/>
      </c>
      <c r="AC36" s="158" t="str">
        <f>IF(AB36="","",IFERROR(INDEX(HELPER!$D$8:$D$48,IF(AB36&gt;=HELPER!$B$8,1,MATCH(AB36,HELPER!$B$8:$B$48,-1)+1)),""))</f>
        <v/>
      </c>
      <c r="AD36" s="155" t="str">
        <f>IF(AC36="","",IFERROR(VLOOKUP(AC36,HELPER!$F$8:$G$48,2,FALSE),""))</f>
        <v/>
      </c>
      <c r="AE36" s="135"/>
      <c r="AF36" s="90"/>
    </row>
    <row r="37" spans="1:32" ht="15" customHeight="1" x14ac:dyDescent="0.25">
      <c r="A37" s="135"/>
      <c r="B37" s="66">
        <v>20</v>
      </c>
      <c r="C37" s="204" t="str">
        <f>IF('INPUT DATA'!K30="","",'INPUT DATA'!K30)</f>
        <v/>
      </c>
      <c r="D37" s="205"/>
      <c r="E37" s="205"/>
      <c r="F37" s="123"/>
      <c r="G37" s="119"/>
      <c r="H37" s="119"/>
      <c r="I37" s="119"/>
      <c r="J37" s="124"/>
      <c r="K37" s="143" t="str">
        <f t="shared" si="0"/>
        <v/>
      </c>
      <c r="L37" s="143" t="str">
        <f t="shared" si="1"/>
        <v/>
      </c>
      <c r="M37" s="146" t="str">
        <f t="shared" si="2"/>
        <v/>
      </c>
      <c r="N37" s="123"/>
      <c r="O37" s="119"/>
      <c r="P37" s="124"/>
      <c r="Q37" s="143" t="str">
        <f t="shared" si="3"/>
        <v/>
      </c>
      <c r="R37" s="143" t="str">
        <f t="shared" si="4"/>
        <v/>
      </c>
      <c r="S37" s="143" t="str">
        <f t="shared" si="5"/>
        <v/>
      </c>
      <c r="T37" s="123"/>
      <c r="U37" s="119"/>
      <c r="V37" s="124"/>
      <c r="W37" s="143" t="str">
        <f t="shared" si="6"/>
        <v/>
      </c>
      <c r="X37" s="143" t="str">
        <f t="shared" si="7"/>
        <v/>
      </c>
      <c r="Y37" s="143" t="str">
        <f t="shared" si="8"/>
        <v/>
      </c>
      <c r="Z37" s="150" t="str">
        <f t="shared" si="9"/>
        <v/>
      </c>
      <c r="AA37" s="143" t="str">
        <f t="shared" si="10"/>
        <v/>
      </c>
      <c r="AB37" s="152" t="str">
        <f t="shared" si="11"/>
        <v/>
      </c>
      <c r="AC37" s="158" t="str">
        <f>IF(AB37="","",IFERROR(INDEX(HELPER!$D$8:$D$48,IF(AB37&gt;=HELPER!$B$8,1,MATCH(AB37,HELPER!$B$8:$B$48,-1)+1)),""))</f>
        <v/>
      </c>
      <c r="AD37" s="155" t="str">
        <f>IF(AC37="","",IFERROR(VLOOKUP(AC37,HELPER!$F$8:$G$48,2,FALSE),""))</f>
        <v/>
      </c>
      <c r="AE37" s="135"/>
      <c r="AF37" s="90"/>
    </row>
    <row r="38" spans="1:32" ht="15" customHeight="1" x14ac:dyDescent="0.25">
      <c r="A38" s="135"/>
      <c r="B38" s="66">
        <v>21</v>
      </c>
      <c r="C38" s="204" t="str">
        <f>IF('INPUT DATA'!K31="","",'INPUT DATA'!K31)</f>
        <v/>
      </c>
      <c r="D38" s="205"/>
      <c r="E38" s="205"/>
      <c r="F38" s="123"/>
      <c r="G38" s="119"/>
      <c r="H38" s="119"/>
      <c r="I38" s="119"/>
      <c r="J38" s="124"/>
      <c r="K38" s="143" t="str">
        <f t="shared" si="0"/>
        <v/>
      </c>
      <c r="L38" s="143" t="str">
        <f t="shared" si="1"/>
        <v/>
      </c>
      <c r="M38" s="146" t="str">
        <f t="shared" si="2"/>
        <v/>
      </c>
      <c r="N38" s="123"/>
      <c r="O38" s="119"/>
      <c r="P38" s="124"/>
      <c r="Q38" s="143" t="str">
        <f t="shared" si="3"/>
        <v/>
      </c>
      <c r="R38" s="143" t="str">
        <f t="shared" si="4"/>
        <v/>
      </c>
      <c r="S38" s="143" t="str">
        <f t="shared" si="5"/>
        <v/>
      </c>
      <c r="T38" s="123"/>
      <c r="U38" s="119"/>
      <c r="V38" s="124"/>
      <c r="W38" s="143" t="str">
        <f t="shared" si="6"/>
        <v/>
      </c>
      <c r="X38" s="143" t="str">
        <f t="shared" si="7"/>
        <v/>
      </c>
      <c r="Y38" s="143" t="str">
        <f t="shared" si="8"/>
        <v/>
      </c>
      <c r="Z38" s="150" t="str">
        <f t="shared" si="9"/>
        <v/>
      </c>
      <c r="AA38" s="143" t="str">
        <f t="shared" si="10"/>
        <v/>
      </c>
      <c r="AB38" s="152" t="str">
        <f t="shared" si="11"/>
        <v/>
      </c>
      <c r="AC38" s="158" t="str">
        <f>IF(AB38="","",IFERROR(INDEX(HELPER!$D$8:$D$48,IF(AB38&gt;=HELPER!$B$8,1,MATCH(AB38,HELPER!$B$8:$B$48,-1)+1)),""))</f>
        <v/>
      </c>
      <c r="AD38" s="155" t="str">
        <f>IF(AC38="","",IFERROR(VLOOKUP(AC38,HELPER!$F$8:$G$48,2,FALSE),""))</f>
        <v/>
      </c>
      <c r="AE38" s="135"/>
      <c r="AF38" s="90"/>
    </row>
    <row r="39" spans="1:32" ht="15" customHeight="1" x14ac:dyDescent="0.25">
      <c r="A39" s="135"/>
      <c r="B39" s="66">
        <v>22</v>
      </c>
      <c r="C39" s="204" t="str">
        <f>IF('INPUT DATA'!K32="","",'INPUT DATA'!K32)</f>
        <v/>
      </c>
      <c r="D39" s="205"/>
      <c r="E39" s="205"/>
      <c r="F39" s="123"/>
      <c r="G39" s="119"/>
      <c r="H39" s="119"/>
      <c r="I39" s="119"/>
      <c r="J39" s="124"/>
      <c r="K39" s="143" t="str">
        <f t="shared" si="0"/>
        <v/>
      </c>
      <c r="L39" s="143" t="str">
        <f t="shared" si="1"/>
        <v/>
      </c>
      <c r="M39" s="146" t="str">
        <f t="shared" si="2"/>
        <v/>
      </c>
      <c r="N39" s="123"/>
      <c r="O39" s="119"/>
      <c r="P39" s="124"/>
      <c r="Q39" s="143" t="str">
        <f t="shared" si="3"/>
        <v/>
      </c>
      <c r="R39" s="143" t="str">
        <f t="shared" si="4"/>
        <v/>
      </c>
      <c r="S39" s="143" t="str">
        <f t="shared" si="5"/>
        <v/>
      </c>
      <c r="T39" s="123"/>
      <c r="U39" s="119"/>
      <c r="V39" s="124"/>
      <c r="W39" s="143" t="str">
        <f t="shared" si="6"/>
        <v/>
      </c>
      <c r="X39" s="143" t="str">
        <f t="shared" si="7"/>
        <v/>
      </c>
      <c r="Y39" s="143" t="str">
        <f t="shared" si="8"/>
        <v/>
      </c>
      <c r="Z39" s="150" t="str">
        <f t="shared" si="9"/>
        <v/>
      </c>
      <c r="AA39" s="143" t="str">
        <f t="shared" si="10"/>
        <v/>
      </c>
      <c r="AB39" s="152" t="str">
        <f t="shared" si="11"/>
        <v/>
      </c>
      <c r="AC39" s="158" t="str">
        <f>IF(AB39="","",IFERROR(INDEX(HELPER!$D$8:$D$48,IF(AB39&gt;=HELPER!$B$8,1,MATCH(AB39,HELPER!$B$8:$B$48,-1)+1)),""))</f>
        <v/>
      </c>
      <c r="AD39" s="155" t="str">
        <f>IF(AC39="","",IFERROR(VLOOKUP(AC39,HELPER!$F$8:$G$48,2,FALSE),""))</f>
        <v/>
      </c>
      <c r="AE39" s="135"/>
      <c r="AF39" s="90"/>
    </row>
    <row r="40" spans="1:32" ht="15" customHeight="1" x14ac:dyDescent="0.25">
      <c r="A40" s="135"/>
      <c r="B40" s="66">
        <v>23</v>
      </c>
      <c r="C40" s="204" t="str">
        <f>IF('INPUT DATA'!K33="","",'INPUT DATA'!K33)</f>
        <v/>
      </c>
      <c r="D40" s="205"/>
      <c r="E40" s="205"/>
      <c r="F40" s="123"/>
      <c r="G40" s="119"/>
      <c r="H40" s="119"/>
      <c r="I40" s="119"/>
      <c r="J40" s="124"/>
      <c r="K40" s="143" t="str">
        <f t="shared" si="0"/>
        <v/>
      </c>
      <c r="L40" s="143" t="str">
        <f t="shared" si="1"/>
        <v/>
      </c>
      <c r="M40" s="146" t="str">
        <f t="shared" si="2"/>
        <v/>
      </c>
      <c r="N40" s="123"/>
      <c r="O40" s="119"/>
      <c r="P40" s="124"/>
      <c r="Q40" s="143" t="str">
        <f t="shared" si="3"/>
        <v/>
      </c>
      <c r="R40" s="143" t="str">
        <f t="shared" si="4"/>
        <v/>
      </c>
      <c r="S40" s="143" t="str">
        <f t="shared" si="5"/>
        <v/>
      </c>
      <c r="T40" s="123"/>
      <c r="U40" s="119"/>
      <c r="V40" s="124"/>
      <c r="W40" s="143" t="str">
        <f t="shared" si="6"/>
        <v/>
      </c>
      <c r="X40" s="143" t="str">
        <f t="shared" si="7"/>
        <v/>
      </c>
      <c r="Y40" s="143" t="str">
        <f t="shared" si="8"/>
        <v/>
      </c>
      <c r="Z40" s="150" t="str">
        <f t="shared" si="9"/>
        <v/>
      </c>
      <c r="AA40" s="143" t="str">
        <f t="shared" si="10"/>
        <v/>
      </c>
      <c r="AB40" s="152" t="str">
        <f t="shared" si="11"/>
        <v/>
      </c>
      <c r="AC40" s="158" t="str">
        <f>IF(AB40="","",IFERROR(INDEX(HELPER!$D$8:$D$48,IF(AB40&gt;=HELPER!$B$8,1,MATCH(AB40,HELPER!$B$8:$B$48,-1)+1)),""))</f>
        <v/>
      </c>
      <c r="AD40" s="155" t="str">
        <f>IF(AC40="","",IFERROR(VLOOKUP(AC40,HELPER!$F$8:$G$48,2,FALSE),""))</f>
        <v/>
      </c>
      <c r="AE40" s="135"/>
      <c r="AF40" s="90"/>
    </row>
    <row r="41" spans="1:32" ht="15" customHeight="1" x14ac:dyDescent="0.25">
      <c r="A41" s="135"/>
      <c r="B41" s="66">
        <v>24</v>
      </c>
      <c r="C41" s="204" t="str">
        <f>IF('INPUT DATA'!K34="","",'INPUT DATA'!K34)</f>
        <v/>
      </c>
      <c r="D41" s="205"/>
      <c r="E41" s="205"/>
      <c r="F41" s="123"/>
      <c r="G41" s="119"/>
      <c r="H41" s="119"/>
      <c r="I41" s="119"/>
      <c r="J41" s="124"/>
      <c r="K41" s="143" t="str">
        <f t="shared" si="0"/>
        <v/>
      </c>
      <c r="L41" s="143" t="str">
        <f t="shared" si="1"/>
        <v/>
      </c>
      <c r="M41" s="146" t="str">
        <f t="shared" si="2"/>
        <v/>
      </c>
      <c r="N41" s="123"/>
      <c r="O41" s="119"/>
      <c r="P41" s="124"/>
      <c r="Q41" s="143" t="str">
        <f t="shared" si="3"/>
        <v/>
      </c>
      <c r="R41" s="143" t="str">
        <f t="shared" si="4"/>
        <v/>
      </c>
      <c r="S41" s="143" t="str">
        <f t="shared" si="5"/>
        <v/>
      </c>
      <c r="T41" s="123"/>
      <c r="U41" s="119"/>
      <c r="V41" s="124"/>
      <c r="W41" s="143" t="str">
        <f t="shared" si="6"/>
        <v/>
      </c>
      <c r="X41" s="143" t="str">
        <f t="shared" si="7"/>
        <v/>
      </c>
      <c r="Y41" s="143" t="str">
        <f t="shared" si="8"/>
        <v/>
      </c>
      <c r="Z41" s="150" t="str">
        <f t="shared" si="9"/>
        <v/>
      </c>
      <c r="AA41" s="143" t="str">
        <f t="shared" si="10"/>
        <v/>
      </c>
      <c r="AB41" s="152" t="str">
        <f t="shared" si="11"/>
        <v/>
      </c>
      <c r="AC41" s="158" t="str">
        <f>IF(AB41="","",IFERROR(INDEX(HELPER!$D$8:$D$48,IF(AB41&gt;=HELPER!$B$8,1,MATCH(AB41,HELPER!$B$8:$B$48,-1)+1)),""))</f>
        <v/>
      </c>
      <c r="AD41" s="155" t="str">
        <f>IF(AC41="","",IFERROR(VLOOKUP(AC41,HELPER!$F$8:$G$48,2,FALSE),""))</f>
        <v/>
      </c>
      <c r="AE41" s="135"/>
      <c r="AF41" s="90"/>
    </row>
    <row r="42" spans="1:32" ht="15" customHeight="1" x14ac:dyDescent="0.25">
      <c r="A42" s="135"/>
      <c r="B42" s="66">
        <v>25</v>
      </c>
      <c r="C42" s="204" t="str">
        <f>IF('INPUT DATA'!K35="","",'INPUT DATA'!K35)</f>
        <v/>
      </c>
      <c r="D42" s="205"/>
      <c r="E42" s="205"/>
      <c r="F42" s="123"/>
      <c r="G42" s="119"/>
      <c r="H42" s="119"/>
      <c r="I42" s="119"/>
      <c r="J42" s="124"/>
      <c r="K42" s="143" t="str">
        <f t="shared" si="0"/>
        <v/>
      </c>
      <c r="L42" s="143" t="str">
        <f t="shared" si="1"/>
        <v/>
      </c>
      <c r="M42" s="146" t="str">
        <f t="shared" si="2"/>
        <v/>
      </c>
      <c r="N42" s="123"/>
      <c r="O42" s="119"/>
      <c r="P42" s="124"/>
      <c r="Q42" s="143" t="str">
        <f t="shared" si="3"/>
        <v/>
      </c>
      <c r="R42" s="143" t="str">
        <f t="shared" si="4"/>
        <v/>
      </c>
      <c r="S42" s="143" t="str">
        <f t="shared" si="5"/>
        <v/>
      </c>
      <c r="T42" s="123"/>
      <c r="U42" s="119"/>
      <c r="V42" s="124"/>
      <c r="W42" s="143" t="str">
        <f t="shared" si="6"/>
        <v/>
      </c>
      <c r="X42" s="143" t="str">
        <f t="shared" si="7"/>
        <v/>
      </c>
      <c r="Y42" s="143" t="str">
        <f t="shared" si="8"/>
        <v/>
      </c>
      <c r="Z42" s="150" t="str">
        <f t="shared" si="9"/>
        <v/>
      </c>
      <c r="AA42" s="143" t="str">
        <f t="shared" si="10"/>
        <v/>
      </c>
      <c r="AB42" s="152" t="str">
        <f t="shared" si="11"/>
        <v/>
      </c>
      <c r="AC42" s="158" t="str">
        <f>IF(AB42="","",IFERROR(INDEX(HELPER!$D$8:$D$48,IF(AB42&gt;=HELPER!$B$8,1,MATCH(AB42,HELPER!$B$8:$B$48,-1)+1)),""))</f>
        <v/>
      </c>
      <c r="AD42" s="155" t="str">
        <f>IF(AC42="","",IFERROR(VLOOKUP(AC42,HELPER!$F$8:$G$48,2,FALSE),""))</f>
        <v/>
      </c>
      <c r="AE42" s="135"/>
      <c r="AF42" s="90"/>
    </row>
    <row r="43" spans="1:32" ht="15" customHeight="1" x14ac:dyDescent="0.25">
      <c r="A43" s="135"/>
      <c r="B43" s="66">
        <v>26</v>
      </c>
      <c r="C43" s="204" t="str">
        <f>IF('INPUT DATA'!K36="","",'INPUT DATA'!K36)</f>
        <v/>
      </c>
      <c r="D43" s="205"/>
      <c r="E43" s="205"/>
      <c r="F43" s="123"/>
      <c r="G43" s="119"/>
      <c r="H43" s="119"/>
      <c r="I43" s="119"/>
      <c r="J43" s="124"/>
      <c r="K43" s="143" t="str">
        <f t="shared" si="0"/>
        <v/>
      </c>
      <c r="L43" s="143" t="str">
        <f t="shared" si="1"/>
        <v/>
      </c>
      <c r="M43" s="146" t="str">
        <f t="shared" si="2"/>
        <v/>
      </c>
      <c r="N43" s="123"/>
      <c r="O43" s="119"/>
      <c r="P43" s="124"/>
      <c r="Q43" s="143" t="str">
        <f t="shared" si="3"/>
        <v/>
      </c>
      <c r="R43" s="143" t="str">
        <f t="shared" si="4"/>
        <v/>
      </c>
      <c r="S43" s="143" t="str">
        <f t="shared" si="5"/>
        <v/>
      </c>
      <c r="T43" s="123"/>
      <c r="U43" s="119"/>
      <c r="V43" s="124"/>
      <c r="W43" s="143" t="str">
        <f t="shared" si="6"/>
        <v/>
      </c>
      <c r="X43" s="143" t="str">
        <f t="shared" si="7"/>
        <v/>
      </c>
      <c r="Y43" s="143" t="str">
        <f t="shared" si="8"/>
        <v/>
      </c>
      <c r="Z43" s="150" t="str">
        <f t="shared" si="9"/>
        <v/>
      </c>
      <c r="AA43" s="143" t="str">
        <f t="shared" si="10"/>
        <v/>
      </c>
      <c r="AB43" s="152" t="str">
        <f t="shared" si="11"/>
        <v/>
      </c>
      <c r="AC43" s="158" t="str">
        <f>IF(AB43="","",IFERROR(INDEX(HELPER!$D$8:$D$48,IF(AB43&gt;=HELPER!$B$8,1,MATCH(AB43,HELPER!$B$8:$B$48,-1)+1)),""))</f>
        <v/>
      </c>
      <c r="AD43" s="155" t="str">
        <f>IF(AC43="","",IFERROR(VLOOKUP(AC43,HELPER!$F$8:$G$48,2,FALSE),""))</f>
        <v/>
      </c>
      <c r="AE43" s="135"/>
      <c r="AF43" s="90"/>
    </row>
    <row r="44" spans="1:32" ht="15" customHeight="1" x14ac:dyDescent="0.25">
      <c r="A44" s="135"/>
      <c r="B44" s="66">
        <v>27</v>
      </c>
      <c r="C44" s="204" t="str">
        <f>IF('INPUT DATA'!K37="","",'INPUT DATA'!K37)</f>
        <v/>
      </c>
      <c r="D44" s="205"/>
      <c r="E44" s="205"/>
      <c r="F44" s="123"/>
      <c r="G44" s="119"/>
      <c r="H44" s="119"/>
      <c r="I44" s="119"/>
      <c r="J44" s="124"/>
      <c r="K44" s="143" t="str">
        <f t="shared" si="0"/>
        <v/>
      </c>
      <c r="L44" s="143" t="str">
        <f t="shared" si="1"/>
        <v/>
      </c>
      <c r="M44" s="146" t="str">
        <f t="shared" si="2"/>
        <v/>
      </c>
      <c r="N44" s="123"/>
      <c r="O44" s="119"/>
      <c r="P44" s="124"/>
      <c r="Q44" s="143" t="str">
        <f t="shared" si="3"/>
        <v/>
      </c>
      <c r="R44" s="143" t="str">
        <f t="shared" si="4"/>
        <v/>
      </c>
      <c r="S44" s="143" t="str">
        <f t="shared" si="5"/>
        <v/>
      </c>
      <c r="T44" s="123"/>
      <c r="U44" s="119"/>
      <c r="V44" s="124"/>
      <c r="W44" s="143" t="str">
        <f t="shared" si="6"/>
        <v/>
      </c>
      <c r="X44" s="143" t="str">
        <f t="shared" si="7"/>
        <v/>
      </c>
      <c r="Y44" s="143" t="str">
        <f t="shared" si="8"/>
        <v/>
      </c>
      <c r="Z44" s="150" t="str">
        <f t="shared" si="9"/>
        <v/>
      </c>
      <c r="AA44" s="143" t="str">
        <f t="shared" si="10"/>
        <v/>
      </c>
      <c r="AB44" s="152" t="str">
        <f t="shared" si="11"/>
        <v/>
      </c>
      <c r="AC44" s="158" t="str">
        <f>IF(AB44="","",IFERROR(INDEX(HELPER!$D$8:$D$48,IF(AB44&gt;=HELPER!$B$8,1,MATCH(AB44,HELPER!$B$8:$B$48,-1)+1)),""))</f>
        <v/>
      </c>
      <c r="AD44" s="155" t="str">
        <f>IF(AC44="","",IFERROR(VLOOKUP(AC44,HELPER!$F$8:$G$48,2,FALSE),""))</f>
        <v/>
      </c>
      <c r="AE44" s="135"/>
      <c r="AF44" s="90"/>
    </row>
    <row r="45" spans="1:32" ht="15" customHeight="1" x14ac:dyDescent="0.25">
      <c r="A45" s="135"/>
      <c r="B45" s="66">
        <v>28</v>
      </c>
      <c r="C45" s="204" t="str">
        <f>IF('INPUT DATA'!K38="","",'INPUT DATA'!K38)</f>
        <v/>
      </c>
      <c r="D45" s="205"/>
      <c r="E45" s="205"/>
      <c r="F45" s="123"/>
      <c r="G45" s="119"/>
      <c r="H45" s="119"/>
      <c r="I45" s="119"/>
      <c r="J45" s="124"/>
      <c r="K45" s="143" t="str">
        <f t="shared" si="0"/>
        <v/>
      </c>
      <c r="L45" s="143" t="str">
        <f t="shared" si="1"/>
        <v/>
      </c>
      <c r="M45" s="146" t="str">
        <f t="shared" si="2"/>
        <v/>
      </c>
      <c r="N45" s="123"/>
      <c r="O45" s="119"/>
      <c r="P45" s="124"/>
      <c r="Q45" s="143" t="str">
        <f t="shared" si="3"/>
        <v/>
      </c>
      <c r="R45" s="143" t="str">
        <f t="shared" si="4"/>
        <v/>
      </c>
      <c r="S45" s="143" t="str">
        <f t="shared" si="5"/>
        <v/>
      </c>
      <c r="T45" s="123"/>
      <c r="U45" s="119"/>
      <c r="V45" s="124"/>
      <c r="W45" s="143" t="str">
        <f t="shared" si="6"/>
        <v/>
      </c>
      <c r="X45" s="143" t="str">
        <f t="shared" si="7"/>
        <v/>
      </c>
      <c r="Y45" s="143" t="str">
        <f t="shared" si="8"/>
        <v/>
      </c>
      <c r="Z45" s="150" t="str">
        <f t="shared" si="9"/>
        <v/>
      </c>
      <c r="AA45" s="143" t="str">
        <f t="shared" si="10"/>
        <v/>
      </c>
      <c r="AB45" s="152" t="str">
        <f t="shared" si="11"/>
        <v/>
      </c>
      <c r="AC45" s="158" t="str">
        <f>IF(AB45="","",IFERROR(INDEX(HELPER!$D$8:$D$48,IF(AB45&gt;=HELPER!$B$8,1,MATCH(AB45,HELPER!$B$8:$B$48,-1)+1)),""))</f>
        <v/>
      </c>
      <c r="AD45" s="155" t="str">
        <f>IF(AC45="","",IFERROR(VLOOKUP(AC45,HELPER!$F$8:$G$48,2,FALSE),""))</f>
        <v/>
      </c>
      <c r="AE45" s="135"/>
      <c r="AF45" s="90"/>
    </row>
    <row r="46" spans="1:32" ht="15" customHeight="1" x14ac:dyDescent="0.25">
      <c r="A46" s="135"/>
      <c r="B46" s="66">
        <v>29</v>
      </c>
      <c r="C46" s="204" t="str">
        <f>IF('INPUT DATA'!K39="","",'INPUT DATA'!K39)</f>
        <v/>
      </c>
      <c r="D46" s="205"/>
      <c r="E46" s="205"/>
      <c r="F46" s="123"/>
      <c r="G46" s="119"/>
      <c r="H46" s="119"/>
      <c r="I46" s="119"/>
      <c r="J46" s="124"/>
      <c r="K46" s="143" t="str">
        <f t="shared" si="0"/>
        <v/>
      </c>
      <c r="L46" s="143" t="str">
        <f t="shared" si="1"/>
        <v/>
      </c>
      <c r="M46" s="146" t="str">
        <f t="shared" si="2"/>
        <v/>
      </c>
      <c r="N46" s="123"/>
      <c r="O46" s="119"/>
      <c r="P46" s="124"/>
      <c r="Q46" s="143" t="str">
        <f t="shared" si="3"/>
        <v/>
      </c>
      <c r="R46" s="143" t="str">
        <f t="shared" si="4"/>
        <v/>
      </c>
      <c r="S46" s="143" t="str">
        <f t="shared" si="5"/>
        <v/>
      </c>
      <c r="T46" s="123"/>
      <c r="U46" s="119"/>
      <c r="V46" s="124"/>
      <c r="W46" s="143" t="str">
        <f t="shared" si="6"/>
        <v/>
      </c>
      <c r="X46" s="143" t="str">
        <f t="shared" si="7"/>
        <v/>
      </c>
      <c r="Y46" s="143" t="str">
        <f t="shared" si="8"/>
        <v/>
      </c>
      <c r="Z46" s="150" t="str">
        <f t="shared" si="9"/>
        <v/>
      </c>
      <c r="AA46" s="143" t="str">
        <f t="shared" si="10"/>
        <v/>
      </c>
      <c r="AB46" s="152" t="str">
        <f t="shared" si="11"/>
        <v/>
      </c>
      <c r="AC46" s="158" t="str">
        <f>IF(AB46="","",IFERROR(INDEX(HELPER!$D$8:$D$48,IF(AB46&gt;=HELPER!$B$8,1,MATCH(AB46,HELPER!$B$8:$B$48,-1)+1)),""))</f>
        <v/>
      </c>
      <c r="AD46" s="155" t="str">
        <f>IF(AC46="","",IFERROR(VLOOKUP(AC46,HELPER!$F$8:$G$48,2,FALSE),""))</f>
        <v/>
      </c>
      <c r="AE46" s="135"/>
      <c r="AF46" s="90"/>
    </row>
    <row r="47" spans="1:32" ht="15" customHeight="1" x14ac:dyDescent="0.25">
      <c r="A47" s="135"/>
      <c r="B47" s="66">
        <v>30</v>
      </c>
      <c r="C47" s="204" t="str">
        <f>IF('INPUT DATA'!K40="","",'INPUT DATA'!K40)</f>
        <v/>
      </c>
      <c r="D47" s="205"/>
      <c r="E47" s="205"/>
      <c r="F47" s="123"/>
      <c r="G47" s="119"/>
      <c r="H47" s="119"/>
      <c r="I47" s="119"/>
      <c r="J47" s="124"/>
      <c r="K47" s="143" t="str">
        <f t="shared" si="0"/>
        <v/>
      </c>
      <c r="L47" s="143" t="str">
        <f t="shared" si="1"/>
        <v/>
      </c>
      <c r="M47" s="146" t="str">
        <f t="shared" si="2"/>
        <v/>
      </c>
      <c r="N47" s="123"/>
      <c r="O47" s="119"/>
      <c r="P47" s="124"/>
      <c r="Q47" s="143" t="str">
        <f t="shared" si="3"/>
        <v/>
      </c>
      <c r="R47" s="143" t="str">
        <f t="shared" si="4"/>
        <v/>
      </c>
      <c r="S47" s="143" t="str">
        <f t="shared" si="5"/>
        <v/>
      </c>
      <c r="T47" s="123"/>
      <c r="U47" s="119"/>
      <c r="V47" s="124"/>
      <c r="W47" s="143" t="str">
        <f t="shared" si="6"/>
        <v/>
      </c>
      <c r="X47" s="143" t="str">
        <f t="shared" si="7"/>
        <v/>
      </c>
      <c r="Y47" s="143" t="str">
        <f t="shared" si="8"/>
        <v/>
      </c>
      <c r="Z47" s="150" t="str">
        <f t="shared" si="9"/>
        <v/>
      </c>
      <c r="AA47" s="143" t="str">
        <f t="shared" si="10"/>
        <v/>
      </c>
      <c r="AB47" s="152" t="str">
        <f t="shared" si="11"/>
        <v/>
      </c>
      <c r="AC47" s="158" t="str">
        <f>IF(AB47="","",IFERROR(INDEX(HELPER!$D$8:$D$48,IF(AB47&gt;=HELPER!$B$8,1,MATCH(AB47,HELPER!$B$8:$B$48,-1)+1)),""))</f>
        <v/>
      </c>
      <c r="AD47" s="155" t="str">
        <f>IF(AC47="","",IFERROR(VLOOKUP(AC47,HELPER!$F$8:$G$48,2,FALSE),""))</f>
        <v/>
      </c>
      <c r="AE47" s="135"/>
      <c r="AF47" s="90"/>
    </row>
    <row r="48" spans="1:32" ht="15" customHeight="1" x14ac:dyDescent="0.25">
      <c r="A48" s="135"/>
      <c r="B48" s="66">
        <v>31</v>
      </c>
      <c r="C48" s="204" t="str">
        <f>IF('INPUT DATA'!K41="","",'INPUT DATA'!K41)</f>
        <v/>
      </c>
      <c r="D48" s="205"/>
      <c r="E48" s="205"/>
      <c r="F48" s="123"/>
      <c r="G48" s="119"/>
      <c r="H48" s="119"/>
      <c r="I48" s="119"/>
      <c r="J48" s="124"/>
      <c r="K48" s="143" t="str">
        <f t="shared" si="0"/>
        <v/>
      </c>
      <c r="L48" s="143" t="str">
        <f t="shared" si="1"/>
        <v/>
      </c>
      <c r="M48" s="146" t="str">
        <f t="shared" si="2"/>
        <v/>
      </c>
      <c r="N48" s="123"/>
      <c r="O48" s="119"/>
      <c r="P48" s="124"/>
      <c r="Q48" s="143" t="str">
        <f t="shared" si="3"/>
        <v/>
      </c>
      <c r="R48" s="143" t="str">
        <f t="shared" si="4"/>
        <v/>
      </c>
      <c r="S48" s="143" t="str">
        <f t="shared" si="5"/>
        <v/>
      </c>
      <c r="T48" s="123"/>
      <c r="U48" s="119"/>
      <c r="V48" s="124"/>
      <c r="W48" s="143" t="str">
        <f t="shared" si="6"/>
        <v/>
      </c>
      <c r="X48" s="143" t="str">
        <f t="shared" si="7"/>
        <v/>
      </c>
      <c r="Y48" s="143" t="str">
        <f t="shared" si="8"/>
        <v/>
      </c>
      <c r="Z48" s="150" t="str">
        <f t="shared" si="9"/>
        <v/>
      </c>
      <c r="AA48" s="143" t="str">
        <f t="shared" si="10"/>
        <v/>
      </c>
      <c r="AB48" s="152" t="str">
        <f t="shared" si="11"/>
        <v/>
      </c>
      <c r="AC48" s="158" t="str">
        <f>IF(AB48="","",IFERROR(INDEX(HELPER!$D$8:$D$48,IF(AB48&gt;=HELPER!$B$8,1,MATCH(AB48,HELPER!$B$8:$B$48,-1)+1)),""))</f>
        <v/>
      </c>
      <c r="AD48" s="155" t="str">
        <f>IF(AC48="","",IFERROR(VLOOKUP(AC48,HELPER!$F$8:$G$48,2,FALSE),""))</f>
        <v/>
      </c>
      <c r="AE48" s="135"/>
      <c r="AF48" s="90"/>
    </row>
    <row r="49" spans="1:32" ht="15" customHeight="1" x14ac:dyDescent="0.25">
      <c r="A49" s="135"/>
      <c r="B49" s="66">
        <v>32</v>
      </c>
      <c r="C49" s="204" t="str">
        <f>IF('INPUT DATA'!K42="","",'INPUT DATA'!K42)</f>
        <v/>
      </c>
      <c r="D49" s="205"/>
      <c r="E49" s="205"/>
      <c r="F49" s="123"/>
      <c r="G49" s="119"/>
      <c r="H49" s="119"/>
      <c r="I49" s="119"/>
      <c r="J49" s="124"/>
      <c r="K49" s="143" t="str">
        <f t="shared" si="0"/>
        <v/>
      </c>
      <c r="L49" s="143" t="str">
        <f t="shared" si="1"/>
        <v/>
      </c>
      <c r="M49" s="146" t="str">
        <f t="shared" si="2"/>
        <v/>
      </c>
      <c r="N49" s="123"/>
      <c r="O49" s="119"/>
      <c r="P49" s="124"/>
      <c r="Q49" s="143" t="str">
        <f t="shared" si="3"/>
        <v/>
      </c>
      <c r="R49" s="143" t="str">
        <f t="shared" si="4"/>
        <v/>
      </c>
      <c r="S49" s="143" t="str">
        <f t="shared" si="5"/>
        <v/>
      </c>
      <c r="T49" s="123"/>
      <c r="U49" s="119"/>
      <c r="V49" s="124"/>
      <c r="W49" s="143" t="str">
        <f t="shared" si="6"/>
        <v/>
      </c>
      <c r="X49" s="143" t="str">
        <f t="shared" si="7"/>
        <v/>
      </c>
      <c r="Y49" s="143" t="str">
        <f t="shared" si="8"/>
        <v/>
      </c>
      <c r="Z49" s="150" t="str">
        <f t="shared" si="9"/>
        <v/>
      </c>
      <c r="AA49" s="143" t="str">
        <f t="shared" si="10"/>
        <v/>
      </c>
      <c r="AB49" s="152" t="str">
        <f t="shared" si="11"/>
        <v/>
      </c>
      <c r="AC49" s="158" t="str">
        <f>IF(AB49="","",IFERROR(INDEX(HELPER!$D$8:$D$48,IF(AB49&gt;=HELPER!$B$8,1,MATCH(AB49,HELPER!$B$8:$B$48,-1)+1)),""))</f>
        <v/>
      </c>
      <c r="AD49" s="155" t="str">
        <f>IF(AC49="","",IFERROR(VLOOKUP(AC49,HELPER!$F$8:$G$48,2,FALSE),""))</f>
        <v/>
      </c>
      <c r="AE49" s="135"/>
      <c r="AF49" s="90"/>
    </row>
    <row r="50" spans="1:32" ht="15" customHeight="1" x14ac:dyDescent="0.25">
      <c r="A50" s="135"/>
      <c r="B50" s="66">
        <v>33</v>
      </c>
      <c r="C50" s="204" t="str">
        <f>IF('INPUT DATA'!K43="","",'INPUT DATA'!K43)</f>
        <v/>
      </c>
      <c r="D50" s="205"/>
      <c r="E50" s="205"/>
      <c r="F50" s="123"/>
      <c r="G50" s="119"/>
      <c r="H50" s="119"/>
      <c r="I50" s="119"/>
      <c r="J50" s="124"/>
      <c r="K50" s="143" t="str">
        <f t="shared" si="0"/>
        <v/>
      </c>
      <c r="L50" s="143" t="str">
        <f t="shared" si="1"/>
        <v/>
      </c>
      <c r="M50" s="146" t="str">
        <f t="shared" si="2"/>
        <v/>
      </c>
      <c r="N50" s="123"/>
      <c r="O50" s="119"/>
      <c r="P50" s="124"/>
      <c r="Q50" s="143" t="str">
        <f t="shared" si="3"/>
        <v/>
      </c>
      <c r="R50" s="143" t="str">
        <f t="shared" si="4"/>
        <v/>
      </c>
      <c r="S50" s="143" t="str">
        <f t="shared" si="5"/>
        <v/>
      </c>
      <c r="T50" s="123"/>
      <c r="U50" s="119"/>
      <c r="V50" s="124"/>
      <c r="W50" s="143" t="str">
        <f t="shared" si="6"/>
        <v/>
      </c>
      <c r="X50" s="143" t="str">
        <f t="shared" si="7"/>
        <v/>
      </c>
      <c r="Y50" s="143" t="str">
        <f t="shared" si="8"/>
        <v/>
      </c>
      <c r="Z50" s="150" t="str">
        <f t="shared" si="9"/>
        <v/>
      </c>
      <c r="AA50" s="143" t="str">
        <f t="shared" si="10"/>
        <v/>
      </c>
      <c r="AB50" s="152" t="str">
        <f t="shared" si="11"/>
        <v/>
      </c>
      <c r="AC50" s="158" t="str">
        <f>IF(AB50="","",IFERROR(INDEX(HELPER!$D$8:$D$48,IF(AB50&gt;=HELPER!$B$8,1,MATCH(AB50,HELPER!$B$8:$B$48,-1)+1)),""))</f>
        <v/>
      </c>
      <c r="AD50" s="155" t="str">
        <f>IF(AC50="","",IFERROR(VLOOKUP(AC50,HELPER!$F$8:$G$48,2,FALSE),""))</f>
        <v/>
      </c>
      <c r="AE50" s="135"/>
      <c r="AF50" s="90"/>
    </row>
    <row r="51" spans="1:32" ht="15" customHeight="1" x14ac:dyDescent="0.25">
      <c r="A51" s="135"/>
      <c r="B51" s="66">
        <v>34</v>
      </c>
      <c r="C51" s="204" t="str">
        <f>IF('INPUT DATA'!K44="","",'INPUT DATA'!K44)</f>
        <v/>
      </c>
      <c r="D51" s="205"/>
      <c r="E51" s="205"/>
      <c r="F51" s="123"/>
      <c r="G51" s="119"/>
      <c r="H51" s="119"/>
      <c r="I51" s="119"/>
      <c r="J51" s="124"/>
      <c r="K51" s="143" t="str">
        <f t="shared" si="0"/>
        <v/>
      </c>
      <c r="L51" s="143" t="str">
        <f t="shared" si="1"/>
        <v/>
      </c>
      <c r="M51" s="146" t="str">
        <f t="shared" si="2"/>
        <v/>
      </c>
      <c r="N51" s="123"/>
      <c r="O51" s="119"/>
      <c r="P51" s="124"/>
      <c r="Q51" s="143" t="str">
        <f t="shared" si="3"/>
        <v/>
      </c>
      <c r="R51" s="143" t="str">
        <f t="shared" si="4"/>
        <v/>
      </c>
      <c r="S51" s="143" t="str">
        <f t="shared" si="5"/>
        <v/>
      </c>
      <c r="T51" s="123"/>
      <c r="U51" s="119"/>
      <c r="V51" s="124"/>
      <c r="W51" s="143" t="str">
        <f t="shared" si="6"/>
        <v/>
      </c>
      <c r="X51" s="143" t="str">
        <f t="shared" si="7"/>
        <v/>
      </c>
      <c r="Y51" s="143" t="str">
        <f t="shared" si="8"/>
        <v/>
      </c>
      <c r="Z51" s="150" t="str">
        <f t="shared" si="9"/>
        <v/>
      </c>
      <c r="AA51" s="143" t="str">
        <f t="shared" si="10"/>
        <v/>
      </c>
      <c r="AB51" s="152" t="str">
        <f t="shared" si="11"/>
        <v/>
      </c>
      <c r="AC51" s="158" t="str">
        <f>IF(AB51="","",IFERROR(INDEX(HELPER!$D$8:$D$48,IF(AB51&gt;=HELPER!$B$8,1,MATCH(AB51,HELPER!$B$8:$B$48,-1)+1)),""))</f>
        <v/>
      </c>
      <c r="AD51" s="155" t="str">
        <f>IF(AC51="","",IFERROR(VLOOKUP(AC51,HELPER!$F$8:$G$48,2,FALSE),""))</f>
        <v/>
      </c>
      <c r="AE51" s="135"/>
      <c r="AF51" s="90"/>
    </row>
    <row r="52" spans="1:32" ht="15" customHeight="1" x14ac:dyDescent="0.25">
      <c r="A52" s="135"/>
      <c r="B52" s="66">
        <v>35</v>
      </c>
      <c r="C52" s="204" t="str">
        <f>IF('INPUT DATA'!K45="","",'INPUT DATA'!K45)</f>
        <v/>
      </c>
      <c r="D52" s="205"/>
      <c r="E52" s="205"/>
      <c r="F52" s="123"/>
      <c r="G52" s="119"/>
      <c r="H52" s="119"/>
      <c r="I52" s="119"/>
      <c r="J52" s="124"/>
      <c r="K52" s="143" t="str">
        <f t="shared" si="0"/>
        <v/>
      </c>
      <c r="L52" s="143" t="str">
        <f t="shared" si="1"/>
        <v/>
      </c>
      <c r="M52" s="146" t="str">
        <f t="shared" si="2"/>
        <v/>
      </c>
      <c r="N52" s="123"/>
      <c r="O52" s="119"/>
      <c r="P52" s="124"/>
      <c r="Q52" s="143" t="str">
        <f t="shared" si="3"/>
        <v/>
      </c>
      <c r="R52" s="143" t="str">
        <f t="shared" si="4"/>
        <v/>
      </c>
      <c r="S52" s="143" t="str">
        <f t="shared" si="5"/>
        <v/>
      </c>
      <c r="T52" s="123"/>
      <c r="U52" s="119"/>
      <c r="V52" s="124"/>
      <c r="W52" s="143" t="str">
        <f t="shared" si="6"/>
        <v/>
      </c>
      <c r="X52" s="143" t="str">
        <f t="shared" si="7"/>
        <v/>
      </c>
      <c r="Y52" s="143" t="str">
        <f t="shared" si="8"/>
        <v/>
      </c>
      <c r="Z52" s="150" t="str">
        <f t="shared" si="9"/>
        <v/>
      </c>
      <c r="AA52" s="143" t="str">
        <f t="shared" si="10"/>
        <v/>
      </c>
      <c r="AB52" s="152" t="str">
        <f t="shared" si="11"/>
        <v/>
      </c>
      <c r="AC52" s="158" t="str">
        <f>IF(AB52="","",IFERROR(INDEX(HELPER!$D$8:$D$48,IF(AB52&gt;=HELPER!$B$8,1,MATCH(AB52,HELPER!$B$8:$B$48,-1)+1)),""))</f>
        <v/>
      </c>
      <c r="AD52" s="155" t="str">
        <f>IF(AC52="","",IFERROR(VLOOKUP(AC52,HELPER!$F$8:$G$48,2,FALSE),""))</f>
        <v/>
      </c>
      <c r="AE52" s="135"/>
      <c r="AF52" s="90"/>
    </row>
    <row r="53" spans="1:32" ht="15" customHeight="1" x14ac:dyDescent="0.25">
      <c r="A53" s="135"/>
      <c r="B53" s="66">
        <v>36</v>
      </c>
      <c r="C53" s="204" t="str">
        <f>IF('INPUT DATA'!K46="","",'INPUT DATA'!K46)</f>
        <v/>
      </c>
      <c r="D53" s="205"/>
      <c r="E53" s="205"/>
      <c r="F53" s="123"/>
      <c r="G53" s="119"/>
      <c r="H53" s="119"/>
      <c r="I53" s="119"/>
      <c r="J53" s="124"/>
      <c r="K53" s="143" t="str">
        <f t="shared" si="0"/>
        <v/>
      </c>
      <c r="L53" s="143" t="str">
        <f t="shared" si="1"/>
        <v/>
      </c>
      <c r="M53" s="146" t="str">
        <f t="shared" si="2"/>
        <v/>
      </c>
      <c r="N53" s="123"/>
      <c r="O53" s="119"/>
      <c r="P53" s="124"/>
      <c r="Q53" s="143" t="str">
        <f t="shared" si="3"/>
        <v/>
      </c>
      <c r="R53" s="143" t="str">
        <f t="shared" si="4"/>
        <v/>
      </c>
      <c r="S53" s="143" t="str">
        <f t="shared" si="5"/>
        <v/>
      </c>
      <c r="T53" s="123"/>
      <c r="U53" s="119"/>
      <c r="V53" s="124"/>
      <c r="W53" s="143" t="str">
        <f t="shared" si="6"/>
        <v/>
      </c>
      <c r="X53" s="143" t="str">
        <f t="shared" si="7"/>
        <v/>
      </c>
      <c r="Y53" s="143" t="str">
        <f t="shared" si="8"/>
        <v/>
      </c>
      <c r="Z53" s="150" t="str">
        <f t="shared" si="9"/>
        <v/>
      </c>
      <c r="AA53" s="143" t="str">
        <f t="shared" si="10"/>
        <v/>
      </c>
      <c r="AB53" s="152" t="str">
        <f t="shared" si="11"/>
        <v/>
      </c>
      <c r="AC53" s="158" t="str">
        <f>IF(AB53="","",IFERROR(INDEX(HELPER!$D$8:$D$48,IF(AB53&gt;=HELPER!$B$8,1,MATCH(AB53,HELPER!$B$8:$B$48,-1)+1)),""))</f>
        <v/>
      </c>
      <c r="AD53" s="155" t="str">
        <f>IF(AC53="","",IFERROR(VLOOKUP(AC53,HELPER!$F$8:$G$48,2,FALSE),""))</f>
        <v/>
      </c>
      <c r="AE53" s="135"/>
      <c r="AF53" s="90"/>
    </row>
    <row r="54" spans="1:32" ht="15" customHeight="1" x14ac:dyDescent="0.25">
      <c r="A54" s="135"/>
      <c r="B54" s="66">
        <v>37</v>
      </c>
      <c r="C54" s="204" t="str">
        <f>IF('INPUT DATA'!K47="","",'INPUT DATA'!K47)</f>
        <v/>
      </c>
      <c r="D54" s="205"/>
      <c r="E54" s="205"/>
      <c r="F54" s="123"/>
      <c r="G54" s="119"/>
      <c r="H54" s="119"/>
      <c r="I54" s="119"/>
      <c r="J54" s="124"/>
      <c r="K54" s="143" t="str">
        <f t="shared" si="0"/>
        <v/>
      </c>
      <c r="L54" s="143" t="str">
        <f t="shared" si="1"/>
        <v/>
      </c>
      <c r="M54" s="146" t="str">
        <f t="shared" si="2"/>
        <v/>
      </c>
      <c r="N54" s="123"/>
      <c r="O54" s="119"/>
      <c r="P54" s="124"/>
      <c r="Q54" s="143" t="str">
        <f t="shared" si="3"/>
        <v/>
      </c>
      <c r="R54" s="143" t="str">
        <f t="shared" si="4"/>
        <v/>
      </c>
      <c r="S54" s="143" t="str">
        <f t="shared" si="5"/>
        <v/>
      </c>
      <c r="T54" s="123"/>
      <c r="U54" s="119"/>
      <c r="V54" s="124"/>
      <c r="W54" s="143" t="str">
        <f t="shared" si="6"/>
        <v/>
      </c>
      <c r="X54" s="143" t="str">
        <f t="shared" si="7"/>
        <v/>
      </c>
      <c r="Y54" s="143" t="str">
        <f t="shared" si="8"/>
        <v/>
      </c>
      <c r="Z54" s="150" t="str">
        <f t="shared" si="9"/>
        <v/>
      </c>
      <c r="AA54" s="143" t="str">
        <f t="shared" si="10"/>
        <v/>
      </c>
      <c r="AB54" s="152" t="str">
        <f t="shared" si="11"/>
        <v/>
      </c>
      <c r="AC54" s="158" t="str">
        <f>IF(AB54="","",IFERROR(INDEX(HELPER!$D$8:$D$48,IF(AB54&gt;=HELPER!$B$8,1,MATCH(AB54,HELPER!$B$8:$B$48,-1)+1)),""))</f>
        <v/>
      </c>
      <c r="AD54" s="155" t="str">
        <f>IF(AC54="","",IFERROR(VLOOKUP(AC54,HELPER!$F$8:$G$48,2,FALSE),""))</f>
        <v/>
      </c>
      <c r="AE54" s="135"/>
      <c r="AF54" s="90"/>
    </row>
    <row r="55" spans="1:32" ht="15" customHeight="1" x14ac:dyDescent="0.25">
      <c r="A55" s="135"/>
      <c r="B55" s="66">
        <v>38</v>
      </c>
      <c r="C55" s="204" t="str">
        <f>IF('INPUT DATA'!K48="","",'INPUT DATA'!K48)</f>
        <v/>
      </c>
      <c r="D55" s="205"/>
      <c r="E55" s="205"/>
      <c r="F55" s="123"/>
      <c r="G55" s="119"/>
      <c r="H55" s="119"/>
      <c r="I55" s="119"/>
      <c r="J55" s="124"/>
      <c r="K55" s="143" t="str">
        <f t="shared" si="0"/>
        <v/>
      </c>
      <c r="L55" s="143" t="str">
        <f t="shared" si="1"/>
        <v/>
      </c>
      <c r="M55" s="146" t="str">
        <f t="shared" si="2"/>
        <v/>
      </c>
      <c r="N55" s="123"/>
      <c r="O55" s="119"/>
      <c r="P55" s="124"/>
      <c r="Q55" s="143" t="str">
        <f t="shared" si="3"/>
        <v/>
      </c>
      <c r="R55" s="143" t="str">
        <f t="shared" si="4"/>
        <v/>
      </c>
      <c r="S55" s="143" t="str">
        <f t="shared" si="5"/>
        <v/>
      </c>
      <c r="T55" s="123"/>
      <c r="U55" s="119"/>
      <c r="V55" s="124"/>
      <c r="W55" s="143" t="str">
        <f t="shared" si="6"/>
        <v/>
      </c>
      <c r="X55" s="143" t="str">
        <f t="shared" si="7"/>
        <v/>
      </c>
      <c r="Y55" s="143" t="str">
        <f t="shared" si="8"/>
        <v/>
      </c>
      <c r="Z55" s="150" t="str">
        <f t="shared" si="9"/>
        <v/>
      </c>
      <c r="AA55" s="143" t="str">
        <f t="shared" si="10"/>
        <v/>
      </c>
      <c r="AB55" s="152" t="str">
        <f t="shared" si="11"/>
        <v/>
      </c>
      <c r="AC55" s="158" t="str">
        <f>IF(AB55="","",IFERROR(INDEX(HELPER!$D$8:$D$48,IF(AB55&gt;=HELPER!$B$8,1,MATCH(AB55,HELPER!$B$8:$B$48,-1)+1)),""))</f>
        <v/>
      </c>
      <c r="AD55" s="155" t="str">
        <f>IF(AC55="","",IFERROR(VLOOKUP(AC55,HELPER!$F$8:$G$48,2,FALSE),""))</f>
        <v/>
      </c>
      <c r="AE55" s="135"/>
      <c r="AF55" s="90"/>
    </row>
    <row r="56" spans="1:32" ht="15" customHeight="1" x14ac:dyDescent="0.25">
      <c r="A56" s="135"/>
      <c r="B56" s="66">
        <v>39</v>
      </c>
      <c r="C56" s="204" t="str">
        <f>IF('INPUT DATA'!K49="","",'INPUT DATA'!K49)</f>
        <v/>
      </c>
      <c r="D56" s="205"/>
      <c r="E56" s="205"/>
      <c r="F56" s="123"/>
      <c r="G56" s="119"/>
      <c r="H56" s="119"/>
      <c r="I56" s="119"/>
      <c r="J56" s="124"/>
      <c r="K56" s="143" t="str">
        <f t="shared" si="0"/>
        <v/>
      </c>
      <c r="L56" s="143" t="str">
        <f t="shared" si="1"/>
        <v/>
      </c>
      <c r="M56" s="146" t="str">
        <f t="shared" si="2"/>
        <v/>
      </c>
      <c r="N56" s="123"/>
      <c r="O56" s="119"/>
      <c r="P56" s="124"/>
      <c r="Q56" s="143" t="str">
        <f t="shared" si="3"/>
        <v/>
      </c>
      <c r="R56" s="143" t="str">
        <f t="shared" si="4"/>
        <v/>
      </c>
      <c r="S56" s="143" t="str">
        <f t="shared" si="5"/>
        <v/>
      </c>
      <c r="T56" s="123"/>
      <c r="U56" s="119"/>
      <c r="V56" s="124"/>
      <c r="W56" s="143" t="str">
        <f t="shared" si="6"/>
        <v/>
      </c>
      <c r="X56" s="143" t="str">
        <f t="shared" si="7"/>
        <v/>
      </c>
      <c r="Y56" s="143" t="str">
        <f t="shared" si="8"/>
        <v/>
      </c>
      <c r="Z56" s="150" t="str">
        <f t="shared" si="9"/>
        <v/>
      </c>
      <c r="AA56" s="143" t="str">
        <f t="shared" si="10"/>
        <v/>
      </c>
      <c r="AB56" s="152" t="str">
        <f t="shared" si="11"/>
        <v/>
      </c>
      <c r="AC56" s="158" t="str">
        <f>IF(AB56="","",IFERROR(INDEX(HELPER!$D$8:$D$48,IF(AB56&gt;=HELPER!$B$8,1,MATCH(AB56,HELPER!$B$8:$B$48,-1)+1)),""))</f>
        <v/>
      </c>
      <c r="AD56" s="155" t="str">
        <f>IF(AC56="","",IFERROR(VLOOKUP(AC56,HELPER!$F$8:$G$48,2,FALSE),""))</f>
        <v/>
      </c>
      <c r="AE56" s="135"/>
      <c r="AF56" s="90"/>
    </row>
    <row r="57" spans="1:32" ht="15" customHeight="1" x14ac:dyDescent="0.25">
      <c r="A57" s="135"/>
      <c r="B57" s="66">
        <v>40</v>
      </c>
      <c r="C57" s="204" t="str">
        <f>IF('INPUT DATA'!K50="","",'INPUT DATA'!K50)</f>
        <v/>
      </c>
      <c r="D57" s="205"/>
      <c r="E57" s="205"/>
      <c r="F57" s="123"/>
      <c r="G57" s="119"/>
      <c r="H57" s="119"/>
      <c r="I57" s="119"/>
      <c r="J57" s="124"/>
      <c r="K57" s="143" t="str">
        <f t="shared" si="0"/>
        <v/>
      </c>
      <c r="L57" s="143" t="str">
        <f t="shared" si="1"/>
        <v/>
      </c>
      <c r="M57" s="146" t="str">
        <f t="shared" si="2"/>
        <v/>
      </c>
      <c r="N57" s="123"/>
      <c r="O57" s="119"/>
      <c r="P57" s="124"/>
      <c r="Q57" s="143" t="str">
        <f t="shared" si="3"/>
        <v/>
      </c>
      <c r="R57" s="143" t="str">
        <f t="shared" si="4"/>
        <v/>
      </c>
      <c r="S57" s="143" t="str">
        <f t="shared" si="5"/>
        <v/>
      </c>
      <c r="T57" s="123"/>
      <c r="U57" s="119"/>
      <c r="V57" s="124"/>
      <c r="W57" s="143" t="str">
        <f t="shared" si="6"/>
        <v/>
      </c>
      <c r="X57" s="143" t="str">
        <f t="shared" si="7"/>
        <v/>
      </c>
      <c r="Y57" s="143" t="str">
        <f t="shared" si="8"/>
        <v/>
      </c>
      <c r="Z57" s="150" t="str">
        <f t="shared" si="9"/>
        <v/>
      </c>
      <c r="AA57" s="143" t="str">
        <f t="shared" si="10"/>
        <v/>
      </c>
      <c r="AB57" s="152" t="str">
        <f t="shared" si="11"/>
        <v/>
      </c>
      <c r="AC57" s="158" t="str">
        <f>IF(AB57="","",IFERROR(INDEX(HELPER!$D$8:$D$48,IF(AB57&gt;=HELPER!$B$8,1,MATCH(AB57,HELPER!$B$8:$B$48,-1)+1)),""))</f>
        <v/>
      </c>
      <c r="AD57" s="155" t="str">
        <f>IF(AC57="","",IFERROR(VLOOKUP(AC57,HELPER!$F$8:$G$48,2,FALSE),""))</f>
        <v/>
      </c>
      <c r="AE57" s="135"/>
      <c r="AF57" s="90"/>
    </row>
    <row r="58" spans="1:32" ht="15" customHeight="1" x14ac:dyDescent="0.25">
      <c r="A58" s="135"/>
      <c r="B58" s="66">
        <v>41</v>
      </c>
      <c r="C58" s="204" t="str">
        <f>IF('INPUT DATA'!K51="","",'INPUT DATA'!K51)</f>
        <v/>
      </c>
      <c r="D58" s="205"/>
      <c r="E58" s="205"/>
      <c r="F58" s="123"/>
      <c r="G58" s="119"/>
      <c r="H58" s="119"/>
      <c r="I58" s="119"/>
      <c r="J58" s="124"/>
      <c r="K58" s="143" t="str">
        <f t="shared" si="0"/>
        <v/>
      </c>
      <c r="L58" s="143" t="str">
        <f t="shared" si="1"/>
        <v/>
      </c>
      <c r="M58" s="146" t="str">
        <f t="shared" si="2"/>
        <v/>
      </c>
      <c r="N58" s="123"/>
      <c r="O58" s="119"/>
      <c r="P58" s="124"/>
      <c r="Q58" s="143" t="str">
        <f t="shared" si="3"/>
        <v/>
      </c>
      <c r="R58" s="143" t="str">
        <f t="shared" si="4"/>
        <v/>
      </c>
      <c r="S58" s="143" t="str">
        <f t="shared" si="5"/>
        <v/>
      </c>
      <c r="T58" s="123"/>
      <c r="U58" s="119"/>
      <c r="V58" s="124"/>
      <c r="W58" s="143" t="str">
        <f t="shared" si="6"/>
        <v/>
      </c>
      <c r="X58" s="143" t="str">
        <f t="shared" si="7"/>
        <v/>
      </c>
      <c r="Y58" s="143" t="str">
        <f t="shared" si="8"/>
        <v/>
      </c>
      <c r="Z58" s="150" t="str">
        <f t="shared" si="9"/>
        <v/>
      </c>
      <c r="AA58" s="143" t="str">
        <f t="shared" si="10"/>
        <v/>
      </c>
      <c r="AB58" s="152" t="str">
        <f t="shared" si="11"/>
        <v/>
      </c>
      <c r="AC58" s="158" t="str">
        <f>IF(AB58="","",IFERROR(INDEX(HELPER!$D$8:$D$48,IF(AB58&gt;=HELPER!$B$8,1,MATCH(AB58,HELPER!$B$8:$B$48,-1)+1)),""))</f>
        <v/>
      </c>
      <c r="AD58" s="155" t="str">
        <f>IF(AC58="","",IFERROR(VLOOKUP(AC58,HELPER!$F$8:$G$48,2,FALSE),""))</f>
        <v/>
      </c>
      <c r="AE58" s="135"/>
      <c r="AF58" s="90"/>
    </row>
    <row r="59" spans="1:32" ht="15" customHeight="1" x14ac:dyDescent="0.25">
      <c r="A59" s="135"/>
      <c r="B59" s="66">
        <v>42</v>
      </c>
      <c r="C59" s="204" t="str">
        <f>IF('INPUT DATA'!K52="","",'INPUT DATA'!K52)</f>
        <v/>
      </c>
      <c r="D59" s="205"/>
      <c r="E59" s="205"/>
      <c r="F59" s="123"/>
      <c r="G59" s="119"/>
      <c r="H59" s="119"/>
      <c r="I59" s="119"/>
      <c r="J59" s="124"/>
      <c r="K59" s="143" t="str">
        <f t="shared" si="0"/>
        <v/>
      </c>
      <c r="L59" s="143" t="str">
        <f t="shared" si="1"/>
        <v/>
      </c>
      <c r="M59" s="146" t="str">
        <f t="shared" si="2"/>
        <v/>
      </c>
      <c r="N59" s="123"/>
      <c r="O59" s="119"/>
      <c r="P59" s="124"/>
      <c r="Q59" s="143" t="str">
        <f t="shared" si="3"/>
        <v/>
      </c>
      <c r="R59" s="143" t="str">
        <f t="shared" si="4"/>
        <v/>
      </c>
      <c r="S59" s="143" t="str">
        <f t="shared" si="5"/>
        <v/>
      </c>
      <c r="T59" s="123"/>
      <c r="U59" s="119"/>
      <c r="V59" s="124"/>
      <c r="W59" s="143" t="str">
        <f t="shared" si="6"/>
        <v/>
      </c>
      <c r="X59" s="143" t="str">
        <f t="shared" si="7"/>
        <v/>
      </c>
      <c r="Y59" s="143" t="str">
        <f t="shared" si="8"/>
        <v/>
      </c>
      <c r="Z59" s="150" t="str">
        <f t="shared" si="9"/>
        <v/>
      </c>
      <c r="AA59" s="143" t="str">
        <f t="shared" si="10"/>
        <v/>
      </c>
      <c r="AB59" s="152" t="str">
        <f t="shared" si="11"/>
        <v/>
      </c>
      <c r="AC59" s="158" t="str">
        <f>IF(AB59="","",IFERROR(INDEX(HELPER!$D$8:$D$48,IF(AB59&gt;=HELPER!$B$8,1,MATCH(AB59,HELPER!$B$8:$B$48,-1)+1)),""))</f>
        <v/>
      </c>
      <c r="AD59" s="155" t="str">
        <f>IF(AC59="","",IFERROR(VLOOKUP(AC59,HELPER!$F$8:$G$48,2,FALSE),""))</f>
        <v/>
      </c>
      <c r="AE59" s="135"/>
      <c r="AF59" s="90"/>
    </row>
    <row r="60" spans="1:32" ht="15" customHeight="1" x14ac:dyDescent="0.25">
      <c r="A60" s="135"/>
      <c r="B60" s="66">
        <v>43</v>
      </c>
      <c r="C60" s="204" t="str">
        <f>IF('INPUT DATA'!K53="","",'INPUT DATA'!K53)</f>
        <v/>
      </c>
      <c r="D60" s="205"/>
      <c r="E60" s="205"/>
      <c r="F60" s="123"/>
      <c r="G60" s="119"/>
      <c r="H60" s="119"/>
      <c r="I60" s="119"/>
      <c r="J60" s="124"/>
      <c r="K60" s="143" t="str">
        <f t="shared" si="0"/>
        <v/>
      </c>
      <c r="L60" s="143" t="str">
        <f t="shared" si="1"/>
        <v/>
      </c>
      <c r="M60" s="146" t="str">
        <f t="shared" si="2"/>
        <v/>
      </c>
      <c r="N60" s="123"/>
      <c r="O60" s="119"/>
      <c r="P60" s="124"/>
      <c r="Q60" s="143" t="str">
        <f t="shared" si="3"/>
        <v/>
      </c>
      <c r="R60" s="143" t="str">
        <f t="shared" si="4"/>
        <v/>
      </c>
      <c r="S60" s="143" t="str">
        <f t="shared" si="5"/>
        <v/>
      </c>
      <c r="T60" s="123"/>
      <c r="U60" s="119"/>
      <c r="V60" s="124"/>
      <c r="W60" s="143" t="str">
        <f t="shared" si="6"/>
        <v/>
      </c>
      <c r="X60" s="143" t="str">
        <f t="shared" si="7"/>
        <v/>
      </c>
      <c r="Y60" s="143" t="str">
        <f t="shared" si="8"/>
        <v/>
      </c>
      <c r="Z60" s="150" t="str">
        <f t="shared" si="9"/>
        <v/>
      </c>
      <c r="AA60" s="143" t="str">
        <f t="shared" si="10"/>
        <v/>
      </c>
      <c r="AB60" s="152" t="str">
        <f t="shared" si="11"/>
        <v/>
      </c>
      <c r="AC60" s="158" t="str">
        <f>IF(AB60="","",IFERROR(INDEX(HELPER!$D$8:$D$48,IF(AB60&gt;=HELPER!$B$8,1,MATCH(AB60,HELPER!$B$8:$B$48,-1)+1)),""))</f>
        <v/>
      </c>
      <c r="AD60" s="155" t="str">
        <f>IF(AC60="","",IFERROR(VLOOKUP(AC60,HELPER!$F$8:$G$48,2,FALSE),""))</f>
        <v/>
      </c>
      <c r="AE60" s="135"/>
      <c r="AF60" s="90"/>
    </row>
    <row r="61" spans="1:32" ht="15" customHeight="1" x14ac:dyDescent="0.25">
      <c r="A61" s="135"/>
      <c r="B61" s="66">
        <v>44</v>
      </c>
      <c r="C61" s="204" t="str">
        <f>IF('INPUT DATA'!K54="","",'INPUT DATA'!K54)</f>
        <v/>
      </c>
      <c r="D61" s="205"/>
      <c r="E61" s="205"/>
      <c r="F61" s="123"/>
      <c r="G61" s="119"/>
      <c r="H61" s="119"/>
      <c r="I61" s="119"/>
      <c r="J61" s="124"/>
      <c r="K61" s="143" t="str">
        <f t="shared" si="0"/>
        <v/>
      </c>
      <c r="L61" s="143" t="str">
        <f t="shared" si="1"/>
        <v/>
      </c>
      <c r="M61" s="146" t="str">
        <f t="shared" si="2"/>
        <v/>
      </c>
      <c r="N61" s="123"/>
      <c r="O61" s="119"/>
      <c r="P61" s="124"/>
      <c r="Q61" s="143" t="str">
        <f t="shared" si="3"/>
        <v/>
      </c>
      <c r="R61" s="143" t="str">
        <f t="shared" si="4"/>
        <v/>
      </c>
      <c r="S61" s="143" t="str">
        <f t="shared" si="5"/>
        <v/>
      </c>
      <c r="T61" s="123"/>
      <c r="U61" s="119"/>
      <c r="V61" s="124"/>
      <c r="W61" s="143" t="str">
        <f t="shared" si="6"/>
        <v/>
      </c>
      <c r="X61" s="143" t="str">
        <f t="shared" si="7"/>
        <v/>
      </c>
      <c r="Y61" s="143" t="str">
        <f t="shared" si="8"/>
        <v/>
      </c>
      <c r="Z61" s="150" t="str">
        <f t="shared" si="9"/>
        <v/>
      </c>
      <c r="AA61" s="143" t="str">
        <f t="shared" si="10"/>
        <v/>
      </c>
      <c r="AB61" s="152" t="str">
        <f t="shared" si="11"/>
        <v/>
      </c>
      <c r="AC61" s="158" t="str">
        <f>IF(AB61="","",IFERROR(INDEX(HELPER!$D$8:$D$48,IF(AB61&gt;=HELPER!$B$8,1,MATCH(AB61,HELPER!$B$8:$B$48,-1)+1)),""))</f>
        <v/>
      </c>
      <c r="AD61" s="155" t="str">
        <f>IF(AC61="","",IFERROR(VLOOKUP(AC61,HELPER!$F$8:$G$48,2,FALSE),""))</f>
        <v/>
      </c>
      <c r="AE61" s="135"/>
      <c r="AF61" s="90"/>
    </row>
    <row r="62" spans="1:32" ht="15" customHeight="1" x14ac:dyDescent="0.25">
      <c r="A62" s="135"/>
      <c r="B62" s="66">
        <v>45</v>
      </c>
      <c r="C62" s="204" t="str">
        <f>IF('INPUT DATA'!K55="","",'INPUT DATA'!K55)</f>
        <v/>
      </c>
      <c r="D62" s="205"/>
      <c r="E62" s="205"/>
      <c r="F62" s="123"/>
      <c r="G62" s="119"/>
      <c r="H62" s="119"/>
      <c r="I62" s="119"/>
      <c r="J62" s="124"/>
      <c r="K62" s="143" t="str">
        <f t="shared" si="0"/>
        <v/>
      </c>
      <c r="L62" s="143" t="str">
        <f t="shared" si="1"/>
        <v/>
      </c>
      <c r="M62" s="146" t="str">
        <f t="shared" si="2"/>
        <v/>
      </c>
      <c r="N62" s="123"/>
      <c r="O62" s="119"/>
      <c r="P62" s="124"/>
      <c r="Q62" s="143" t="str">
        <f t="shared" si="3"/>
        <v/>
      </c>
      <c r="R62" s="143" t="str">
        <f t="shared" si="4"/>
        <v/>
      </c>
      <c r="S62" s="143" t="str">
        <f t="shared" si="5"/>
        <v/>
      </c>
      <c r="T62" s="123"/>
      <c r="U62" s="119"/>
      <c r="V62" s="124"/>
      <c r="W62" s="143" t="str">
        <f t="shared" si="6"/>
        <v/>
      </c>
      <c r="X62" s="143" t="str">
        <f t="shared" si="7"/>
        <v/>
      </c>
      <c r="Y62" s="143" t="str">
        <f t="shared" si="8"/>
        <v/>
      </c>
      <c r="Z62" s="150" t="str">
        <f t="shared" si="9"/>
        <v/>
      </c>
      <c r="AA62" s="143" t="str">
        <f t="shared" si="10"/>
        <v/>
      </c>
      <c r="AB62" s="152" t="str">
        <f t="shared" si="11"/>
        <v/>
      </c>
      <c r="AC62" s="158" t="str">
        <f>IF(AB62="","",IFERROR(INDEX(HELPER!$D$8:$D$48,IF(AB62&gt;=HELPER!$B$8,1,MATCH(AB62,HELPER!$B$8:$B$48,-1)+1)),""))</f>
        <v/>
      </c>
      <c r="AD62" s="155" t="str">
        <f>IF(AC62="","",IFERROR(VLOOKUP(AC62,HELPER!$F$8:$G$48,2,FALSE),""))</f>
        <v/>
      </c>
      <c r="AE62" s="135"/>
      <c r="AF62" s="90"/>
    </row>
    <row r="63" spans="1:32" ht="15" customHeight="1" x14ac:dyDescent="0.25">
      <c r="A63" s="135"/>
      <c r="B63" s="66">
        <v>46</v>
      </c>
      <c r="C63" s="204" t="str">
        <f>IF('INPUT DATA'!K56="","",'INPUT DATA'!K56)</f>
        <v/>
      </c>
      <c r="D63" s="205"/>
      <c r="E63" s="205"/>
      <c r="F63" s="123"/>
      <c r="G63" s="119"/>
      <c r="H63" s="119"/>
      <c r="I63" s="119"/>
      <c r="J63" s="124"/>
      <c r="K63" s="143" t="str">
        <f t="shared" si="0"/>
        <v/>
      </c>
      <c r="L63" s="143" t="str">
        <f t="shared" si="1"/>
        <v/>
      </c>
      <c r="M63" s="146" t="str">
        <f t="shared" si="2"/>
        <v/>
      </c>
      <c r="N63" s="123"/>
      <c r="O63" s="119"/>
      <c r="P63" s="124"/>
      <c r="Q63" s="143" t="str">
        <f t="shared" si="3"/>
        <v/>
      </c>
      <c r="R63" s="143" t="str">
        <f t="shared" si="4"/>
        <v/>
      </c>
      <c r="S63" s="143" t="str">
        <f t="shared" si="5"/>
        <v/>
      </c>
      <c r="T63" s="123"/>
      <c r="U63" s="119"/>
      <c r="V63" s="124"/>
      <c r="W63" s="143" t="str">
        <f t="shared" si="6"/>
        <v/>
      </c>
      <c r="X63" s="143" t="str">
        <f t="shared" si="7"/>
        <v/>
      </c>
      <c r="Y63" s="143" t="str">
        <f t="shared" si="8"/>
        <v/>
      </c>
      <c r="Z63" s="150" t="str">
        <f t="shared" si="9"/>
        <v/>
      </c>
      <c r="AA63" s="143" t="str">
        <f t="shared" si="10"/>
        <v/>
      </c>
      <c r="AB63" s="152" t="str">
        <f t="shared" si="11"/>
        <v/>
      </c>
      <c r="AC63" s="158" t="str">
        <f>IF(AB63="","",IFERROR(INDEX(HELPER!$D$8:$D$48,IF(AB63&gt;=HELPER!$B$8,1,MATCH(AB63,HELPER!$B$8:$B$48,-1)+1)),""))</f>
        <v/>
      </c>
      <c r="AD63" s="155" t="str">
        <f>IF(AC63="","",IFERROR(VLOOKUP(AC63,HELPER!$F$8:$G$48,2,FALSE),""))</f>
        <v/>
      </c>
      <c r="AE63" s="135"/>
      <c r="AF63" s="90"/>
    </row>
    <row r="64" spans="1:32" ht="15" customHeight="1" x14ac:dyDescent="0.25">
      <c r="A64" s="135"/>
      <c r="B64" s="66">
        <v>47</v>
      </c>
      <c r="C64" s="204" t="str">
        <f>IF('INPUT DATA'!K57="","",'INPUT DATA'!K57)</f>
        <v/>
      </c>
      <c r="D64" s="205"/>
      <c r="E64" s="205"/>
      <c r="F64" s="123"/>
      <c r="G64" s="119"/>
      <c r="H64" s="119"/>
      <c r="I64" s="119"/>
      <c r="J64" s="124"/>
      <c r="K64" s="143" t="str">
        <f t="shared" si="0"/>
        <v/>
      </c>
      <c r="L64" s="143" t="str">
        <f t="shared" si="1"/>
        <v/>
      </c>
      <c r="M64" s="146" t="str">
        <f t="shared" si="2"/>
        <v/>
      </c>
      <c r="N64" s="123"/>
      <c r="O64" s="119"/>
      <c r="P64" s="124"/>
      <c r="Q64" s="143" t="str">
        <f t="shared" si="3"/>
        <v/>
      </c>
      <c r="R64" s="143" t="str">
        <f t="shared" si="4"/>
        <v/>
      </c>
      <c r="S64" s="143" t="str">
        <f t="shared" si="5"/>
        <v/>
      </c>
      <c r="T64" s="123"/>
      <c r="U64" s="119"/>
      <c r="V64" s="124"/>
      <c r="W64" s="143" t="str">
        <f t="shared" si="6"/>
        <v/>
      </c>
      <c r="X64" s="143" t="str">
        <f t="shared" si="7"/>
        <v/>
      </c>
      <c r="Y64" s="143" t="str">
        <f t="shared" si="8"/>
        <v/>
      </c>
      <c r="Z64" s="150" t="str">
        <f t="shared" si="9"/>
        <v/>
      </c>
      <c r="AA64" s="143" t="str">
        <f t="shared" si="10"/>
        <v/>
      </c>
      <c r="AB64" s="152" t="str">
        <f t="shared" si="11"/>
        <v/>
      </c>
      <c r="AC64" s="158" t="str">
        <f>IF(AB64="","",IFERROR(INDEX(HELPER!$D$8:$D$48,IF(AB64&gt;=HELPER!$B$8,1,MATCH(AB64,HELPER!$B$8:$B$48,-1)+1)),""))</f>
        <v/>
      </c>
      <c r="AD64" s="155" t="str">
        <f>IF(AC64="","",IFERROR(VLOOKUP(AC64,HELPER!$F$8:$G$48,2,FALSE),""))</f>
        <v/>
      </c>
      <c r="AE64" s="135"/>
      <c r="AF64" s="90"/>
    </row>
    <row r="65" spans="1:32" ht="15" customHeight="1" x14ac:dyDescent="0.25">
      <c r="A65" s="135"/>
      <c r="B65" s="66">
        <v>48</v>
      </c>
      <c r="C65" s="204" t="str">
        <f>IF('INPUT DATA'!K58="","",'INPUT DATA'!K58)</f>
        <v/>
      </c>
      <c r="D65" s="205"/>
      <c r="E65" s="205"/>
      <c r="F65" s="123"/>
      <c r="G65" s="119"/>
      <c r="H65" s="119"/>
      <c r="I65" s="119"/>
      <c r="J65" s="124"/>
      <c r="K65" s="143" t="str">
        <f t="shared" si="0"/>
        <v/>
      </c>
      <c r="L65" s="143" t="str">
        <f t="shared" si="1"/>
        <v/>
      </c>
      <c r="M65" s="146" t="str">
        <f t="shared" si="2"/>
        <v/>
      </c>
      <c r="N65" s="123"/>
      <c r="O65" s="119"/>
      <c r="P65" s="124"/>
      <c r="Q65" s="143" t="str">
        <f t="shared" si="3"/>
        <v/>
      </c>
      <c r="R65" s="143" t="str">
        <f t="shared" si="4"/>
        <v/>
      </c>
      <c r="S65" s="143" t="str">
        <f t="shared" si="5"/>
        <v/>
      </c>
      <c r="T65" s="123"/>
      <c r="U65" s="119"/>
      <c r="V65" s="124"/>
      <c r="W65" s="143" t="str">
        <f t="shared" si="6"/>
        <v/>
      </c>
      <c r="X65" s="143" t="str">
        <f t="shared" si="7"/>
        <v/>
      </c>
      <c r="Y65" s="143" t="str">
        <f t="shared" si="8"/>
        <v/>
      </c>
      <c r="Z65" s="150" t="str">
        <f t="shared" si="9"/>
        <v/>
      </c>
      <c r="AA65" s="143" t="str">
        <f t="shared" si="10"/>
        <v/>
      </c>
      <c r="AB65" s="152" t="str">
        <f t="shared" si="11"/>
        <v/>
      </c>
      <c r="AC65" s="158" t="str">
        <f>IF(AB65="","",IFERROR(INDEX(HELPER!$D$8:$D$48,IF(AB65&gt;=HELPER!$B$8,1,MATCH(AB65,HELPER!$B$8:$B$48,-1)+1)),""))</f>
        <v/>
      </c>
      <c r="AD65" s="155" t="str">
        <f>IF(AC65="","",IFERROR(VLOOKUP(AC65,HELPER!$F$8:$G$48,2,FALSE),""))</f>
        <v/>
      </c>
      <c r="AE65" s="135"/>
      <c r="AF65" s="90"/>
    </row>
    <row r="66" spans="1:32" ht="15" customHeight="1" x14ac:dyDescent="0.25">
      <c r="A66" s="135"/>
      <c r="B66" s="66">
        <v>49</v>
      </c>
      <c r="C66" s="204" t="str">
        <f>IF('INPUT DATA'!K59="","",'INPUT DATA'!K59)</f>
        <v/>
      </c>
      <c r="D66" s="205"/>
      <c r="E66" s="205"/>
      <c r="F66" s="123"/>
      <c r="G66" s="119"/>
      <c r="H66" s="119"/>
      <c r="I66" s="119"/>
      <c r="J66" s="124"/>
      <c r="K66" s="143" t="str">
        <f t="shared" si="0"/>
        <v/>
      </c>
      <c r="L66" s="143" t="str">
        <f t="shared" si="1"/>
        <v/>
      </c>
      <c r="M66" s="146" t="str">
        <f t="shared" si="2"/>
        <v/>
      </c>
      <c r="N66" s="123"/>
      <c r="O66" s="119"/>
      <c r="P66" s="124"/>
      <c r="Q66" s="143" t="str">
        <f t="shared" si="3"/>
        <v/>
      </c>
      <c r="R66" s="143" t="str">
        <f t="shared" si="4"/>
        <v/>
      </c>
      <c r="S66" s="143" t="str">
        <f t="shared" si="5"/>
        <v/>
      </c>
      <c r="T66" s="123"/>
      <c r="U66" s="119"/>
      <c r="V66" s="124"/>
      <c r="W66" s="143" t="str">
        <f t="shared" si="6"/>
        <v/>
      </c>
      <c r="X66" s="143" t="str">
        <f t="shared" si="7"/>
        <v/>
      </c>
      <c r="Y66" s="143" t="str">
        <f t="shared" si="8"/>
        <v/>
      </c>
      <c r="Z66" s="150" t="str">
        <f t="shared" si="9"/>
        <v/>
      </c>
      <c r="AA66" s="143" t="str">
        <f t="shared" si="10"/>
        <v/>
      </c>
      <c r="AB66" s="152" t="str">
        <f t="shared" si="11"/>
        <v/>
      </c>
      <c r="AC66" s="158" t="str">
        <f>IF(AB66="","",IFERROR(INDEX(HELPER!$D$8:$D$48,IF(AB66&gt;=HELPER!$B$8,1,MATCH(AB66,HELPER!$B$8:$B$48,-1)+1)),""))</f>
        <v/>
      </c>
      <c r="AD66" s="155" t="str">
        <f>IF(AC66="","",IFERROR(VLOOKUP(AC66,HELPER!$F$8:$G$48,2,FALSE),""))</f>
        <v/>
      </c>
      <c r="AE66" s="135"/>
      <c r="AF66" s="90"/>
    </row>
    <row r="67" spans="1:32" ht="15" customHeight="1" thickBot="1" x14ac:dyDescent="0.3">
      <c r="A67" s="135"/>
      <c r="B67" s="66">
        <v>50</v>
      </c>
      <c r="C67" s="204" t="str">
        <f>IF('INPUT DATA'!K60="","",'INPUT DATA'!K60)</f>
        <v/>
      </c>
      <c r="D67" s="205"/>
      <c r="E67" s="205"/>
      <c r="F67" s="125"/>
      <c r="G67" s="126"/>
      <c r="H67" s="126"/>
      <c r="I67" s="126"/>
      <c r="J67" s="127"/>
      <c r="K67" s="144" t="str">
        <f t="shared" si="0"/>
        <v/>
      </c>
      <c r="L67" s="144" t="str">
        <f t="shared" si="1"/>
        <v/>
      </c>
      <c r="M67" s="147" t="str">
        <f t="shared" si="2"/>
        <v/>
      </c>
      <c r="N67" s="125"/>
      <c r="O67" s="126"/>
      <c r="P67" s="127"/>
      <c r="Q67" s="144" t="str">
        <f t="shared" si="3"/>
        <v/>
      </c>
      <c r="R67" s="144" t="str">
        <f t="shared" si="4"/>
        <v/>
      </c>
      <c r="S67" s="144" t="str">
        <f t="shared" si="5"/>
        <v/>
      </c>
      <c r="T67" s="125"/>
      <c r="U67" s="126"/>
      <c r="V67" s="127"/>
      <c r="W67" s="144" t="str">
        <f t="shared" si="6"/>
        <v/>
      </c>
      <c r="X67" s="144" t="str">
        <f t="shared" si="7"/>
        <v/>
      </c>
      <c r="Y67" s="144" t="str">
        <f t="shared" si="8"/>
        <v/>
      </c>
      <c r="Z67" s="148" t="str">
        <f t="shared" si="9"/>
        <v/>
      </c>
      <c r="AA67" s="144" t="str">
        <f t="shared" si="10"/>
        <v/>
      </c>
      <c r="AB67" s="153" t="str">
        <f t="shared" si="11"/>
        <v/>
      </c>
      <c r="AC67" s="159" t="str">
        <f>IF(AB67="","",IFERROR(INDEX(HELPER!$D$8:$D$48,IF(AB67&gt;=HELPER!$B$8,1,MATCH(AB67,HELPER!$B$8:$B$48,-1)+1)),""))</f>
        <v/>
      </c>
      <c r="AD67" s="156" t="str">
        <f>IF(AC67="","",IFERROR(VLOOKUP(AC67,HELPER!$F$8:$G$48,2,FALSE),""))</f>
        <v/>
      </c>
      <c r="AE67" s="135"/>
      <c r="AF67" s="90"/>
    </row>
    <row r="68" spans="1:32" ht="14.4" customHeight="1" thickBot="1" x14ac:dyDescent="0.3">
      <c r="A68" s="135"/>
      <c r="B68" s="245" t="s">
        <v>6</v>
      </c>
      <c r="C68" s="242"/>
      <c r="D68" s="242"/>
      <c r="E68" s="242"/>
      <c r="F68" s="246"/>
      <c r="G68" s="246"/>
      <c r="H68" s="246"/>
      <c r="I68" s="246"/>
      <c r="J68" s="246"/>
      <c r="K68" s="246"/>
      <c r="L68" s="246"/>
      <c r="M68" s="246"/>
      <c r="N68" s="246"/>
      <c r="O68" s="246"/>
      <c r="P68" s="246"/>
      <c r="Q68" s="246"/>
      <c r="R68" s="246"/>
      <c r="S68" s="246"/>
      <c r="T68" s="246"/>
      <c r="U68" s="246"/>
      <c r="V68" s="246"/>
      <c r="W68" s="246"/>
      <c r="X68" s="246"/>
      <c r="Y68" s="246"/>
      <c r="Z68" s="246"/>
      <c r="AA68" s="246"/>
      <c r="AB68" s="246"/>
      <c r="AC68" s="246"/>
      <c r="AD68" s="247"/>
      <c r="AE68" s="135"/>
      <c r="AF68" s="90"/>
    </row>
    <row r="69" spans="1:32" ht="15" customHeight="1" x14ac:dyDescent="0.25">
      <c r="A69" s="135"/>
      <c r="B69" s="110">
        <v>1</v>
      </c>
      <c r="C69" s="236" t="str">
        <f>IF('INPUT DATA'!N11="","",'INPUT DATA'!N11)</f>
        <v/>
      </c>
      <c r="D69" s="237"/>
      <c r="E69" s="237"/>
      <c r="F69" s="120"/>
      <c r="G69" s="121"/>
      <c r="H69" s="121"/>
      <c r="I69" s="121"/>
      <c r="J69" s="122"/>
      <c r="K69" s="142" t="str">
        <f t="shared" si="0"/>
        <v/>
      </c>
      <c r="L69" s="142" t="str">
        <f t="shared" ref="L69:L118" si="12">IF(COUNT(F69:J69)=0,"",IFERROR(K69/$K$15*$L$15,""))</f>
        <v/>
      </c>
      <c r="M69" s="145" t="str">
        <f t="shared" ref="M69:M118" si="13">IF(L69="","",L69*$M$15)</f>
        <v/>
      </c>
      <c r="N69" s="120"/>
      <c r="O69" s="121"/>
      <c r="P69" s="122"/>
      <c r="Q69" s="142" t="str">
        <f t="shared" ref="Q69:Q118" si="14">IF(COUNT(N69:P69)=0,"",SUM(N69:P69))</f>
        <v/>
      </c>
      <c r="R69" s="142" t="str">
        <f t="shared" ref="R69:R118" si="15">IF(COUNT(N69:P69)=0,"",IFERROR(Q69/$Q$15*$R$15,""))</f>
        <v/>
      </c>
      <c r="S69" s="142" t="str">
        <f t="shared" ref="S69:S118" si="16">IF(R69="","",R69*$S$15)</f>
        <v/>
      </c>
      <c r="T69" s="120"/>
      <c r="U69" s="121"/>
      <c r="V69" s="122"/>
      <c r="W69" s="142" t="str">
        <f t="shared" ref="W69:W118" si="17">IF(T69="","",IFERROR(T69/$T$15*$W$15,""))</f>
        <v/>
      </c>
      <c r="X69" s="142" t="str">
        <f t="shared" ref="X69:X118" si="18">IF(U69="","",IFERROR(U69/$U$15*$X$15,""))</f>
        <v/>
      </c>
      <c r="Y69" s="142" t="str">
        <f t="shared" ref="Y69:Y118" si="19">IF(V69="","",IFERROR(V69/$V$15*$Y$15,""))</f>
        <v/>
      </c>
      <c r="Z69" s="149" t="str">
        <f t="shared" ref="Z69:Z118" si="20">IF(COUNT(T69:V69)=0,"",SUM(W69:Y69))</f>
        <v/>
      </c>
      <c r="AA69" s="142" t="str">
        <f t="shared" ref="AA69:AA118" si="21">IF(Z69="","",Z69*$AA$15)</f>
        <v/>
      </c>
      <c r="AB69" s="151" t="str">
        <f t="shared" ref="AB69:AB118" si="22">IF(COUNT(F69:J69,N69:P69,T69:V69)=0,"",SUM(M69,S69,AA69))</f>
        <v/>
      </c>
      <c r="AC69" s="157" t="str">
        <f>IF(AB69="","",IFERROR(INDEX(HELPER!$D$8:$D$48,IF(AB69&gt;=HELPER!$B$8,1,MATCH(AB69,HELPER!$B$8:$B$48,-1)+1)),""))</f>
        <v/>
      </c>
      <c r="AD69" s="154" t="str">
        <f>IF(AC69="","",IFERROR(VLOOKUP(AC69,HELPER!$F$8:$G$48,2,FALSE),""))</f>
        <v/>
      </c>
      <c r="AE69" s="135"/>
      <c r="AF69" s="90"/>
    </row>
    <row r="70" spans="1:32" ht="15" customHeight="1" x14ac:dyDescent="0.25">
      <c r="A70" s="135"/>
      <c r="B70" s="111">
        <v>2</v>
      </c>
      <c r="C70" s="209" t="str">
        <f>IF('INPUT DATA'!N12="","",'INPUT DATA'!N12)</f>
        <v/>
      </c>
      <c r="D70" s="210"/>
      <c r="E70" s="210"/>
      <c r="F70" s="123"/>
      <c r="G70" s="119"/>
      <c r="H70" s="119"/>
      <c r="I70" s="119"/>
      <c r="J70" s="124"/>
      <c r="K70" s="143" t="str">
        <f t="shared" si="0"/>
        <v/>
      </c>
      <c r="L70" s="143" t="str">
        <f t="shared" si="12"/>
        <v/>
      </c>
      <c r="M70" s="146" t="str">
        <f t="shared" si="13"/>
        <v/>
      </c>
      <c r="N70" s="123"/>
      <c r="O70" s="119"/>
      <c r="P70" s="124"/>
      <c r="Q70" s="143" t="str">
        <f t="shared" si="14"/>
        <v/>
      </c>
      <c r="R70" s="143" t="str">
        <f t="shared" si="15"/>
        <v/>
      </c>
      <c r="S70" s="143" t="str">
        <f t="shared" si="16"/>
        <v/>
      </c>
      <c r="T70" s="123"/>
      <c r="U70" s="119"/>
      <c r="V70" s="124"/>
      <c r="W70" s="143" t="str">
        <f t="shared" si="17"/>
        <v/>
      </c>
      <c r="X70" s="143" t="str">
        <f t="shared" si="18"/>
        <v/>
      </c>
      <c r="Y70" s="143" t="str">
        <f t="shared" si="19"/>
        <v/>
      </c>
      <c r="Z70" s="150" t="str">
        <f t="shared" si="20"/>
        <v/>
      </c>
      <c r="AA70" s="143" t="str">
        <f t="shared" si="21"/>
        <v/>
      </c>
      <c r="AB70" s="152" t="str">
        <f t="shared" si="22"/>
        <v/>
      </c>
      <c r="AC70" s="158" t="str">
        <f>IF(AB70="","",IFERROR(INDEX(HELPER!$D$8:$D$48,IF(AB70&gt;=HELPER!$B$8,1,MATCH(AB70,HELPER!$B$8:$B$48,-1)+1)),""))</f>
        <v/>
      </c>
      <c r="AD70" s="155" t="str">
        <f>IF(AC70="","",IFERROR(VLOOKUP(AC70,HELPER!$F$8:$G$48,2,FALSE),""))</f>
        <v/>
      </c>
      <c r="AE70" s="135"/>
      <c r="AF70" s="90"/>
    </row>
    <row r="71" spans="1:32" ht="15" customHeight="1" x14ac:dyDescent="0.25">
      <c r="A71" s="135"/>
      <c r="B71" s="111">
        <v>3</v>
      </c>
      <c r="C71" s="209" t="str">
        <f>IF('INPUT DATA'!N13="","",'INPUT DATA'!N13)</f>
        <v/>
      </c>
      <c r="D71" s="210"/>
      <c r="E71" s="210"/>
      <c r="F71" s="123"/>
      <c r="G71" s="119"/>
      <c r="H71" s="119"/>
      <c r="I71" s="119"/>
      <c r="J71" s="124"/>
      <c r="K71" s="143" t="str">
        <f t="shared" si="0"/>
        <v/>
      </c>
      <c r="L71" s="143" t="str">
        <f t="shared" si="12"/>
        <v/>
      </c>
      <c r="M71" s="146" t="str">
        <f t="shared" si="13"/>
        <v/>
      </c>
      <c r="N71" s="123"/>
      <c r="O71" s="119"/>
      <c r="P71" s="124"/>
      <c r="Q71" s="143" t="str">
        <f t="shared" si="14"/>
        <v/>
      </c>
      <c r="R71" s="143" t="str">
        <f t="shared" si="15"/>
        <v/>
      </c>
      <c r="S71" s="143" t="str">
        <f t="shared" si="16"/>
        <v/>
      </c>
      <c r="T71" s="123"/>
      <c r="U71" s="119"/>
      <c r="V71" s="124"/>
      <c r="W71" s="143" t="str">
        <f t="shared" si="17"/>
        <v/>
      </c>
      <c r="X71" s="143" t="str">
        <f t="shared" si="18"/>
        <v/>
      </c>
      <c r="Y71" s="143" t="str">
        <f t="shared" si="19"/>
        <v/>
      </c>
      <c r="Z71" s="150" t="str">
        <f t="shared" si="20"/>
        <v/>
      </c>
      <c r="AA71" s="143" t="str">
        <f t="shared" si="21"/>
        <v/>
      </c>
      <c r="AB71" s="152" t="str">
        <f t="shared" si="22"/>
        <v/>
      </c>
      <c r="AC71" s="158" t="str">
        <f>IF(AB71="","",IFERROR(INDEX(HELPER!$D$8:$D$48,IF(AB71&gt;=HELPER!$B$8,1,MATCH(AB71,HELPER!$B$8:$B$48,-1)+1)),""))</f>
        <v/>
      </c>
      <c r="AD71" s="155" t="str">
        <f>IF(AC71="","",IFERROR(VLOOKUP(AC71,HELPER!$F$8:$G$48,2,FALSE),""))</f>
        <v/>
      </c>
      <c r="AE71" s="135"/>
      <c r="AF71" s="90"/>
    </row>
    <row r="72" spans="1:32" ht="15" customHeight="1" x14ac:dyDescent="0.25">
      <c r="A72" s="135"/>
      <c r="B72" s="111">
        <v>4</v>
      </c>
      <c r="C72" s="209" t="str">
        <f>IF('INPUT DATA'!N14="","",'INPUT DATA'!N14)</f>
        <v/>
      </c>
      <c r="D72" s="210"/>
      <c r="E72" s="210"/>
      <c r="F72" s="123"/>
      <c r="G72" s="119"/>
      <c r="H72" s="119"/>
      <c r="I72" s="119"/>
      <c r="J72" s="124"/>
      <c r="K72" s="143" t="str">
        <f t="shared" si="0"/>
        <v/>
      </c>
      <c r="L72" s="143" t="str">
        <f t="shared" si="12"/>
        <v/>
      </c>
      <c r="M72" s="146" t="str">
        <f t="shared" si="13"/>
        <v/>
      </c>
      <c r="N72" s="123"/>
      <c r="O72" s="119"/>
      <c r="P72" s="124"/>
      <c r="Q72" s="143" t="str">
        <f t="shared" si="14"/>
        <v/>
      </c>
      <c r="R72" s="143" t="str">
        <f t="shared" si="15"/>
        <v/>
      </c>
      <c r="S72" s="143" t="str">
        <f t="shared" si="16"/>
        <v/>
      </c>
      <c r="T72" s="123"/>
      <c r="U72" s="119"/>
      <c r="V72" s="124"/>
      <c r="W72" s="143" t="str">
        <f t="shared" si="17"/>
        <v/>
      </c>
      <c r="X72" s="143" t="str">
        <f t="shared" si="18"/>
        <v/>
      </c>
      <c r="Y72" s="143" t="str">
        <f t="shared" si="19"/>
        <v/>
      </c>
      <c r="Z72" s="150" t="str">
        <f t="shared" si="20"/>
        <v/>
      </c>
      <c r="AA72" s="143" t="str">
        <f t="shared" si="21"/>
        <v/>
      </c>
      <c r="AB72" s="152" t="str">
        <f t="shared" si="22"/>
        <v/>
      </c>
      <c r="AC72" s="158" t="str">
        <f>IF(AB72="","",IFERROR(INDEX(HELPER!$D$8:$D$48,IF(AB72&gt;=HELPER!$B$8,1,MATCH(AB72,HELPER!$B$8:$B$48,-1)+1)),""))</f>
        <v/>
      </c>
      <c r="AD72" s="155" t="str">
        <f>IF(AC72="","",IFERROR(VLOOKUP(AC72,HELPER!$F$8:$G$48,2,FALSE),""))</f>
        <v/>
      </c>
      <c r="AE72" s="135"/>
      <c r="AF72" s="90"/>
    </row>
    <row r="73" spans="1:32" ht="15" customHeight="1" x14ac:dyDescent="0.25">
      <c r="A73" s="135"/>
      <c r="B73" s="111">
        <v>5</v>
      </c>
      <c r="C73" s="209" t="str">
        <f>IF('INPUT DATA'!N15="","",'INPUT DATA'!N15)</f>
        <v/>
      </c>
      <c r="D73" s="210"/>
      <c r="E73" s="210"/>
      <c r="F73" s="123"/>
      <c r="G73" s="119"/>
      <c r="H73" s="119"/>
      <c r="I73" s="119"/>
      <c r="J73" s="124"/>
      <c r="K73" s="143" t="str">
        <f t="shared" si="0"/>
        <v/>
      </c>
      <c r="L73" s="143" t="str">
        <f t="shared" si="12"/>
        <v/>
      </c>
      <c r="M73" s="146" t="str">
        <f t="shared" si="13"/>
        <v/>
      </c>
      <c r="N73" s="123"/>
      <c r="O73" s="119"/>
      <c r="P73" s="124"/>
      <c r="Q73" s="143" t="str">
        <f t="shared" si="14"/>
        <v/>
      </c>
      <c r="R73" s="143" t="str">
        <f t="shared" si="15"/>
        <v/>
      </c>
      <c r="S73" s="143" t="str">
        <f t="shared" si="16"/>
        <v/>
      </c>
      <c r="T73" s="123"/>
      <c r="U73" s="119"/>
      <c r="V73" s="124"/>
      <c r="W73" s="143" t="str">
        <f t="shared" si="17"/>
        <v/>
      </c>
      <c r="X73" s="143" t="str">
        <f t="shared" si="18"/>
        <v/>
      </c>
      <c r="Y73" s="143" t="str">
        <f t="shared" si="19"/>
        <v/>
      </c>
      <c r="Z73" s="150" t="str">
        <f t="shared" si="20"/>
        <v/>
      </c>
      <c r="AA73" s="143" t="str">
        <f t="shared" si="21"/>
        <v/>
      </c>
      <c r="AB73" s="152" t="str">
        <f t="shared" si="22"/>
        <v/>
      </c>
      <c r="AC73" s="158" t="str">
        <f>IF(AB73="","",IFERROR(INDEX(HELPER!$D$8:$D$48,IF(AB73&gt;=HELPER!$B$8,1,MATCH(AB73,HELPER!$B$8:$B$48,-1)+1)),""))</f>
        <v/>
      </c>
      <c r="AD73" s="155" t="str">
        <f>IF(AC73="","",IFERROR(VLOOKUP(AC73,HELPER!$F$8:$G$48,2,FALSE),""))</f>
        <v/>
      </c>
      <c r="AE73" s="135"/>
      <c r="AF73" s="90"/>
    </row>
    <row r="74" spans="1:32" ht="15" customHeight="1" x14ac:dyDescent="0.25">
      <c r="A74" s="135"/>
      <c r="B74" s="111">
        <v>6</v>
      </c>
      <c r="C74" s="209" t="str">
        <f>IF('INPUT DATA'!N16="","",'INPUT DATA'!N16)</f>
        <v/>
      </c>
      <c r="D74" s="210"/>
      <c r="E74" s="210"/>
      <c r="F74" s="123"/>
      <c r="G74" s="119"/>
      <c r="H74" s="119"/>
      <c r="I74" s="119"/>
      <c r="J74" s="124"/>
      <c r="K74" s="143" t="str">
        <f t="shared" si="0"/>
        <v/>
      </c>
      <c r="L74" s="143" t="str">
        <f t="shared" si="12"/>
        <v/>
      </c>
      <c r="M74" s="146" t="str">
        <f t="shared" si="13"/>
        <v/>
      </c>
      <c r="N74" s="123"/>
      <c r="O74" s="119"/>
      <c r="P74" s="124"/>
      <c r="Q74" s="143" t="str">
        <f t="shared" si="14"/>
        <v/>
      </c>
      <c r="R74" s="143" t="str">
        <f t="shared" si="15"/>
        <v/>
      </c>
      <c r="S74" s="143" t="str">
        <f t="shared" si="16"/>
        <v/>
      </c>
      <c r="T74" s="123"/>
      <c r="U74" s="119"/>
      <c r="V74" s="124"/>
      <c r="W74" s="143" t="str">
        <f t="shared" si="17"/>
        <v/>
      </c>
      <c r="X74" s="143" t="str">
        <f t="shared" si="18"/>
        <v/>
      </c>
      <c r="Y74" s="143" t="str">
        <f t="shared" si="19"/>
        <v/>
      </c>
      <c r="Z74" s="150" t="str">
        <f t="shared" si="20"/>
        <v/>
      </c>
      <c r="AA74" s="143" t="str">
        <f t="shared" si="21"/>
        <v/>
      </c>
      <c r="AB74" s="152" t="str">
        <f t="shared" si="22"/>
        <v/>
      </c>
      <c r="AC74" s="158" t="str">
        <f>IF(AB74="","",IFERROR(INDEX(HELPER!$D$8:$D$48,IF(AB74&gt;=HELPER!$B$8,1,MATCH(AB74,HELPER!$B$8:$B$48,-1)+1)),""))</f>
        <v/>
      </c>
      <c r="AD74" s="155" t="str">
        <f>IF(AC74="","",IFERROR(VLOOKUP(AC74,HELPER!$F$8:$G$48,2,FALSE),""))</f>
        <v/>
      </c>
      <c r="AE74" s="135"/>
      <c r="AF74" s="90"/>
    </row>
    <row r="75" spans="1:32" ht="15" customHeight="1" x14ac:dyDescent="0.25">
      <c r="A75" s="135"/>
      <c r="B75" s="111">
        <v>7</v>
      </c>
      <c r="C75" s="209" t="str">
        <f>IF('INPUT DATA'!N17="","",'INPUT DATA'!N17)</f>
        <v/>
      </c>
      <c r="D75" s="210"/>
      <c r="E75" s="210"/>
      <c r="F75" s="123"/>
      <c r="G75" s="119"/>
      <c r="H75" s="119"/>
      <c r="I75" s="119"/>
      <c r="J75" s="124"/>
      <c r="K75" s="143" t="str">
        <f t="shared" si="0"/>
        <v/>
      </c>
      <c r="L75" s="143" t="str">
        <f t="shared" si="12"/>
        <v/>
      </c>
      <c r="M75" s="146" t="str">
        <f t="shared" si="13"/>
        <v/>
      </c>
      <c r="N75" s="123"/>
      <c r="O75" s="119"/>
      <c r="P75" s="124"/>
      <c r="Q75" s="143" t="str">
        <f t="shared" si="14"/>
        <v/>
      </c>
      <c r="R75" s="143" t="str">
        <f t="shared" si="15"/>
        <v/>
      </c>
      <c r="S75" s="143" t="str">
        <f t="shared" si="16"/>
        <v/>
      </c>
      <c r="T75" s="123"/>
      <c r="U75" s="119"/>
      <c r="V75" s="124"/>
      <c r="W75" s="143" t="str">
        <f t="shared" si="17"/>
        <v/>
      </c>
      <c r="X75" s="143" t="str">
        <f t="shared" si="18"/>
        <v/>
      </c>
      <c r="Y75" s="143" t="str">
        <f t="shared" si="19"/>
        <v/>
      </c>
      <c r="Z75" s="150" t="str">
        <f t="shared" si="20"/>
        <v/>
      </c>
      <c r="AA75" s="143" t="str">
        <f t="shared" si="21"/>
        <v/>
      </c>
      <c r="AB75" s="152" t="str">
        <f t="shared" si="22"/>
        <v/>
      </c>
      <c r="AC75" s="158" t="str">
        <f>IF(AB75="","",IFERROR(INDEX(HELPER!$D$8:$D$48,IF(AB75&gt;=HELPER!$B$8,1,MATCH(AB75,HELPER!$B$8:$B$48,-1)+1)),""))</f>
        <v/>
      </c>
      <c r="AD75" s="155" t="str">
        <f>IF(AC75="","",IFERROR(VLOOKUP(AC75,HELPER!$F$8:$G$48,2,FALSE),""))</f>
        <v/>
      </c>
      <c r="AE75" s="135"/>
      <c r="AF75" s="90"/>
    </row>
    <row r="76" spans="1:32" ht="15" customHeight="1" x14ac:dyDescent="0.25">
      <c r="A76" s="135"/>
      <c r="B76" s="111">
        <v>8</v>
      </c>
      <c r="C76" s="209" t="str">
        <f>IF('INPUT DATA'!N18="","",'INPUT DATA'!N18)</f>
        <v/>
      </c>
      <c r="D76" s="210"/>
      <c r="E76" s="210"/>
      <c r="F76" s="123"/>
      <c r="G76" s="119"/>
      <c r="H76" s="119"/>
      <c r="I76" s="119"/>
      <c r="J76" s="124"/>
      <c r="K76" s="143" t="str">
        <f t="shared" si="0"/>
        <v/>
      </c>
      <c r="L76" s="143" t="str">
        <f t="shared" si="12"/>
        <v/>
      </c>
      <c r="M76" s="146" t="str">
        <f t="shared" si="13"/>
        <v/>
      </c>
      <c r="N76" s="123"/>
      <c r="O76" s="119"/>
      <c r="P76" s="124"/>
      <c r="Q76" s="143" t="str">
        <f t="shared" si="14"/>
        <v/>
      </c>
      <c r="R76" s="143" t="str">
        <f t="shared" si="15"/>
        <v/>
      </c>
      <c r="S76" s="143" t="str">
        <f t="shared" si="16"/>
        <v/>
      </c>
      <c r="T76" s="123"/>
      <c r="U76" s="119"/>
      <c r="V76" s="124"/>
      <c r="W76" s="143" t="str">
        <f t="shared" si="17"/>
        <v/>
      </c>
      <c r="X76" s="143" t="str">
        <f t="shared" si="18"/>
        <v/>
      </c>
      <c r="Y76" s="143" t="str">
        <f t="shared" si="19"/>
        <v/>
      </c>
      <c r="Z76" s="150" t="str">
        <f t="shared" si="20"/>
        <v/>
      </c>
      <c r="AA76" s="143" t="str">
        <f t="shared" si="21"/>
        <v/>
      </c>
      <c r="AB76" s="152" t="str">
        <f t="shared" si="22"/>
        <v/>
      </c>
      <c r="AC76" s="158" t="str">
        <f>IF(AB76="","",IFERROR(INDEX(HELPER!$D$8:$D$48,IF(AB76&gt;=HELPER!$B$8,1,MATCH(AB76,HELPER!$B$8:$B$48,-1)+1)),""))</f>
        <v/>
      </c>
      <c r="AD76" s="155" t="str">
        <f>IF(AC76="","",IFERROR(VLOOKUP(AC76,HELPER!$F$8:$G$48,2,FALSE),""))</f>
        <v/>
      </c>
      <c r="AE76" s="135"/>
      <c r="AF76" s="90"/>
    </row>
    <row r="77" spans="1:32" ht="15" customHeight="1" x14ac:dyDescent="0.25">
      <c r="A77" s="135"/>
      <c r="B77" s="111">
        <v>9</v>
      </c>
      <c r="C77" s="209" t="str">
        <f>IF('INPUT DATA'!N19="","",'INPUT DATA'!N19)</f>
        <v/>
      </c>
      <c r="D77" s="210"/>
      <c r="E77" s="210"/>
      <c r="F77" s="123"/>
      <c r="G77" s="119"/>
      <c r="H77" s="119"/>
      <c r="I77" s="119"/>
      <c r="J77" s="124"/>
      <c r="K77" s="143" t="str">
        <f t="shared" si="0"/>
        <v/>
      </c>
      <c r="L77" s="143" t="str">
        <f t="shared" si="12"/>
        <v/>
      </c>
      <c r="M77" s="146" t="str">
        <f t="shared" si="13"/>
        <v/>
      </c>
      <c r="N77" s="123"/>
      <c r="O77" s="119"/>
      <c r="P77" s="124"/>
      <c r="Q77" s="143" t="str">
        <f t="shared" si="14"/>
        <v/>
      </c>
      <c r="R77" s="143" t="str">
        <f t="shared" si="15"/>
        <v/>
      </c>
      <c r="S77" s="143" t="str">
        <f t="shared" si="16"/>
        <v/>
      </c>
      <c r="T77" s="123"/>
      <c r="U77" s="119"/>
      <c r="V77" s="124"/>
      <c r="W77" s="143" t="str">
        <f t="shared" si="17"/>
        <v/>
      </c>
      <c r="X77" s="143" t="str">
        <f t="shared" si="18"/>
        <v/>
      </c>
      <c r="Y77" s="143" t="str">
        <f t="shared" si="19"/>
        <v/>
      </c>
      <c r="Z77" s="150" t="str">
        <f t="shared" si="20"/>
        <v/>
      </c>
      <c r="AA77" s="143" t="str">
        <f t="shared" si="21"/>
        <v/>
      </c>
      <c r="AB77" s="152" t="str">
        <f t="shared" si="22"/>
        <v/>
      </c>
      <c r="AC77" s="158" t="str">
        <f>IF(AB77="","",IFERROR(INDEX(HELPER!$D$8:$D$48,IF(AB77&gt;=HELPER!$B$8,1,MATCH(AB77,HELPER!$B$8:$B$48,-1)+1)),""))</f>
        <v/>
      </c>
      <c r="AD77" s="155" t="str">
        <f>IF(AC77="","",IFERROR(VLOOKUP(AC77,HELPER!$F$8:$G$48,2,FALSE),""))</f>
        <v/>
      </c>
      <c r="AE77" s="135"/>
      <c r="AF77" s="90"/>
    </row>
    <row r="78" spans="1:32" ht="15" customHeight="1" x14ac:dyDescent="0.25">
      <c r="A78" s="135"/>
      <c r="B78" s="111">
        <v>10</v>
      </c>
      <c r="C78" s="209" t="str">
        <f>IF('INPUT DATA'!N20="","",'INPUT DATA'!N20)</f>
        <v/>
      </c>
      <c r="D78" s="210"/>
      <c r="E78" s="210"/>
      <c r="F78" s="123"/>
      <c r="G78" s="119"/>
      <c r="H78" s="119"/>
      <c r="I78" s="119"/>
      <c r="J78" s="124"/>
      <c r="K78" s="143" t="str">
        <f t="shared" si="0"/>
        <v/>
      </c>
      <c r="L78" s="143" t="str">
        <f t="shared" si="12"/>
        <v/>
      </c>
      <c r="M78" s="146" t="str">
        <f t="shared" si="13"/>
        <v/>
      </c>
      <c r="N78" s="123"/>
      <c r="O78" s="119"/>
      <c r="P78" s="124"/>
      <c r="Q78" s="143" t="str">
        <f t="shared" si="14"/>
        <v/>
      </c>
      <c r="R78" s="143" t="str">
        <f t="shared" si="15"/>
        <v/>
      </c>
      <c r="S78" s="143" t="str">
        <f t="shared" si="16"/>
        <v/>
      </c>
      <c r="T78" s="123"/>
      <c r="U78" s="119"/>
      <c r="V78" s="124"/>
      <c r="W78" s="143" t="str">
        <f t="shared" si="17"/>
        <v/>
      </c>
      <c r="X78" s="143" t="str">
        <f t="shared" si="18"/>
        <v/>
      </c>
      <c r="Y78" s="143" t="str">
        <f t="shared" si="19"/>
        <v/>
      </c>
      <c r="Z78" s="150" t="str">
        <f t="shared" si="20"/>
        <v/>
      </c>
      <c r="AA78" s="143" t="str">
        <f t="shared" si="21"/>
        <v/>
      </c>
      <c r="AB78" s="152" t="str">
        <f t="shared" si="22"/>
        <v/>
      </c>
      <c r="AC78" s="158" t="str">
        <f>IF(AB78="","",IFERROR(INDEX(HELPER!$D$8:$D$48,IF(AB78&gt;=HELPER!$B$8,1,MATCH(AB78,HELPER!$B$8:$B$48,-1)+1)),""))</f>
        <v/>
      </c>
      <c r="AD78" s="155" t="str">
        <f>IF(AC78="","",IFERROR(VLOOKUP(AC78,HELPER!$F$8:$G$48,2,FALSE),""))</f>
        <v/>
      </c>
      <c r="AE78" s="135"/>
      <c r="AF78" s="90"/>
    </row>
    <row r="79" spans="1:32" ht="15" customHeight="1" x14ac:dyDescent="0.25">
      <c r="A79" s="135"/>
      <c r="B79" s="111">
        <v>11</v>
      </c>
      <c r="C79" s="209" t="str">
        <f>IF('INPUT DATA'!N21="","",'INPUT DATA'!N21)</f>
        <v/>
      </c>
      <c r="D79" s="210"/>
      <c r="E79" s="210"/>
      <c r="F79" s="123"/>
      <c r="G79" s="119"/>
      <c r="H79" s="119"/>
      <c r="I79" s="119"/>
      <c r="J79" s="124"/>
      <c r="K79" s="143" t="str">
        <f t="shared" si="0"/>
        <v/>
      </c>
      <c r="L79" s="143" t="str">
        <f t="shared" si="12"/>
        <v/>
      </c>
      <c r="M79" s="146" t="str">
        <f t="shared" si="13"/>
        <v/>
      </c>
      <c r="N79" s="123"/>
      <c r="O79" s="119"/>
      <c r="P79" s="124"/>
      <c r="Q79" s="143" t="str">
        <f t="shared" si="14"/>
        <v/>
      </c>
      <c r="R79" s="143" t="str">
        <f t="shared" si="15"/>
        <v/>
      </c>
      <c r="S79" s="143" t="str">
        <f t="shared" si="16"/>
        <v/>
      </c>
      <c r="T79" s="123"/>
      <c r="U79" s="119"/>
      <c r="V79" s="124"/>
      <c r="W79" s="143" t="str">
        <f t="shared" si="17"/>
        <v/>
      </c>
      <c r="X79" s="143" t="str">
        <f t="shared" si="18"/>
        <v/>
      </c>
      <c r="Y79" s="143" t="str">
        <f t="shared" si="19"/>
        <v/>
      </c>
      <c r="Z79" s="150" t="str">
        <f t="shared" si="20"/>
        <v/>
      </c>
      <c r="AA79" s="143" t="str">
        <f t="shared" si="21"/>
        <v/>
      </c>
      <c r="AB79" s="152" t="str">
        <f t="shared" si="22"/>
        <v/>
      </c>
      <c r="AC79" s="158" t="str">
        <f>IF(AB79="","",IFERROR(INDEX(HELPER!$D$8:$D$48,IF(AB79&gt;=HELPER!$B$8,1,MATCH(AB79,HELPER!$B$8:$B$48,-1)+1)),""))</f>
        <v/>
      </c>
      <c r="AD79" s="155" t="str">
        <f>IF(AC79="","",IFERROR(VLOOKUP(AC79,HELPER!$F$8:$G$48,2,FALSE),""))</f>
        <v/>
      </c>
      <c r="AE79" s="135"/>
      <c r="AF79" s="90"/>
    </row>
    <row r="80" spans="1:32" ht="15" customHeight="1" x14ac:dyDescent="0.25">
      <c r="A80" s="135"/>
      <c r="B80" s="111">
        <v>12</v>
      </c>
      <c r="C80" s="209" t="str">
        <f>IF('INPUT DATA'!N22="","",'INPUT DATA'!N22)</f>
        <v/>
      </c>
      <c r="D80" s="210"/>
      <c r="E80" s="210"/>
      <c r="F80" s="123"/>
      <c r="G80" s="119"/>
      <c r="H80" s="119"/>
      <c r="I80" s="119"/>
      <c r="J80" s="124"/>
      <c r="K80" s="143" t="str">
        <f t="shared" si="0"/>
        <v/>
      </c>
      <c r="L80" s="143" t="str">
        <f t="shared" si="12"/>
        <v/>
      </c>
      <c r="M80" s="146" t="str">
        <f t="shared" si="13"/>
        <v/>
      </c>
      <c r="N80" s="123"/>
      <c r="O80" s="119"/>
      <c r="P80" s="124"/>
      <c r="Q80" s="143" t="str">
        <f t="shared" si="14"/>
        <v/>
      </c>
      <c r="R80" s="143" t="str">
        <f t="shared" si="15"/>
        <v/>
      </c>
      <c r="S80" s="143" t="str">
        <f t="shared" si="16"/>
        <v/>
      </c>
      <c r="T80" s="123"/>
      <c r="U80" s="119"/>
      <c r="V80" s="124"/>
      <c r="W80" s="143" t="str">
        <f t="shared" si="17"/>
        <v/>
      </c>
      <c r="X80" s="143" t="str">
        <f t="shared" si="18"/>
        <v/>
      </c>
      <c r="Y80" s="143" t="str">
        <f t="shared" si="19"/>
        <v/>
      </c>
      <c r="Z80" s="150" t="str">
        <f t="shared" si="20"/>
        <v/>
      </c>
      <c r="AA80" s="143" t="str">
        <f t="shared" si="21"/>
        <v/>
      </c>
      <c r="AB80" s="152" t="str">
        <f t="shared" si="22"/>
        <v/>
      </c>
      <c r="AC80" s="158" t="str">
        <f>IF(AB80="","",IFERROR(INDEX(HELPER!$D$8:$D$48,IF(AB80&gt;=HELPER!$B$8,1,MATCH(AB80,HELPER!$B$8:$B$48,-1)+1)),""))</f>
        <v/>
      </c>
      <c r="AD80" s="155" t="str">
        <f>IF(AC80="","",IFERROR(VLOOKUP(AC80,HELPER!$F$8:$G$48,2,FALSE),""))</f>
        <v/>
      </c>
      <c r="AE80" s="135"/>
      <c r="AF80" s="90"/>
    </row>
    <row r="81" spans="1:32" ht="15" customHeight="1" x14ac:dyDescent="0.25">
      <c r="A81" s="135"/>
      <c r="B81" s="111">
        <v>13</v>
      </c>
      <c r="C81" s="209" t="str">
        <f>IF('INPUT DATA'!N23="","",'INPUT DATA'!N23)</f>
        <v/>
      </c>
      <c r="D81" s="210"/>
      <c r="E81" s="210"/>
      <c r="F81" s="123"/>
      <c r="G81" s="119"/>
      <c r="H81" s="119"/>
      <c r="I81" s="119"/>
      <c r="J81" s="124"/>
      <c r="K81" s="143" t="str">
        <f t="shared" si="0"/>
        <v/>
      </c>
      <c r="L81" s="143" t="str">
        <f t="shared" si="12"/>
        <v/>
      </c>
      <c r="M81" s="146" t="str">
        <f t="shared" si="13"/>
        <v/>
      </c>
      <c r="N81" s="123"/>
      <c r="O81" s="119"/>
      <c r="P81" s="124"/>
      <c r="Q81" s="143" t="str">
        <f t="shared" si="14"/>
        <v/>
      </c>
      <c r="R81" s="143" t="str">
        <f t="shared" si="15"/>
        <v/>
      </c>
      <c r="S81" s="143" t="str">
        <f t="shared" si="16"/>
        <v/>
      </c>
      <c r="T81" s="123"/>
      <c r="U81" s="119"/>
      <c r="V81" s="124"/>
      <c r="W81" s="143" t="str">
        <f t="shared" si="17"/>
        <v/>
      </c>
      <c r="X81" s="143" t="str">
        <f t="shared" si="18"/>
        <v/>
      </c>
      <c r="Y81" s="143" t="str">
        <f t="shared" si="19"/>
        <v/>
      </c>
      <c r="Z81" s="150" t="str">
        <f t="shared" si="20"/>
        <v/>
      </c>
      <c r="AA81" s="143" t="str">
        <f t="shared" si="21"/>
        <v/>
      </c>
      <c r="AB81" s="152" t="str">
        <f t="shared" si="22"/>
        <v/>
      </c>
      <c r="AC81" s="158" t="str">
        <f>IF(AB81="","",IFERROR(INDEX(HELPER!$D$8:$D$48,IF(AB81&gt;=HELPER!$B$8,1,MATCH(AB81,HELPER!$B$8:$B$48,-1)+1)),""))</f>
        <v/>
      </c>
      <c r="AD81" s="155" t="str">
        <f>IF(AC81="","",IFERROR(VLOOKUP(AC81,HELPER!$F$8:$G$48,2,FALSE),""))</f>
        <v/>
      </c>
      <c r="AE81" s="135"/>
      <c r="AF81" s="90"/>
    </row>
    <row r="82" spans="1:32" ht="15" customHeight="1" x14ac:dyDescent="0.25">
      <c r="A82" s="135"/>
      <c r="B82" s="111">
        <v>14</v>
      </c>
      <c r="C82" s="209" t="str">
        <f>IF('INPUT DATA'!N24="","",'INPUT DATA'!N24)</f>
        <v/>
      </c>
      <c r="D82" s="210"/>
      <c r="E82" s="210"/>
      <c r="F82" s="123"/>
      <c r="G82" s="119"/>
      <c r="H82" s="119"/>
      <c r="I82" s="119"/>
      <c r="J82" s="124"/>
      <c r="K82" s="143" t="str">
        <f t="shared" ref="K82:K118" si="23">IF(COUNT($F82:$J82)=0,"",SUM($F82:$J82))</f>
        <v/>
      </c>
      <c r="L82" s="143" t="str">
        <f t="shared" si="12"/>
        <v/>
      </c>
      <c r="M82" s="146" t="str">
        <f t="shared" si="13"/>
        <v/>
      </c>
      <c r="N82" s="123"/>
      <c r="O82" s="119"/>
      <c r="P82" s="124"/>
      <c r="Q82" s="143" t="str">
        <f t="shared" si="14"/>
        <v/>
      </c>
      <c r="R82" s="143" t="str">
        <f t="shared" si="15"/>
        <v/>
      </c>
      <c r="S82" s="143" t="str">
        <f t="shared" si="16"/>
        <v/>
      </c>
      <c r="T82" s="123"/>
      <c r="U82" s="119"/>
      <c r="V82" s="124"/>
      <c r="W82" s="143" t="str">
        <f t="shared" si="17"/>
        <v/>
      </c>
      <c r="X82" s="143" t="str">
        <f t="shared" si="18"/>
        <v/>
      </c>
      <c r="Y82" s="143" t="str">
        <f t="shared" si="19"/>
        <v/>
      </c>
      <c r="Z82" s="150" t="str">
        <f t="shared" si="20"/>
        <v/>
      </c>
      <c r="AA82" s="143" t="str">
        <f t="shared" si="21"/>
        <v/>
      </c>
      <c r="AB82" s="152" t="str">
        <f t="shared" si="22"/>
        <v/>
      </c>
      <c r="AC82" s="158" t="str">
        <f>IF(AB82="","",IFERROR(INDEX(HELPER!$D$8:$D$48,IF(AB82&gt;=HELPER!$B$8,1,MATCH(AB82,HELPER!$B$8:$B$48,-1)+1)),""))</f>
        <v/>
      </c>
      <c r="AD82" s="155" t="str">
        <f>IF(AC82="","",IFERROR(VLOOKUP(AC82,HELPER!$F$8:$G$48,2,FALSE),""))</f>
        <v/>
      </c>
      <c r="AE82" s="135"/>
      <c r="AF82" s="90"/>
    </row>
    <row r="83" spans="1:32" ht="15" customHeight="1" x14ac:dyDescent="0.25">
      <c r="A83" s="135"/>
      <c r="B83" s="111">
        <v>15</v>
      </c>
      <c r="C83" s="209" t="str">
        <f>IF('INPUT DATA'!N25="","",'INPUT DATA'!N25)</f>
        <v/>
      </c>
      <c r="D83" s="210"/>
      <c r="E83" s="210"/>
      <c r="F83" s="123"/>
      <c r="G83" s="119"/>
      <c r="H83" s="119"/>
      <c r="I83" s="119"/>
      <c r="J83" s="124"/>
      <c r="K83" s="143" t="str">
        <f t="shared" si="23"/>
        <v/>
      </c>
      <c r="L83" s="143" t="str">
        <f t="shared" si="12"/>
        <v/>
      </c>
      <c r="M83" s="146" t="str">
        <f t="shared" si="13"/>
        <v/>
      </c>
      <c r="N83" s="123"/>
      <c r="O83" s="119"/>
      <c r="P83" s="124"/>
      <c r="Q83" s="143" t="str">
        <f t="shared" si="14"/>
        <v/>
      </c>
      <c r="R83" s="143" t="str">
        <f t="shared" si="15"/>
        <v/>
      </c>
      <c r="S83" s="143" t="str">
        <f t="shared" si="16"/>
        <v/>
      </c>
      <c r="T83" s="123"/>
      <c r="U83" s="119"/>
      <c r="V83" s="124"/>
      <c r="W83" s="143" t="str">
        <f t="shared" si="17"/>
        <v/>
      </c>
      <c r="X83" s="143" t="str">
        <f t="shared" si="18"/>
        <v/>
      </c>
      <c r="Y83" s="143" t="str">
        <f t="shared" si="19"/>
        <v/>
      </c>
      <c r="Z83" s="150" t="str">
        <f t="shared" si="20"/>
        <v/>
      </c>
      <c r="AA83" s="143" t="str">
        <f t="shared" si="21"/>
        <v/>
      </c>
      <c r="AB83" s="152" t="str">
        <f t="shared" si="22"/>
        <v/>
      </c>
      <c r="AC83" s="158" t="str">
        <f>IF(AB83="","",IFERROR(INDEX(HELPER!$D$8:$D$48,IF(AB83&gt;=HELPER!$B$8,1,MATCH(AB83,HELPER!$B$8:$B$48,-1)+1)),""))</f>
        <v/>
      </c>
      <c r="AD83" s="155" t="str">
        <f>IF(AC83="","",IFERROR(VLOOKUP(AC83,HELPER!$F$8:$G$48,2,FALSE),""))</f>
        <v/>
      </c>
      <c r="AE83" s="135"/>
      <c r="AF83" s="90"/>
    </row>
    <row r="84" spans="1:32" ht="15" customHeight="1" x14ac:dyDescent="0.25">
      <c r="A84" s="135"/>
      <c r="B84" s="111">
        <v>16</v>
      </c>
      <c r="C84" s="209" t="str">
        <f>IF('INPUT DATA'!N26="","",'INPUT DATA'!N26)</f>
        <v/>
      </c>
      <c r="D84" s="210"/>
      <c r="E84" s="210"/>
      <c r="F84" s="123"/>
      <c r="G84" s="119"/>
      <c r="H84" s="119"/>
      <c r="I84" s="119"/>
      <c r="J84" s="124"/>
      <c r="K84" s="143" t="str">
        <f t="shared" si="23"/>
        <v/>
      </c>
      <c r="L84" s="143" t="str">
        <f t="shared" si="12"/>
        <v/>
      </c>
      <c r="M84" s="146" t="str">
        <f t="shared" si="13"/>
        <v/>
      </c>
      <c r="N84" s="123"/>
      <c r="O84" s="119"/>
      <c r="P84" s="124"/>
      <c r="Q84" s="143" t="str">
        <f t="shared" si="14"/>
        <v/>
      </c>
      <c r="R84" s="143" t="str">
        <f t="shared" si="15"/>
        <v/>
      </c>
      <c r="S84" s="143" t="str">
        <f t="shared" si="16"/>
        <v/>
      </c>
      <c r="T84" s="123"/>
      <c r="U84" s="119"/>
      <c r="V84" s="124"/>
      <c r="W84" s="143" t="str">
        <f t="shared" si="17"/>
        <v/>
      </c>
      <c r="X84" s="143" t="str">
        <f t="shared" si="18"/>
        <v/>
      </c>
      <c r="Y84" s="143" t="str">
        <f t="shared" si="19"/>
        <v/>
      </c>
      <c r="Z84" s="150" t="str">
        <f t="shared" si="20"/>
        <v/>
      </c>
      <c r="AA84" s="143" t="str">
        <f t="shared" si="21"/>
        <v/>
      </c>
      <c r="AB84" s="152" t="str">
        <f t="shared" si="22"/>
        <v/>
      </c>
      <c r="AC84" s="158" t="str">
        <f>IF(AB84="","",IFERROR(INDEX(HELPER!$D$8:$D$48,IF(AB84&gt;=HELPER!$B$8,1,MATCH(AB84,HELPER!$B$8:$B$48,-1)+1)),""))</f>
        <v/>
      </c>
      <c r="AD84" s="155" t="str">
        <f>IF(AC84="","",IFERROR(VLOOKUP(AC84,HELPER!$F$8:$G$48,2,FALSE),""))</f>
        <v/>
      </c>
      <c r="AE84" s="135"/>
      <c r="AF84" s="90"/>
    </row>
    <row r="85" spans="1:32" ht="15" customHeight="1" x14ac:dyDescent="0.25">
      <c r="A85" s="135"/>
      <c r="B85" s="111">
        <v>17</v>
      </c>
      <c r="C85" s="209" t="str">
        <f>IF('INPUT DATA'!N27="","",'INPUT DATA'!N27)</f>
        <v/>
      </c>
      <c r="D85" s="210"/>
      <c r="E85" s="210"/>
      <c r="F85" s="123"/>
      <c r="G85" s="119"/>
      <c r="H85" s="119"/>
      <c r="I85" s="119"/>
      <c r="J85" s="124"/>
      <c r="K85" s="143" t="str">
        <f t="shared" si="23"/>
        <v/>
      </c>
      <c r="L85" s="143" t="str">
        <f t="shared" si="12"/>
        <v/>
      </c>
      <c r="M85" s="146" t="str">
        <f t="shared" si="13"/>
        <v/>
      </c>
      <c r="N85" s="123"/>
      <c r="O85" s="119"/>
      <c r="P85" s="124"/>
      <c r="Q85" s="143" t="str">
        <f t="shared" si="14"/>
        <v/>
      </c>
      <c r="R85" s="143" t="str">
        <f t="shared" si="15"/>
        <v/>
      </c>
      <c r="S85" s="143" t="str">
        <f t="shared" si="16"/>
        <v/>
      </c>
      <c r="T85" s="123"/>
      <c r="U85" s="119"/>
      <c r="V85" s="124"/>
      <c r="W85" s="143" t="str">
        <f t="shared" si="17"/>
        <v/>
      </c>
      <c r="X85" s="143" t="str">
        <f t="shared" si="18"/>
        <v/>
      </c>
      <c r="Y85" s="143" t="str">
        <f t="shared" si="19"/>
        <v/>
      </c>
      <c r="Z85" s="150" t="str">
        <f t="shared" si="20"/>
        <v/>
      </c>
      <c r="AA85" s="143" t="str">
        <f t="shared" si="21"/>
        <v/>
      </c>
      <c r="AB85" s="152" t="str">
        <f t="shared" si="22"/>
        <v/>
      </c>
      <c r="AC85" s="158" t="str">
        <f>IF(AB85="","",IFERROR(INDEX(HELPER!$D$8:$D$48,IF(AB85&gt;=HELPER!$B$8,1,MATCH(AB85,HELPER!$B$8:$B$48,-1)+1)),""))</f>
        <v/>
      </c>
      <c r="AD85" s="155" t="str">
        <f>IF(AC85="","",IFERROR(VLOOKUP(AC85,HELPER!$F$8:$G$48,2,FALSE),""))</f>
        <v/>
      </c>
      <c r="AE85" s="135"/>
      <c r="AF85" s="90"/>
    </row>
    <row r="86" spans="1:32" ht="15" customHeight="1" x14ac:dyDescent="0.25">
      <c r="A86" s="135"/>
      <c r="B86" s="111">
        <v>18</v>
      </c>
      <c r="C86" s="209" t="str">
        <f>IF('INPUT DATA'!N28="","",'INPUT DATA'!N28)</f>
        <v/>
      </c>
      <c r="D86" s="210"/>
      <c r="E86" s="210"/>
      <c r="F86" s="123"/>
      <c r="G86" s="119"/>
      <c r="H86" s="119"/>
      <c r="I86" s="119"/>
      <c r="J86" s="124"/>
      <c r="K86" s="143" t="str">
        <f t="shared" si="23"/>
        <v/>
      </c>
      <c r="L86" s="143" t="str">
        <f t="shared" si="12"/>
        <v/>
      </c>
      <c r="M86" s="146" t="str">
        <f t="shared" si="13"/>
        <v/>
      </c>
      <c r="N86" s="123"/>
      <c r="O86" s="119"/>
      <c r="P86" s="124"/>
      <c r="Q86" s="143" t="str">
        <f t="shared" si="14"/>
        <v/>
      </c>
      <c r="R86" s="143" t="str">
        <f t="shared" si="15"/>
        <v/>
      </c>
      <c r="S86" s="143" t="str">
        <f t="shared" si="16"/>
        <v/>
      </c>
      <c r="T86" s="123"/>
      <c r="U86" s="119"/>
      <c r="V86" s="124"/>
      <c r="W86" s="143" t="str">
        <f t="shared" si="17"/>
        <v/>
      </c>
      <c r="X86" s="143" t="str">
        <f t="shared" si="18"/>
        <v/>
      </c>
      <c r="Y86" s="143" t="str">
        <f t="shared" si="19"/>
        <v/>
      </c>
      <c r="Z86" s="150" t="str">
        <f t="shared" si="20"/>
        <v/>
      </c>
      <c r="AA86" s="143" t="str">
        <f t="shared" si="21"/>
        <v/>
      </c>
      <c r="AB86" s="152" t="str">
        <f t="shared" si="22"/>
        <v/>
      </c>
      <c r="AC86" s="158" t="str">
        <f>IF(AB86="","",IFERROR(INDEX(HELPER!$D$8:$D$48,IF(AB86&gt;=HELPER!$B$8,1,MATCH(AB86,HELPER!$B$8:$B$48,-1)+1)),""))</f>
        <v/>
      </c>
      <c r="AD86" s="155" t="str">
        <f>IF(AC86="","",IFERROR(VLOOKUP(AC86,HELPER!$F$8:$G$48,2,FALSE),""))</f>
        <v/>
      </c>
      <c r="AE86" s="135"/>
      <c r="AF86" s="90"/>
    </row>
    <row r="87" spans="1:32" ht="15" customHeight="1" x14ac:dyDescent="0.25">
      <c r="A87" s="135"/>
      <c r="B87" s="111">
        <v>19</v>
      </c>
      <c r="C87" s="209" t="str">
        <f>IF('INPUT DATA'!N29="","",'INPUT DATA'!N29)</f>
        <v/>
      </c>
      <c r="D87" s="210"/>
      <c r="E87" s="210"/>
      <c r="F87" s="123"/>
      <c r="G87" s="119"/>
      <c r="H87" s="119"/>
      <c r="I87" s="119"/>
      <c r="J87" s="124"/>
      <c r="K87" s="143" t="str">
        <f t="shared" si="23"/>
        <v/>
      </c>
      <c r="L87" s="143" t="str">
        <f t="shared" si="12"/>
        <v/>
      </c>
      <c r="M87" s="146" t="str">
        <f t="shared" si="13"/>
        <v/>
      </c>
      <c r="N87" s="123"/>
      <c r="O87" s="119"/>
      <c r="P87" s="124"/>
      <c r="Q87" s="143" t="str">
        <f t="shared" si="14"/>
        <v/>
      </c>
      <c r="R87" s="143" t="str">
        <f t="shared" si="15"/>
        <v/>
      </c>
      <c r="S87" s="143" t="str">
        <f t="shared" si="16"/>
        <v/>
      </c>
      <c r="T87" s="123"/>
      <c r="U87" s="119"/>
      <c r="V87" s="124"/>
      <c r="W87" s="143" t="str">
        <f t="shared" si="17"/>
        <v/>
      </c>
      <c r="X87" s="143" t="str">
        <f t="shared" si="18"/>
        <v/>
      </c>
      <c r="Y87" s="143" t="str">
        <f t="shared" si="19"/>
        <v/>
      </c>
      <c r="Z87" s="150" t="str">
        <f t="shared" si="20"/>
        <v/>
      </c>
      <c r="AA87" s="143" t="str">
        <f t="shared" si="21"/>
        <v/>
      </c>
      <c r="AB87" s="152" t="str">
        <f t="shared" si="22"/>
        <v/>
      </c>
      <c r="AC87" s="158" t="str">
        <f>IF(AB87="","",IFERROR(INDEX(HELPER!$D$8:$D$48,IF(AB87&gt;=HELPER!$B$8,1,MATCH(AB87,HELPER!$B$8:$B$48,-1)+1)),""))</f>
        <v/>
      </c>
      <c r="AD87" s="155" t="str">
        <f>IF(AC87="","",IFERROR(VLOOKUP(AC87,HELPER!$F$8:$G$48,2,FALSE),""))</f>
        <v/>
      </c>
      <c r="AE87" s="135"/>
      <c r="AF87" s="90"/>
    </row>
    <row r="88" spans="1:32" ht="15" customHeight="1" x14ac:dyDescent="0.25">
      <c r="A88" s="135"/>
      <c r="B88" s="112">
        <v>20</v>
      </c>
      <c r="C88" s="209" t="str">
        <f>IF('INPUT DATA'!N30="","",'INPUT DATA'!N30)</f>
        <v/>
      </c>
      <c r="D88" s="210"/>
      <c r="E88" s="210"/>
      <c r="F88" s="123"/>
      <c r="G88" s="119"/>
      <c r="H88" s="119"/>
      <c r="I88" s="119"/>
      <c r="J88" s="124"/>
      <c r="K88" s="143" t="str">
        <f t="shared" si="23"/>
        <v/>
      </c>
      <c r="L88" s="143" t="str">
        <f t="shared" si="12"/>
        <v/>
      </c>
      <c r="M88" s="146" t="str">
        <f t="shared" si="13"/>
        <v/>
      </c>
      <c r="N88" s="123"/>
      <c r="O88" s="119"/>
      <c r="P88" s="124"/>
      <c r="Q88" s="143" t="str">
        <f t="shared" si="14"/>
        <v/>
      </c>
      <c r="R88" s="143" t="str">
        <f t="shared" si="15"/>
        <v/>
      </c>
      <c r="S88" s="143" t="str">
        <f t="shared" si="16"/>
        <v/>
      </c>
      <c r="T88" s="123"/>
      <c r="U88" s="119"/>
      <c r="V88" s="124"/>
      <c r="W88" s="143" t="str">
        <f t="shared" si="17"/>
        <v/>
      </c>
      <c r="X88" s="143" t="str">
        <f t="shared" si="18"/>
        <v/>
      </c>
      <c r="Y88" s="143" t="str">
        <f t="shared" si="19"/>
        <v/>
      </c>
      <c r="Z88" s="150" t="str">
        <f t="shared" si="20"/>
        <v/>
      </c>
      <c r="AA88" s="143" t="str">
        <f t="shared" si="21"/>
        <v/>
      </c>
      <c r="AB88" s="152" t="str">
        <f t="shared" si="22"/>
        <v/>
      </c>
      <c r="AC88" s="158" t="str">
        <f>IF(AB88="","",IFERROR(INDEX(HELPER!$D$8:$D$48,IF(AB88&gt;=HELPER!$B$8,1,MATCH(AB88,HELPER!$B$8:$B$48,-1)+1)),""))</f>
        <v/>
      </c>
      <c r="AD88" s="155" t="str">
        <f>IF(AC88="","",IFERROR(VLOOKUP(AC88,HELPER!$F$8:$G$48,2,FALSE),""))</f>
        <v/>
      </c>
      <c r="AE88" s="135"/>
      <c r="AF88" s="90"/>
    </row>
    <row r="89" spans="1:32" ht="15" customHeight="1" x14ac:dyDescent="0.25">
      <c r="A89" s="135"/>
      <c r="B89" s="112">
        <v>21</v>
      </c>
      <c r="C89" s="209" t="str">
        <f>IF('INPUT DATA'!N31="","",'INPUT DATA'!N31)</f>
        <v/>
      </c>
      <c r="D89" s="210"/>
      <c r="E89" s="210"/>
      <c r="F89" s="123"/>
      <c r="G89" s="119"/>
      <c r="H89" s="119"/>
      <c r="I89" s="119"/>
      <c r="J89" s="124"/>
      <c r="K89" s="143" t="str">
        <f t="shared" si="23"/>
        <v/>
      </c>
      <c r="L89" s="143" t="str">
        <f t="shared" si="12"/>
        <v/>
      </c>
      <c r="M89" s="146" t="str">
        <f t="shared" si="13"/>
        <v/>
      </c>
      <c r="N89" s="123"/>
      <c r="O89" s="119"/>
      <c r="P89" s="124"/>
      <c r="Q89" s="143" t="str">
        <f t="shared" si="14"/>
        <v/>
      </c>
      <c r="R89" s="143" t="str">
        <f t="shared" si="15"/>
        <v/>
      </c>
      <c r="S89" s="143" t="str">
        <f t="shared" si="16"/>
        <v/>
      </c>
      <c r="T89" s="123"/>
      <c r="U89" s="119"/>
      <c r="V89" s="124"/>
      <c r="W89" s="143" t="str">
        <f t="shared" si="17"/>
        <v/>
      </c>
      <c r="X89" s="143" t="str">
        <f t="shared" si="18"/>
        <v/>
      </c>
      <c r="Y89" s="143" t="str">
        <f t="shared" si="19"/>
        <v/>
      </c>
      <c r="Z89" s="150" t="str">
        <f t="shared" si="20"/>
        <v/>
      </c>
      <c r="AA89" s="143" t="str">
        <f t="shared" si="21"/>
        <v/>
      </c>
      <c r="AB89" s="152" t="str">
        <f t="shared" si="22"/>
        <v/>
      </c>
      <c r="AC89" s="158" t="str">
        <f>IF(AB89="","",IFERROR(INDEX(HELPER!$D$8:$D$48,IF(AB89&gt;=HELPER!$B$8,1,MATCH(AB89,HELPER!$B$8:$B$48,-1)+1)),""))</f>
        <v/>
      </c>
      <c r="AD89" s="155" t="str">
        <f>IF(AC89="","",IFERROR(VLOOKUP(AC89,HELPER!$F$8:$G$48,2,FALSE),""))</f>
        <v/>
      </c>
      <c r="AE89" s="135"/>
      <c r="AF89" s="90"/>
    </row>
    <row r="90" spans="1:32" ht="15" customHeight="1" x14ac:dyDescent="0.25">
      <c r="A90" s="135"/>
      <c r="B90" s="112">
        <v>22</v>
      </c>
      <c r="C90" s="209" t="str">
        <f>IF('INPUT DATA'!N32="","",'INPUT DATA'!N32)</f>
        <v/>
      </c>
      <c r="D90" s="210"/>
      <c r="E90" s="210"/>
      <c r="F90" s="123"/>
      <c r="G90" s="119"/>
      <c r="H90" s="119"/>
      <c r="I90" s="119"/>
      <c r="J90" s="124"/>
      <c r="K90" s="143" t="str">
        <f t="shared" si="23"/>
        <v/>
      </c>
      <c r="L90" s="143" t="str">
        <f t="shared" si="12"/>
        <v/>
      </c>
      <c r="M90" s="146" t="str">
        <f t="shared" si="13"/>
        <v/>
      </c>
      <c r="N90" s="123"/>
      <c r="O90" s="119"/>
      <c r="P90" s="124"/>
      <c r="Q90" s="143" t="str">
        <f t="shared" si="14"/>
        <v/>
      </c>
      <c r="R90" s="143" t="str">
        <f t="shared" si="15"/>
        <v/>
      </c>
      <c r="S90" s="143" t="str">
        <f t="shared" si="16"/>
        <v/>
      </c>
      <c r="T90" s="123"/>
      <c r="U90" s="119"/>
      <c r="V90" s="124"/>
      <c r="W90" s="143" t="str">
        <f t="shared" si="17"/>
        <v/>
      </c>
      <c r="X90" s="143" t="str">
        <f t="shared" si="18"/>
        <v/>
      </c>
      <c r="Y90" s="143" t="str">
        <f t="shared" si="19"/>
        <v/>
      </c>
      <c r="Z90" s="150" t="str">
        <f t="shared" si="20"/>
        <v/>
      </c>
      <c r="AA90" s="143" t="str">
        <f t="shared" si="21"/>
        <v/>
      </c>
      <c r="AB90" s="152" t="str">
        <f t="shared" si="22"/>
        <v/>
      </c>
      <c r="AC90" s="158" t="str">
        <f>IF(AB90="","",IFERROR(INDEX(HELPER!$D$8:$D$48,IF(AB90&gt;=HELPER!$B$8,1,MATCH(AB90,HELPER!$B$8:$B$48,-1)+1)),""))</f>
        <v/>
      </c>
      <c r="AD90" s="155" t="str">
        <f>IF(AC90="","",IFERROR(VLOOKUP(AC90,HELPER!$F$8:$G$48,2,FALSE),""))</f>
        <v/>
      </c>
      <c r="AE90" s="135"/>
      <c r="AF90" s="90"/>
    </row>
    <row r="91" spans="1:32" ht="15" customHeight="1" x14ac:dyDescent="0.25">
      <c r="A91" s="135"/>
      <c r="B91" s="112">
        <v>23</v>
      </c>
      <c r="C91" s="209" t="str">
        <f>IF('INPUT DATA'!N33="","",'INPUT DATA'!N33)</f>
        <v/>
      </c>
      <c r="D91" s="210"/>
      <c r="E91" s="210"/>
      <c r="F91" s="123"/>
      <c r="G91" s="119"/>
      <c r="H91" s="119"/>
      <c r="I91" s="119"/>
      <c r="J91" s="124"/>
      <c r="K91" s="143" t="str">
        <f t="shared" si="23"/>
        <v/>
      </c>
      <c r="L91" s="143" t="str">
        <f t="shared" si="12"/>
        <v/>
      </c>
      <c r="M91" s="146" t="str">
        <f t="shared" si="13"/>
        <v/>
      </c>
      <c r="N91" s="123"/>
      <c r="O91" s="119"/>
      <c r="P91" s="124"/>
      <c r="Q91" s="143" t="str">
        <f t="shared" si="14"/>
        <v/>
      </c>
      <c r="R91" s="143" t="str">
        <f t="shared" si="15"/>
        <v/>
      </c>
      <c r="S91" s="143" t="str">
        <f t="shared" si="16"/>
        <v/>
      </c>
      <c r="T91" s="123"/>
      <c r="U91" s="119"/>
      <c r="V91" s="124"/>
      <c r="W91" s="143" t="str">
        <f t="shared" si="17"/>
        <v/>
      </c>
      <c r="X91" s="143" t="str">
        <f t="shared" si="18"/>
        <v/>
      </c>
      <c r="Y91" s="143" t="str">
        <f t="shared" si="19"/>
        <v/>
      </c>
      <c r="Z91" s="150" t="str">
        <f t="shared" si="20"/>
        <v/>
      </c>
      <c r="AA91" s="143" t="str">
        <f t="shared" si="21"/>
        <v/>
      </c>
      <c r="AB91" s="152" t="str">
        <f t="shared" si="22"/>
        <v/>
      </c>
      <c r="AC91" s="158" t="str">
        <f>IF(AB91="","",IFERROR(INDEX(HELPER!$D$8:$D$48,IF(AB91&gt;=HELPER!$B$8,1,MATCH(AB91,HELPER!$B$8:$B$48,-1)+1)),""))</f>
        <v/>
      </c>
      <c r="AD91" s="155" t="str">
        <f>IF(AC91="","",IFERROR(VLOOKUP(AC91,HELPER!$F$8:$G$48,2,FALSE),""))</f>
        <v/>
      </c>
      <c r="AE91" s="135"/>
      <c r="AF91" s="90"/>
    </row>
    <row r="92" spans="1:32" ht="15" customHeight="1" x14ac:dyDescent="0.25">
      <c r="A92" s="135"/>
      <c r="B92" s="112">
        <v>24</v>
      </c>
      <c r="C92" s="209" t="str">
        <f>IF('INPUT DATA'!N34="","",'INPUT DATA'!N34)</f>
        <v/>
      </c>
      <c r="D92" s="210"/>
      <c r="E92" s="210"/>
      <c r="F92" s="123"/>
      <c r="G92" s="119"/>
      <c r="H92" s="119"/>
      <c r="I92" s="119"/>
      <c r="J92" s="124"/>
      <c r="K92" s="143" t="str">
        <f t="shared" si="23"/>
        <v/>
      </c>
      <c r="L92" s="143" t="str">
        <f t="shared" si="12"/>
        <v/>
      </c>
      <c r="M92" s="146" t="str">
        <f t="shared" si="13"/>
        <v/>
      </c>
      <c r="N92" s="123"/>
      <c r="O92" s="119"/>
      <c r="P92" s="124"/>
      <c r="Q92" s="143" t="str">
        <f t="shared" si="14"/>
        <v/>
      </c>
      <c r="R92" s="143" t="str">
        <f t="shared" si="15"/>
        <v/>
      </c>
      <c r="S92" s="143" t="str">
        <f t="shared" si="16"/>
        <v/>
      </c>
      <c r="T92" s="123"/>
      <c r="U92" s="119"/>
      <c r="V92" s="124"/>
      <c r="W92" s="143" t="str">
        <f t="shared" si="17"/>
        <v/>
      </c>
      <c r="X92" s="143" t="str">
        <f t="shared" si="18"/>
        <v/>
      </c>
      <c r="Y92" s="143" t="str">
        <f t="shared" si="19"/>
        <v/>
      </c>
      <c r="Z92" s="150" t="str">
        <f t="shared" si="20"/>
        <v/>
      </c>
      <c r="AA92" s="143" t="str">
        <f t="shared" si="21"/>
        <v/>
      </c>
      <c r="AB92" s="152" t="str">
        <f t="shared" si="22"/>
        <v/>
      </c>
      <c r="AC92" s="158" t="str">
        <f>IF(AB92="","",IFERROR(INDEX(HELPER!$D$8:$D$48,IF(AB92&gt;=HELPER!$B$8,1,MATCH(AB92,HELPER!$B$8:$B$48,-1)+1)),""))</f>
        <v/>
      </c>
      <c r="AD92" s="155" t="str">
        <f>IF(AC92="","",IFERROR(VLOOKUP(AC92,HELPER!$F$8:$G$48,2,FALSE),""))</f>
        <v/>
      </c>
      <c r="AE92" s="135"/>
      <c r="AF92" s="90"/>
    </row>
    <row r="93" spans="1:32" ht="15" customHeight="1" x14ac:dyDescent="0.25">
      <c r="A93" s="135"/>
      <c r="B93" s="112">
        <v>25</v>
      </c>
      <c r="C93" s="209" t="str">
        <f>IF('INPUT DATA'!N35="","",'INPUT DATA'!N35)</f>
        <v/>
      </c>
      <c r="D93" s="210"/>
      <c r="E93" s="210"/>
      <c r="F93" s="123"/>
      <c r="G93" s="119"/>
      <c r="H93" s="119"/>
      <c r="I93" s="119"/>
      <c r="J93" s="124"/>
      <c r="K93" s="143" t="str">
        <f t="shared" si="23"/>
        <v/>
      </c>
      <c r="L93" s="143" t="str">
        <f t="shared" si="12"/>
        <v/>
      </c>
      <c r="M93" s="146" t="str">
        <f t="shared" si="13"/>
        <v/>
      </c>
      <c r="N93" s="123"/>
      <c r="O93" s="119"/>
      <c r="P93" s="124"/>
      <c r="Q93" s="143" t="str">
        <f t="shared" si="14"/>
        <v/>
      </c>
      <c r="R93" s="143" t="str">
        <f t="shared" si="15"/>
        <v/>
      </c>
      <c r="S93" s="143" t="str">
        <f t="shared" si="16"/>
        <v/>
      </c>
      <c r="T93" s="123"/>
      <c r="U93" s="119"/>
      <c r="V93" s="124"/>
      <c r="W93" s="143" t="str">
        <f t="shared" si="17"/>
        <v/>
      </c>
      <c r="X93" s="143" t="str">
        <f t="shared" si="18"/>
        <v/>
      </c>
      <c r="Y93" s="143" t="str">
        <f t="shared" si="19"/>
        <v/>
      </c>
      <c r="Z93" s="150" t="str">
        <f t="shared" si="20"/>
        <v/>
      </c>
      <c r="AA93" s="143" t="str">
        <f t="shared" si="21"/>
        <v/>
      </c>
      <c r="AB93" s="152" t="str">
        <f t="shared" si="22"/>
        <v/>
      </c>
      <c r="AC93" s="158" t="str">
        <f>IF(AB93="","",IFERROR(INDEX(HELPER!$D$8:$D$48,IF(AB93&gt;=HELPER!$B$8,1,MATCH(AB93,HELPER!$B$8:$B$48,-1)+1)),""))</f>
        <v/>
      </c>
      <c r="AD93" s="155" t="str">
        <f>IF(AC93="","",IFERROR(VLOOKUP(AC93,HELPER!$F$8:$G$48,2,FALSE),""))</f>
        <v/>
      </c>
      <c r="AE93" s="135"/>
      <c r="AF93" s="90"/>
    </row>
    <row r="94" spans="1:32" ht="15" customHeight="1" x14ac:dyDescent="0.25">
      <c r="A94" s="135"/>
      <c r="B94" s="112">
        <v>26</v>
      </c>
      <c r="C94" s="209" t="str">
        <f>IF('INPUT DATA'!N36="","",'INPUT DATA'!N36)</f>
        <v/>
      </c>
      <c r="D94" s="210"/>
      <c r="E94" s="210"/>
      <c r="F94" s="123"/>
      <c r="G94" s="119"/>
      <c r="H94" s="119"/>
      <c r="I94" s="119"/>
      <c r="J94" s="124"/>
      <c r="K94" s="143" t="str">
        <f t="shared" si="23"/>
        <v/>
      </c>
      <c r="L94" s="143" t="str">
        <f t="shared" si="12"/>
        <v/>
      </c>
      <c r="M94" s="146" t="str">
        <f t="shared" si="13"/>
        <v/>
      </c>
      <c r="N94" s="123"/>
      <c r="O94" s="119"/>
      <c r="P94" s="124"/>
      <c r="Q94" s="143" t="str">
        <f t="shared" si="14"/>
        <v/>
      </c>
      <c r="R94" s="143" t="str">
        <f t="shared" si="15"/>
        <v/>
      </c>
      <c r="S94" s="143" t="str">
        <f t="shared" si="16"/>
        <v/>
      </c>
      <c r="T94" s="123"/>
      <c r="U94" s="119"/>
      <c r="V94" s="124"/>
      <c r="W94" s="143" t="str">
        <f t="shared" si="17"/>
        <v/>
      </c>
      <c r="X94" s="143" t="str">
        <f t="shared" si="18"/>
        <v/>
      </c>
      <c r="Y94" s="143" t="str">
        <f t="shared" si="19"/>
        <v/>
      </c>
      <c r="Z94" s="150" t="str">
        <f t="shared" si="20"/>
        <v/>
      </c>
      <c r="AA94" s="143" t="str">
        <f t="shared" si="21"/>
        <v/>
      </c>
      <c r="AB94" s="152" t="str">
        <f t="shared" si="22"/>
        <v/>
      </c>
      <c r="AC94" s="158" t="str">
        <f>IF(AB94="","",IFERROR(INDEX(HELPER!$D$8:$D$48,IF(AB94&gt;=HELPER!$B$8,1,MATCH(AB94,HELPER!$B$8:$B$48,-1)+1)),""))</f>
        <v/>
      </c>
      <c r="AD94" s="155" t="str">
        <f>IF(AC94="","",IFERROR(VLOOKUP(AC94,HELPER!$F$8:$G$48,2,FALSE),""))</f>
        <v/>
      </c>
      <c r="AE94" s="135"/>
      <c r="AF94" s="90"/>
    </row>
    <row r="95" spans="1:32" ht="15" customHeight="1" x14ac:dyDescent="0.25">
      <c r="A95" s="135"/>
      <c r="B95" s="112">
        <v>27</v>
      </c>
      <c r="C95" s="209" t="str">
        <f>IF('INPUT DATA'!N37="","",'INPUT DATA'!N37)</f>
        <v/>
      </c>
      <c r="D95" s="210"/>
      <c r="E95" s="210"/>
      <c r="F95" s="123"/>
      <c r="G95" s="119"/>
      <c r="H95" s="119"/>
      <c r="I95" s="119"/>
      <c r="J95" s="124"/>
      <c r="K95" s="143" t="str">
        <f t="shared" si="23"/>
        <v/>
      </c>
      <c r="L95" s="143" t="str">
        <f t="shared" si="12"/>
        <v/>
      </c>
      <c r="M95" s="146" t="str">
        <f t="shared" si="13"/>
        <v/>
      </c>
      <c r="N95" s="123"/>
      <c r="O95" s="119"/>
      <c r="P95" s="124"/>
      <c r="Q95" s="143" t="str">
        <f t="shared" si="14"/>
        <v/>
      </c>
      <c r="R95" s="143" t="str">
        <f t="shared" si="15"/>
        <v/>
      </c>
      <c r="S95" s="143" t="str">
        <f t="shared" si="16"/>
        <v/>
      </c>
      <c r="T95" s="123"/>
      <c r="U95" s="119"/>
      <c r="V95" s="124"/>
      <c r="W95" s="143" t="str">
        <f t="shared" si="17"/>
        <v/>
      </c>
      <c r="X95" s="143" t="str">
        <f t="shared" si="18"/>
        <v/>
      </c>
      <c r="Y95" s="143" t="str">
        <f t="shared" si="19"/>
        <v/>
      </c>
      <c r="Z95" s="150" t="str">
        <f t="shared" si="20"/>
        <v/>
      </c>
      <c r="AA95" s="143" t="str">
        <f t="shared" si="21"/>
        <v/>
      </c>
      <c r="AB95" s="152" t="str">
        <f t="shared" si="22"/>
        <v/>
      </c>
      <c r="AC95" s="158" t="str">
        <f>IF(AB95="","",IFERROR(INDEX(HELPER!$D$8:$D$48,IF(AB95&gt;=HELPER!$B$8,1,MATCH(AB95,HELPER!$B$8:$B$48,-1)+1)),""))</f>
        <v/>
      </c>
      <c r="AD95" s="155" t="str">
        <f>IF(AC95="","",IFERROR(VLOOKUP(AC95,HELPER!$F$8:$G$48,2,FALSE),""))</f>
        <v/>
      </c>
      <c r="AE95" s="135"/>
      <c r="AF95" s="90"/>
    </row>
    <row r="96" spans="1:32" ht="15" customHeight="1" x14ac:dyDescent="0.25">
      <c r="A96" s="135"/>
      <c r="B96" s="112">
        <v>28</v>
      </c>
      <c r="C96" s="209" t="str">
        <f>IF('INPUT DATA'!N38="","",'INPUT DATA'!N38)</f>
        <v/>
      </c>
      <c r="D96" s="210"/>
      <c r="E96" s="210"/>
      <c r="F96" s="123"/>
      <c r="G96" s="119"/>
      <c r="H96" s="119"/>
      <c r="I96" s="119"/>
      <c r="J96" s="124"/>
      <c r="K96" s="143" t="str">
        <f t="shared" si="23"/>
        <v/>
      </c>
      <c r="L96" s="143" t="str">
        <f t="shared" si="12"/>
        <v/>
      </c>
      <c r="M96" s="146" t="str">
        <f t="shared" si="13"/>
        <v/>
      </c>
      <c r="N96" s="123"/>
      <c r="O96" s="119"/>
      <c r="P96" s="124"/>
      <c r="Q96" s="143" t="str">
        <f t="shared" si="14"/>
        <v/>
      </c>
      <c r="R96" s="143" t="str">
        <f t="shared" si="15"/>
        <v/>
      </c>
      <c r="S96" s="143" t="str">
        <f t="shared" si="16"/>
        <v/>
      </c>
      <c r="T96" s="123"/>
      <c r="U96" s="119"/>
      <c r="V96" s="124"/>
      <c r="W96" s="143" t="str">
        <f t="shared" si="17"/>
        <v/>
      </c>
      <c r="X96" s="143" t="str">
        <f t="shared" si="18"/>
        <v/>
      </c>
      <c r="Y96" s="143" t="str">
        <f t="shared" si="19"/>
        <v/>
      </c>
      <c r="Z96" s="150" t="str">
        <f t="shared" si="20"/>
        <v/>
      </c>
      <c r="AA96" s="143" t="str">
        <f t="shared" si="21"/>
        <v/>
      </c>
      <c r="AB96" s="152" t="str">
        <f t="shared" si="22"/>
        <v/>
      </c>
      <c r="AC96" s="158" t="str">
        <f>IF(AB96="","",IFERROR(INDEX(HELPER!$D$8:$D$48,IF(AB96&gt;=HELPER!$B$8,1,MATCH(AB96,HELPER!$B$8:$B$48,-1)+1)),""))</f>
        <v/>
      </c>
      <c r="AD96" s="155" t="str">
        <f>IF(AC96="","",IFERROR(VLOOKUP(AC96,HELPER!$F$8:$G$48,2,FALSE),""))</f>
        <v/>
      </c>
      <c r="AE96" s="135"/>
      <c r="AF96" s="90"/>
    </row>
    <row r="97" spans="1:32" ht="15" customHeight="1" x14ac:dyDescent="0.25">
      <c r="A97" s="135"/>
      <c r="B97" s="112">
        <v>29</v>
      </c>
      <c r="C97" s="209" t="str">
        <f>IF('INPUT DATA'!N39="","",'INPUT DATA'!N39)</f>
        <v/>
      </c>
      <c r="D97" s="210"/>
      <c r="E97" s="210"/>
      <c r="F97" s="123"/>
      <c r="G97" s="119"/>
      <c r="H97" s="119"/>
      <c r="I97" s="119"/>
      <c r="J97" s="124"/>
      <c r="K97" s="143" t="str">
        <f t="shared" si="23"/>
        <v/>
      </c>
      <c r="L97" s="143" t="str">
        <f t="shared" si="12"/>
        <v/>
      </c>
      <c r="M97" s="146" t="str">
        <f t="shared" si="13"/>
        <v/>
      </c>
      <c r="N97" s="123"/>
      <c r="O97" s="119"/>
      <c r="P97" s="124"/>
      <c r="Q97" s="143" t="str">
        <f t="shared" si="14"/>
        <v/>
      </c>
      <c r="R97" s="143" t="str">
        <f t="shared" si="15"/>
        <v/>
      </c>
      <c r="S97" s="143" t="str">
        <f t="shared" si="16"/>
        <v/>
      </c>
      <c r="T97" s="123"/>
      <c r="U97" s="119"/>
      <c r="V97" s="124"/>
      <c r="W97" s="143" t="str">
        <f t="shared" si="17"/>
        <v/>
      </c>
      <c r="X97" s="143" t="str">
        <f t="shared" si="18"/>
        <v/>
      </c>
      <c r="Y97" s="143" t="str">
        <f t="shared" si="19"/>
        <v/>
      </c>
      <c r="Z97" s="150" t="str">
        <f t="shared" si="20"/>
        <v/>
      </c>
      <c r="AA97" s="143" t="str">
        <f t="shared" si="21"/>
        <v/>
      </c>
      <c r="AB97" s="152" t="str">
        <f t="shared" si="22"/>
        <v/>
      </c>
      <c r="AC97" s="158" t="str">
        <f>IF(AB97="","",IFERROR(INDEX(HELPER!$D$8:$D$48,IF(AB97&gt;=HELPER!$B$8,1,MATCH(AB97,HELPER!$B$8:$B$48,-1)+1)),""))</f>
        <v/>
      </c>
      <c r="AD97" s="155" t="str">
        <f>IF(AC97="","",IFERROR(VLOOKUP(AC97,HELPER!$F$8:$G$48,2,FALSE),""))</f>
        <v/>
      </c>
      <c r="AE97" s="135"/>
      <c r="AF97" s="90"/>
    </row>
    <row r="98" spans="1:32" ht="15" customHeight="1" x14ac:dyDescent="0.25">
      <c r="A98" s="135"/>
      <c r="B98" s="112">
        <v>30</v>
      </c>
      <c r="C98" s="209" t="str">
        <f>IF('INPUT DATA'!N40="","",'INPUT DATA'!N40)</f>
        <v/>
      </c>
      <c r="D98" s="210"/>
      <c r="E98" s="210"/>
      <c r="F98" s="123"/>
      <c r="G98" s="119"/>
      <c r="H98" s="119"/>
      <c r="I98" s="119"/>
      <c r="J98" s="124"/>
      <c r="K98" s="143" t="str">
        <f t="shared" si="23"/>
        <v/>
      </c>
      <c r="L98" s="143" t="str">
        <f t="shared" si="12"/>
        <v/>
      </c>
      <c r="M98" s="146" t="str">
        <f t="shared" si="13"/>
        <v/>
      </c>
      <c r="N98" s="123"/>
      <c r="O98" s="119"/>
      <c r="P98" s="124"/>
      <c r="Q98" s="143" t="str">
        <f t="shared" si="14"/>
        <v/>
      </c>
      <c r="R98" s="143" t="str">
        <f t="shared" si="15"/>
        <v/>
      </c>
      <c r="S98" s="143" t="str">
        <f t="shared" si="16"/>
        <v/>
      </c>
      <c r="T98" s="123"/>
      <c r="U98" s="119"/>
      <c r="V98" s="124"/>
      <c r="W98" s="143" t="str">
        <f t="shared" si="17"/>
        <v/>
      </c>
      <c r="X98" s="143" t="str">
        <f t="shared" si="18"/>
        <v/>
      </c>
      <c r="Y98" s="143" t="str">
        <f t="shared" si="19"/>
        <v/>
      </c>
      <c r="Z98" s="150" t="str">
        <f t="shared" si="20"/>
        <v/>
      </c>
      <c r="AA98" s="143" t="str">
        <f t="shared" si="21"/>
        <v/>
      </c>
      <c r="AB98" s="152" t="str">
        <f t="shared" si="22"/>
        <v/>
      </c>
      <c r="AC98" s="158" t="str">
        <f>IF(AB98="","",IFERROR(INDEX(HELPER!$D$8:$D$48,IF(AB98&gt;=HELPER!$B$8,1,MATCH(AB98,HELPER!$B$8:$B$48,-1)+1)),""))</f>
        <v/>
      </c>
      <c r="AD98" s="155" t="str">
        <f>IF(AC98="","",IFERROR(VLOOKUP(AC98,HELPER!$F$8:$G$48,2,FALSE),""))</f>
        <v/>
      </c>
      <c r="AE98" s="135"/>
      <c r="AF98" s="90"/>
    </row>
    <row r="99" spans="1:32" ht="15" customHeight="1" x14ac:dyDescent="0.25">
      <c r="A99" s="135"/>
      <c r="B99" s="112">
        <v>31</v>
      </c>
      <c r="C99" s="209" t="str">
        <f>IF('INPUT DATA'!N41="","",'INPUT DATA'!N41)</f>
        <v/>
      </c>
      <c r="D99" s="210"/>
      <c r="E99" s="210"/>
      <c r="F99" s="123"/>
      <c r="G99" s="119"/>
      <c r="H99" s="119"/>
      <c r="I99" s="119"/>
      <c r="J99" s="124"/>
      <c r="K99" s="143" t="str">
        <f t="shared" si="23"/>
        <v/>
      </c>
      <c r="L99" s="143" t="str">
        <f t="shared" si="12"/>
        <v/>
      </c>
      <c r="M99" s="146" t="str">
        <f t="shared" si="13"/>
        <v/>
      </c>
      <c r="N99" s="123"/>
      <c r="O99" s="119"/>
      <c r="P99" s="124"/>
      <c r="Q99" s="143" t="str">
        <f t="shared" si="14"/>
        <v/>
      </c>
      <c r="R99" s="143" t="str">
        <f t="shared" si="15"/>
        <v/>
      </c>
      <c r="S99" s="143" t="str">
        <f t="shared" si="16"/>
        <v/>
      </c>
      <c r="T99" s="123"/>
      <c r="U99" s="119"/>
      <c r="V99" s="124"/>
      <c r="W99" s="143" t="str">
        <f t="shared" si="17"/>
        <v/>
      </c>
      <c r="X99" s="143" t="str">
        <f t="shared" si="18"/>
        <v/>
      </c>
      <c r="Y99" s="143" t="str">
        <f t="shared" si="19"/>
        <v/>
      </c>
      <c r="Z99" s="150" t="str">
        <f t="shared" si="20"/>
        <v/>
      </c>
      <c r="AA99" s="143" t="str">
        <f t="shared" si="21"/>
        <v/>
      </c>
      <c r="AB99" s="152" t="str">
        <f t="shared" si="22"/>
        <v/>
      </c>
      <c r="AC99" s="158" t="str">
        <f>IF(AB99="","",IFERROR(INDEX(HELPER!$D$8:$D$48,IF(AB99&gt;=HELPER!$B$8,1,MATCH(AB99,HELPER!$B$8:$B$48,-1)+1)),""))</f>
        <v/>
      </c>
      <c r="AD99" s="155" t="str">
        <f>IF(AC99="","",IFERROR(VLOOKUP(AC99,HELPER!$F$8:$G$48,2,FALSE),""))</f>
        <v/>
      </c>
      <c r="AE99" s="135"/>
      <c r="AF99" s="90"/>
    </row>
    <row r="100" spans="1:32" ht="15" customHeight="1" x14ac:dyDescent="0.25">
      <c r="A100" s="135"/>
      <c r="B100" s="112">
        <v>32</v>
      </c>
      <c r="C100" s="209" t="str">
        <f>IF('INPUT DATA'!N42="","",'INPUT DATA'!N42)</f>
        <v/>
      </c>
      <c r="D100" s="210"/>
      <c r="E100" s="210"/>
      <c r="F100" s="123"/>
      <c r="G100" s="119"/>
      <c r="H100" s="119"/>
      <c r="I100" s="119"/>
      <c r="J100" s="124"/>
      <c r="K100" s="143" t="str">
        <f t="shared" si="23"/>
        <v/>
      </c>
      <c r="L100" s="143" t="str">
        <f t="shared" si="12"/>
        <v/>
      </c>
      <c r="M100" s="146" t="str">
        <f t="shared" si="13"/>
        <v/>
      </c>
      <c r="N100" s="123"/>
      <c r="O100" s="119"/>
      <c r="P100" s="124"/>
      <c r="Q100" s="143" t="str">
        <f t="shared" si="14"/>
        <v/>
      </c>
      <c r="R100" s="143" t="str">
        <f t="shared" si="15"/>
        <v/>
      </c>
      <c r="S100" s="143" t="str">
        <f t="shared" si="16"/>
        <v/>
      </c>
      <c r="T100" s="123"/>
      <c r="U100" s="119"/>
      <c r="V100" s="124"/>
      <c r="W100" s="143" t="str">
        <f t="shared" si="17"/>
        <v/>
      </c>
      <c r="X100" s="143" t="str">
        <f t="shared" si="18"/>
        <v/>
      </c>
      <c r="Y100" s="143" t="str">
        <f t="shared" si="19"/>
        <v/>
      </c>
      <c r="Z100" s="150" t="str">
        <f t="shared" si="20"/>
        <v/>
      </c>
      <c r="AA100" s="143" t="str">
        <f t="shared" si="21"/>
        <v/>
      </c>
      <c r="AB100" s="152" t="str">
        <f t="shared" si="22"/>
        <v/>
      </c>
      <c r="AC100" s="158" t="str">
        <f>IF(AB100="","",IFERROR(INDEX(HELPER!$D$8:$D$48,IF(AB100&gt;=HELPER!$B$8,1,MATCH(AB100,HELPER!$B$8:$B$48,-1)+1)),""))</f>
        <v/>
      </c>
      <c r="AD100" s="155" t="str">
        <f>IF(AC100="","",IFERROR(VLOOKUP(AC100,HELPER!$F$8:$G$48,2,FALSE),""))</f>
        <v/>
      </c>
      <c r="AE100" s="135"/>
      <c r="AF100" s="90"/>
    </row>
    <row r="101" spans="1:32" ht="15" customHeight="1" x14ac:dyDescent="0.25">
      <c r="A101" s="135"/>
      <c r="B101" s="112">
        <v>33</v>
      </c>
      <c r="C101" s="209" t="str">
        <f>IF('INPUT DATA'!N43="","",'INPUT DATA'!N43)</f>
        <v/>
      </c>
      <c r="D101" s="210"/>
      <c r="E101" s="210"/>
      <c r="F101" s="123"/>
      <c r="G101" s="119"/>
      <c r="H101" s="119"/>
      <c r="I101" s="119"/>
      <c r="J101" s="124"/>
      <c r="K101" s="143" t="str">
        <f t="shared" si="23"/>
        <v/>
      </c>
      <c r="L101" s="143" t="str">
        <f t="shared" si="12"/>
        <v/>
      </c>
      <c r="M101" s="146" t="str">
        <f t="shared" si="13"/>
        <v/>
      </c>
      <c r="N101" s="123"/>
      <c r="O101" s="119"/>
      <c r="P101" s="124"/>
      <c r="Q101" s="143" t="str">
        <f t="shared" si="14"/>
        <v/>
      </c>
      <c r="R101" s="143" t="str">
        <f t="shared" si="15"/>
        <v/>
      </c>
      <c r="S101" s="143" t="str">
        <f t="shared" si="16"/>
        <v/>
      </c>
      <c r="T101" s="123"/>
      <c r="U101" s="119"/>
      <c r="V101" s="124"/>
      <c r="W101" s="143" t="str">
        <f t="shared" si="17"/>
        <v/>
      </c>
      <c r="X101" s="143" t="str">
        <f t="shared" si="18"/>
        <v/>
      </c>
      <c r="Y101" s="143" t="str">
        <f t="shared" si="19"/>
        <v/>
      </c>
      <c r="Z101" s="150" t="str">
        <f t="shared" si="20"/>
        <v/>
      </c>
      <c r="AA101" s="143" t="str">
        <f t="shared" si="21"/>
        <v/>
      </c>
      <c r="AB101" s="152" t="str">
        <f t="shared" si="22"/>
        <v/>
      </c>
      <c r="AC101" s="158" t="str">
        <f>IF(AB101="","",IFERROR(INDEX(HELPER!$D$8:$D$48,IF(AB101&gt;=HELPER!$B$8,1,MATCH(AB101,HELPER!$B$8:$B$48,-1)+1)),""))</f>
        <v/>
      </c>
      <c r="AD101" s="155" t="str">
        <f>IF(AC101="","",IFERROR(VLOOKUP(AC101,HELPER!$F$8:$G$48,2,FALSE),""))</f>
        <v/>
      </c>
      <c r="AE101" s="135"/>
      <c r="AF101" s="90"/>
    </row>
    <row r="102" spans="1:32" ht="15" customHeight="1" x14ac:dyDescent="0.25">
      <c r="A102" s="135"/>
      <c r="B102" s="112">
        <v>34</v>
      </c>
      <c r="C102" s="209" t="str">
        <f>IF('INPUT DATA'!N44="","",'INPUT DATA'!N44)</f>
        <v/>
      </c>
      <c r="D102" s="210"/>
      <c r="E102" s="210"/>
      <c r="F102" s="123"/>
      <c r="G102" s="119"/>
      <c r="H102" s="119"/>
      <c r="I102" s="119"/>
      <c r="J102" s="124"/>
      <c r="K102" s="143" t="str">
        <f t="shared" si="23"/>
        <v/>
      </c>
      <c r="L102" s="143" t="str">
        <f t="shared" si="12"/>
        <v/>
      </c>
      <c r="M102" s="146" t="str">
        <f t="shared" si="13"/>
        <v/>
      </c>
      <c r="N102" s="123"/>
      <c r="O102" s="119"/>
      <c r="P102" s="124"/>
      <c r="Q102" s="143" t="str">
        <f t="shared" si="14"/>
        <v/>
      </c>
      <c r="R102" s="143" t="str">
        <f t="shared" si="15"/>
        <v/>
      </c>
      <c r="S102" s="143" t="str">
        <f t="shared" si="16"/>
        <v/>
      </c>
      <c r="T102" s="123"/>
      <c r="U102" s="119"/>
      <c r="V102" s="124"/>
      <c r="W102" s="143" t="str">
        <f t="shared" si="17"/>
        <v/>
      </c>
      <c r="X102" s="143" t="str">
        <f t="shared" si="18"/>
        <v/>
      </c>
      <c r="Y102" s="143" t="str">
        <f t="shared" si="19"/>
        <v/>
      </c>
      <c r="Z102" s="150" t="str">
        <f t="shared" si="20"/>
        <v/>
      </c>
      <c r="AA102" s="143" t="str">
        <f t="shared" si="21"/>
        <v/>
      </c>
      <c r="AB102" s="152" t="str">
        <f t="shared" si="22"/>
        <v/>
      </c>
      <c r="AC102" s="158" t="str">
        <f>IF(AB102="","",IFERROR(INDEX(HELPER!$D$8:$D$48,IF(AB102&gt;=HELPER!$B$8,1,MATCH(AB102,HELPER!$B$8:$B$48,-1)+1)),""))</f>
        <v/>
      </c>
      <c r="AD102" s="155" t="str">
        <f>IF(AC102="","",IFERROR(VLOOKUP(AC102,HELPER!$F$8:$G$48,2,FALSE),""))</f>
        <v/>
      </c>
      <c r="AE102" s="135"/>
      <c r="AF102" s="90"/>
    </row>
    <row r="103" spans="1:32" ht="15" customHeight="1" x14ac:dyDescent="0.25">
      <c r="A103" s="135"/>
      <c r="B103" s="112">
        <v>35</v>
      </c>
      <c r="C103" s="209" t="str">
        <f>IF('INPUT DATA'!N45="","",'INPUT DATA'!N45)</f>
        <v/>
      </c>
      <c r="D103" s="210"/>
      <c r="E103" s="210"/>
      <c r="F103" s="123"/>
      <c r="G103" s="119"/>
      <c r="H103" s="119"/>
      <c r="I103" s="119"/>
      <c r="J103" s="124"/>
      <c r="K103" s="143" t="str">
        <f t="shared" si="23"/>
        <v/>
      </c>
      <c r="L103" s="143" t="str">
        <f t="shared" si="12"/>
        <v/>
      </c>
      <c r="M103" s="146" t="str">
        <f t="shared" si="13"/>
        <v/>
      </c>
      <c r="N103" s="123"/>
      <c r="O103" s="119"/>
      <c r="P103" s="124"/>
      <c r="Q103" s="143" t="str">
        <f t="shared" si="14"/>
        <v/>
      </c>
      <c r="R103" s="143" t="str">
        <f t="shared" si="15"/>
        <v/>
      </c>
      <c r="S103" s="143" t="str">
        <f t="shared" si="16"/>
        <v/>
      </c>
      <c r="T103" s="123"/>
      <c r="U103" s="119"/>
      <c r="V103" s="124"/>
      <c r="W103" s="143" t="str">
        <f t="shared" si="17"/>
        <v/>
      </c>
      <c r="X103" s="143" t="str">
        <f t="shared" si="18"/>
        <v/>
      </c>
      <c r="Y103" s="143" t="str">
        <f t="shared" si="19"/>
        <v/>
      </c>
      <c r="Z103" s="150" t="str">
        <f t="shared" si="20"/>
        <v/>
      </c>
      <c r="AA103" s="143" t="str">
        <f t="shared" si="21"/>
        <v/>
      </c>
      <c r="AB103" s="152" t="str">
        <f t="shared" si="22"/>
        <v/>
      </c>
      <c r="AC103" s="158" t="str">
        <f>IF(AB103="","",IFERROR(INDEX(HELPER!$D$8:$D$48,IF(AB103&gt;=HELPER!$B$8,1,MATCH(AB103,HELPER!$B$8:$B$48,-1)+1)),""))</f>
        <v/>
      </c>
      <c r="AD103" s="155" t="str">
        <f>IF(AC103="","",IFERROR(VLOOKUP(AC103,HELPER!$F$8:$G$48,2,FALSE),""))</f>
        <v/>
      </c>
      <c r="AE103" s="135"/>
      <c r="AF103" s="90"/>
    </row>
    <row r="104" spans="1:32" ht="15" customHeight="1" x14ac:dyDescent="0.25">
      <c r="A104" s="135"/>
      <c r="B104" s="112">
        <v>36</v>
      </c>
      <c r="C104" s="209" t="str">
        <f>IF('INPUT DATA'!N46="","",'INPUT DATA'!N46)</f>
        <v/>
      </c>
      <c r="D104" s="210"/>
      <c r="E104" s="210"/>
      <c r="F104" s="123"/>
      <c r="G104" s="119"/>
      <c r="H104" s="119"/>
      <c r="I104" s="119"/>
      <c r="J104" s="124"/>
      <c r="K104" s="143" t="str">
        <f t="shared" si="23"/>
        <v/>
      </c>
      <c r="L104" s="143" t="str">
        <f t="shared" si="12"/>
        <v/>
      </c>
      <c r="M104" s="146" t="str">
        <f t="shared" si="13"/>
        <v/>
      </c>
      <c r="N104" s="123"/>
      <c r="O104" s="119"/>
      <c r="P104" s="124"/>
      <c r="Q104" s="143" t="str">
        <f t="shared" si="14"/>
        <v/>
      </c>
      <c r="R104" s="143" t="str">
        <f t="shared" si="15"/>
        <v/>
      </c>
      <c r="S104" s="143" t="str">
        <f t="shared" si="16"/>
        <v/>
      </c>
      <c r="T104" s="123"/>
      <c r="U104" s="119"/>
      <c r="V104" s="124"/>
      <c r="W104" s="143" t="str">
        <f t="shared" si="17"/>
        <v/>
      </c>
      <c r="X104" s="143" t="str">
        <f t="shared" si="18"/>
        <v/>
      </c>
      <c r="Y104" s="143" t="str">
        <f t="shared" si="19"/>
        <v/>
      </c>
      <c r="Z104" s="150" t="str">
        <f t="shared" si="20"/>
        <v/>
      </c>
      <c r="AA104" s="143" t="str">
        <f t="shared" si="21"/>
        <v/>
      </c>
      <c r="AB104" s="152" t="str">
        <f t="shared" si="22"/>
        <v/>
      </c>
      <c r="AC104" s="158" t="str">
        <f>IF(AB104="","",IFERROR(INDEX(HELPER!$D$8:$D$48,IF(AB104&gt;=HELPER!$B$8,1,MATCH(AB104,HELPER!$B$8:$B$48,-1)+1)),""))</f>
        <v/>
      </c>
      <c r="AD104" s="155" t="str">
        <f>IF(AC104="","",IFERROR(VLOOKUP(AC104,HELPER!$F$8:$G$48,2,FALSE),""))</f>
        <v/>
      </c>
      <c r="AE104" s="135"/>
      <c r="AF104" s="90"/>
    </row>
    <row r="105" spans="1:32" ht="15" customHeight="1" x14ac:dyDescent="0.25">
      <c r="A105" s="135"/>
      <c r="B105" s="112">
        <v>37</v>
      </c>
      <c r="C105" s="209" t="str">
        <f>IF('INPUT DATA'!N47="","",'INPUT DATA'!N47)</f>
        <v/>
      </c>
      <c r="D105" s="210"/>
      <c r="E105" s="210"/>
      <c r="F105" s="123"/>
      <c r="G105" s="119"/>
      <c r="H105" s="119"/>
      <c r="I105" s="119"/>
      <c r="J105" s="124"/>
      <c r="K105" s="143" t="str">
        <f t="shared" si="23"/>
        <v/>
      </c>
      <c r="L105" s="143" t="str">
        <f t="shared" si="12"/>
        <v/>
      </c>
      <c r="M105" s="146" t="str">
        <f t="shared" si="13"/>
        <v/>
      </c>
      <c r="N105" s="123"/>
      <c r="O105" s="119"/>
      <c r="P105" s="124"/>
      <c r="Q105" s="143" t="str">
        <f t="shared" si="14"/>
        <v/>
      </c>
      <c r="R105" s="143" t="str">
        <f t="shared" si="15"/>
        <v/>
      </c>
      <c r="S105" s="143" t="str">
        <f t="shared" si="16"/>
        <v/>
      </c>
      <c r="T105" s="123"/>
      <c r="U105" s="119"/>
      <c r="V105" s="124"/>
      <c r="W105" s="143" t="str">
        <f t="shared" si="17"/>
        <v/>
      </c>
      <c r="X105" s="143" t="str">
        <f t="shared" si="18"/>
        <v/>
      </c>
      <c r="Y105" s="143" t="str">
        <f t="shared" si="19"/>
        <v/>
      </c>
      <c r="Z105" s="150" t="str">
        <f t="shared" si="20"/>
        <v/>
      </c>
      <c r="AA105" s="143" t="str">
        <f t="shared" si="21"/>
        <v/>
      </c>
      <c r="AB105" s="152" t="str">
        <f t="shared" si="22"/>
        <v/>
      </c>
      <c r="AC105" s="158" t="str">
        <f>IF(AB105="","",IFERROR(INDEX(HELPER!$D$8:$D$48,IF(AB105&gt;=HELPER!$B$8,1,MATCH(AB105,HELPER!$B$8:$B$48,-1)+1)),""))</f>
        <v/>
      </c>
      <c r="AD105" s="155" t="str">
        <f>IF(AC105="","",IFERROR(VLOOKUP(AC105,HELPER!$F$8:$G$48,2,FALSE),""))</f>
        <v/>
      </c>
      <c r="AE105" s="135"/>
      <c r="AF105" s="90"/>
    </row>
    <row r="106" spans="1:32" ht="15" customHeight="1" x14ac:dyDescent="0.25">
      <c r="A106" s="135"/>
      <c r="B106" s="112">
        <v>38</v>
      </c>
      <c r="C106" s="209" t="str">
        <f>IF('INPUT DATA'!N48="","",'INPUT DATA'!N48)</f>
        <v/>
      </c>
      <c r="D106" s="210"/>
      <c r="E106" s="210"/>
      <c r="F106" s="123"/>
      <c r="G106" s="119"/>
      <c r="H106" s="119"/>
      <c r="I106" s="119"/>
      <c r="J106" s="124"/>
      <c r="K106" s="143" t="str">
        <f t="shared" si="23"/>
        <v/>
      </c>
      <c r="L106" s="143" t="str">
        <f t="shared" si="12"/>
        <v/>
      </c>
      <c r="M106" s="146" t="str">
        <f t="shared" si="13"/>
        <v/>
      </c>
      <c r="N106" s="123"/>
      <c r="O106" s="119"/>
      <c r="P106" s="124"/>
      <c r="Q106" s="143" t="str">
        <f t="shared" si="14"/>
        <v/>
      </c>
      <c r="R106" s="143" t="str">
        <f t="shared" si="15"/>
        <v/>
      </c>
      <c r="S106" s="143" t="str">
        <f t="shared" si="16"/>
        <v/>
      </c>
      <c r="T106" s="123"/>
      <c r="U106" s="119"/>
      <c r="V106" s="124"/>
      <c r="W106" s="143" t="str">
        <f t="shared" si="17"/>
        <v/>
      </c>
      <c r="X106" s="143" t="str">
        <f t="shared" si="18"/>
        <v/>
      </c>
      <c r="Y106" s="143" t="str">
        <f t="shared" si="19"/>
        <v/>
      </c>
      <c r="Z106" s="150" t="str">
        <f t="shared" si="20"/>
        <v/>
      </c>
      <c r="AA106" s="143" t="str">
        <f t="shared" si="21"/>
        <v/>
      </c>
      <c r="AB106" s="152" t="str">
        <f t="shared" si="22"/>
        <v/>
      </c>
      <c r="AC106" s="158" t="str">
        <f>IF(AB106="","",IFERROR(INDEX(HELPER!$D$8:$D$48,IF(AB106&gt;=HELPER!$B$8,1,MATCH(AB106,HELPER!$B$8:$B$48,-1)+1)),""))</f>
        <v/>
      </c>
      <c r="AD106" s="155" t="str">
        <f>IF(AC106="","",IFERROR(VLOOKUP(AC106,HELPER!$F$8:$G$48,2,FALSE),""))</f>
        <v/>
      </c>
      <c r="AE106" s="135"/>
      <c r="AF106" s="90"/>
    </row>
    <row r="107" spans="1:32" ht="15" customHeight="1" x14ac:dyDescent="0.25">
      <c r="A107" s="135"/>
      <c r="B107" s="112">
        <v>39</v>
      </c>
      <c r="C107" s="209" t="str">
        <f>IF('INPUT DATA'!N49="","",'INPUT DATA'!N49)</f>
        <v/>
      </c>
      <c r="D107" s="210"/>
      <c r="E107" s="210"/>
      <c r="F107" s="123"/>
      <c r="G107" s="119"/>
      <c r="H107" s="119"/>
      <c r="I107" s="119"/>
      <c r="J107" s="124"/>
      <c r="K107" s="143" t="str">
        <f t="shared" si="23"/>
        <v/>
      </c>
      <c r="L107" s="143" t="str">
        <f t="shared" si="12"/>
        <v/>
      </c>
      <c r="M107" s="146" t="str">
        <f t="shared" si="13"/>
        <v/>
      </c>
      <c r="N107" s="123"/>
      <c r="O107" s="119"/>
      <c r="P107" s="124"/>
      <c r="Q107" s="143" t="str">
        <f t="shared" si="14"/>
        <v/>
      </c>
      <c r="R107" s="143" t="str">
        <f t="shared" si="15"/>
        <v/>
      </c>
      <c r="S107" s="143" t="str">
        <f t="shared" si="16"/>
        <v/>
      </c>
      <c r="T107" s="123"/>
      <c r="U107" s="119"/>
      <c r="V107" s="124"/>
      <c r="W107" s="143" t="str">
        <f t="shared" si="17"/>
        <v/>
      </c>
      <c r="X107" s="143" t="str">
        <f t="shared" si="18"/>
        <v/>
      </c>
      <c r="Y107" s="143" t="str">
        <f t="shared" si="19"/>
        <v/>
      </c>
      <c r="Z107" s="150" t="str">
        <f t="shared" si="20"/>
        <v/>
      </c>
      <c r="AA107" s="143" t="str">
        <f t="shared" si="21"/>
        <v/>
      </c>
      <c r="AB107" s="152" t="str">
        <f t="shared" si="22"/>
        <v/>
      </c>
      <c r="AC107" s="158" t="str">
        <f>IF(AB107="","",IFERROR(INDEX(HELPER!$D$8:$D$48,IF(AB107&gt;=HELPER!$B$8,1,MATCH(AB107,HELPER!$B$8:$B$48,-1)+1)),""))</f>
        <v/>
      </c>
      <c r="AD107" s="155" t="str">
        <f>IF(AC107="","",IFERROR(VLOOKUP(AC107,HELPER!$F$8:$G$48,2,FALSE),""))</f>
        <v/>
      </c>
      <c r="AE107" s="135"/>
      <c r="AF107" s="90"/>
    </row>
    <row r="108" spans="1:32" ht="15" customHeight="1" x14ac:dyDescent="0.25">
      <c r="A108" s="135"/>
      <c r="B108" s="112">
        <v>40</v>
      </c>
      <c r="C108" s="209" t="str">
        <f>IF('INPUT DATA'!N50="","",'INPUT DATA'!N50)</f>
        <v/>
      </c>
      <c r="D108" s="210"/>
      <c r="E108" s="210"/>
      <c r="F108" s="123"/>
      <c r="G108" s="119"/>
      <c r="H108" s="119"/>
      <c r="I108" s="119"/>
      <c r="J108" s="124"/>
      <c r="K108" s="143" t="str">
        <f t="shared" si="23"/>
        <v/>
      </c>
      <c r="L108" s="143" t="str">
        <f t="shared" si="12"/>
        <v/>
      </c>
      <c r="M108" s="146" t="str">
        <f t="shared" si="13"/>
        <v/>
      </c>
      <c r="N108" s="123"/>
      <c r="O108" s="119"/>
      <c r="P108" s="124"/>
      <c r="Q108" s="143" t="str">
        <f t="shared" si="14"/>
        <v/>
      </c>
      <c r="R108" s="143" t="str">
        <f t="shared" si="15"/>
        <v/>
      </c>
      <c r="S108" s="143" t="str">
        <f t="shared" si="16"/>
        <v/>
      </c>
      <c r="T108" s="123"/>
      <c r="U108" s="119"/>
      <c r="V108" s="124"/>
      <c r="W108" s="143" t="str">
        <f t="shared" si="17"/>
        <v/>
      </c>
      <c r="X108" s="143" t="str">
        <f t="shared" si="18"/>
        <v/>
      </c>
      <c r="Y108" s="143" t="str">
        <f t="shared" si="19"/>
        <v/>
      </c>
      <c r="Z108" s="150" t="str">
        <f t="shared" si="20"/>
        <v/>
      </c>
      <c r="AA108" s="143" t="str">
        <f t="shared" si="21"/>
        <v/>
      </c>
      <c r="AB108" s="152" t="str">
        <f t="shared" si="22"/>
        <v/>
      </c>
      <c r="AC108" s="158" t="str">
        <f>IF(AB108="","",IFERROR(INDEX(HELPER!$D$8:$D$48,IF(AB108&gt;=HELPER!$B$8,1,MATCH(AB108,HELPER!$B$8:$B$48,-1)+1)),""))</f>
        <v/>
      </c>
      <c r="AD108" s="155" t="str">
        <f>IF(AC108="","",IFERROR(VLOOKUP(AC108,HELPER!$F$8:$G$48,2,FALSE),""))</f>
        <v/>
      </c>
      <c r="AE108" s="135"/>
      <c r="AF108" s="90"/>
    </row>
    <row r="109" spans="1:32" ht="15" customHeight="1" x14ac:dyDescent="0.25">
      <c r="A109" s="135"/>
      <c r="B109" s="112">
        <v>41</v>
      </c>
      <c r="C109" s="209" t="str">
        <f>IF('INPUT DATA'!N51="","",'INPUT DATA'!N51)</f>
        <v/>
      </c>
      <c r="D109" s="210"/>
      <c r="E109" s="210"/>
      <c r="F109" s="123"/>
      <c r="G109" s="119"/>
      <c r="H109" s="119"/>
      <c r="I109" s="119"/>
      <c r="J109" s="124"/>
      <c r="K109" s="143" t="str">
        <f t="shared" si="23"/>
        <v/>
      </c>
      <c r="L109" s="143" t="str">
        <f t="shared" si="12"/>
        <v/>
      </c>
      <c r="M109" s="146" t="str">
        <f t="shared" si="13"/>
        <v/>
      </c>
      <c r="N109" s="123"/>
      <c r="O109" s="119"/>
      <c r="P109" s="124"/>
      <c r="Q109" s="143" t="str">
        <f t="shared" si="14"/>
        <v/>
      </c>
      <c r="R109" s="143" t="str">
        <f t="shared" si="15"/>
        <v/>
      </c>
      <c r="S109" s="143" t="str">
        <f t="shared" si="16"/>
        <v/>
      </c>
      <c r="T109" s="123"/>
      <c r="U109" s="119"/>
      <c r="V109" s="124"/>
      <c r="W109" s="143" t="str">
        <f t="shared" si="17"/>
        <v/>
      </c>
      <c r="X109" s="143" t="str">
        <f t="shared" si="18"/>
        <v/>
      </c>
      <c r="Y109" s="143" t="str">
        <f t="shared" si="19"/>
        <v/>
      </c>
      <c r="Z109" s="150" t="str">
        <f t="shared" si="20"/>
        <v/>
      </c>
      <c r="AA109" s="143" t="str">
        <f t="shared" si="21"/>
        <v/>
      </c>
      <c r="AB109" s="152" t="str">
        <f t="shared" si="22"/>
        <v/>
      </c>
      <c r="AC109" s="158" t="str">
        <f>IF(AB109="","",IFERROR(INDEX(HELPER!$D$8:$D$48,IF(AB109&gt;=HELPER!$B$8,1,MATCH(AB109,HELPER!$B$8:$B$48,-1)+1)),""))</f>
        <v/>
      </c>
      <c r="AD109" s="155" t="str">
        <f>IF(AC109="","",IFERROR(VLOOKUP(AC109,HELPER!$F$8:$G$48,2,FALSE),""))</f>
        <v/>
      </c>
      <c r="AE109" s="135"/>
      <c r="AF109" s="90"/>
    </row>
    <row r="110" spans="1:32" ht="15" customHeight="1" x14ac:dyDescent="0.25">
      <c r="A110" s="135"/>
      <c r="B110" s="112">
        <v>42</v>
      </c>
      <c r="C110" s="209" t="str">
        <f>IF('INPUT DATA'!N52="","",'INPUT DATA'!N52)</f>
        <v/>
      </c>
      <c r="D110" s="210"/>
      <c r="E110" s="210"/>
      <c r="F110" s="123"/>
      <c r="G110" s="119"/>
      <c r="H110" s="119"/>
      <c r="I110" s="119"/>
      <c r="J110" s="124"/>
      <c r="K110" s="143" t="str">
        <f t="shared" si="23"/>
        <v/>
      </c>
      <c r="L110" s="143" t="str">
        <f t="shared" si="12"/>
        <v/>
      </c>
      <c r="M110" s="146" t="str">
        <f t="shared" si="13"/>
        <v/>
      </c>
      <c r="N110" s="123"/>
      <c r="O110" s="119"/>
      <c r="P110" s="124"/>
      <c r="Q110" s="143" t="str">
        <f t="shared" si="14"/>
        <v/>
      </c>
      <c r="R110" s="143" t="str">
        <f t="shared" si="15"/>
        <v/>
      </c>
      <c r="S110" s="143" t="str">
        <f t="shared" si="16"/>
        <v/>
      </c>
      <c r="T110" s="123"/>
      <c r="U110" s="119"/>
      <c r="V110" s="124"/>
      <c r="W110" s="143" t="str">
        <f t="shared" si="17"/>
        <v/>
      </c>
      <c r="X110" s="143" t="str">
        <f t="shared" si="18"/>
        <v/>
      </c>
      <c r="Y110" s="143" t="str">
        <f t="shared" si="19"/>
        <v/>
      </c>
      <c r="Z110" s="150" t="str">
        <f t="shared" si="20"/>
        <v/>
      </c>
      <c r="AA110" s="143" t="str">
        <f t="shared" si="21"/>
        <v/>
      </c>
      <c r="AB110" s="152" t="str">
        <f t="shared" si="22"/>
        <v/>
      </c>
      <c r="AC110" s="158" t="str">
        <f>IF(AB110="","",IFERROR(INDEX(HELPER!$D$8:$D$48,IF(AB110&gt;=HELPER!$B$8,1,MATCH(AB110,HELPER!$B$8:$B$48,-1)+1)),""))</f>
        <v/>
      </c>
      <c r="AD110" s="155" t="str">
        <f>IF(AC110="","",IFERROR(VLOOKUP(AC110,HELPER!$F$8:$G$48,2,FALSE),""))</f>
        <v/>
      </c>
      <c r="AE110" s="135"/>
      <c r="AF110" s="90"/>
    </row>
    <row r="111" spans="1:32" ht="15" customHeight="1" x14ac:dyDescent="0.25">
      <c r="A111" s="135"/>
      <c r="B111" s="112">
        <v>43</v>
      </c>
      <c r="C111" s="209" t="str">
        <f>IF('INPUT DATA'!N53="","",'INPUT DATA'!N53)</f>
        <v/>
      </c>
      <c r="D111" s="210"/>
      <c r="E111" s="210"/>
      <c r="F111" s="123"/>
      <c r="G111" s="119"/>
      <c r="H111" s="119"/>
      <c r="I111" s="119"/>
      <c r="J111" s="124"/>
      <c r="K111" s="143" t="str">
        <f t="shared" si="23"/>
        <v/>
      </c>
      <c r="L111" s="143" t="str">
        <f t="shared" si="12"/>
        <v/>
      </c>
      <c r="M111" s="146" t="str">
        <f t="shared" si="13"/>
        <v/>
      </c>
      <c r="N111" s="123"/>
      <c r="O111" s="119"/>
      <c r="P111" s="124"/>
      <c r="Q111" s="143" t="str">
        <f t="shared" si="14"/>
        <v/>
      </c>
      <c r="R111" s="143" t="str">
        <f t="shared" si="15"/>
        <v/>
      </c>
      <c r="S111" s="143" t="str">
        <f t="shared" si="16"/>
        <v/>
      </c>
      <c r="T111" s="123"/>
      <c r="U111" s="119"/>
      <c r="V111" s="124"/>
      <c r="W111" s="143" t="str">
        <f t="shared" si="17"/>
        <v/>
      </c>
      <c r="X111" s="143" t="str">
        <f t="shared" si="18"/>
        <v/>
      </c>
      <c r="Y111" s="143" t="str">
        <f t="shared" si="19"/>
        <v/>
      </c>
      <c r="Z111" s="150" t="str">
        <f t="shared" si="20"/>
        <v/>
      </c>
      <c r="AA111" s="143" t="str">
        <f t="shared" si="21"/>
        <v/>
      </c>
      <c r="AB111" s="152" t="str">
        <f t="shared" si="22"/>
        <v/>
      </c>
      <c r="AC111" s="158" t="str">
        <f>IF(AB111="","",IFERROR(INDEX(HELPER!$D$8:$D$48,IF(AB111&gt;=HELPER!$B$8,1,MATCH(AB111,HELPER!$B$8:$B$48,-1)+1)),""))</f>
        <v/>
      </c>
      <c r="AD111" s="155" t="str">
        <f>IF(AC111="","",IFERROR(VLOOKUP(AC111,HELPER!$F$8:$G$48,2,FALSE),""))</f>
        <v/>
      </c>
      <c r="AE111" s="135"/>
      <c r="AF111" s="90"/>
    </row>
    <row r="112" spans="1:32" ht="15" customHeight="1" x14ac:dyDescent="0.25">
      <c r="A112" s="135"/>
      <c r="B112" s="112">
        <v>44</v>
      </c>
      <c r="C112" s="209" t="str">
        <f>IF('INPUT DATA'!N54="","",'INPUT DATA'!N54)</f>
        <v/>
      </c>
      <c r="D112" s="210"/>
      <c r="E112" s="210"/>
      <c r="F112" s="123"/>
      <c r="G112" s="119"/>
      <c r="H112" s="119"/>
      <c r="I112" s="119"/>
      <c r="J112" s="124"/>
      <c r="K112" s="143" t="str">
        <f t="shared" si="23"/>
        <v/>
      </c>
      <c r="L112" s="143" t="str">
        <f t="shared" si="12"/>
        <v/>
      </c>
      <c r="M112" s="146" t="str">
        <f t="shared" si="13"/>
        <v/>
      </c>
      <c r="N112" s="123"/>
      <c r="O112" s="119"/>
      <c r="P112" s="124"/>
      <c r="Q112" s="143" t="str">
        <f t="shared" si="14"/>
        <v/>
      </c>
      <c r="R112" s="143" t="str">
        <f t="shared" si="15"/>
        <v/>
      </c>
      <c r="S112" s="143" t="str">
        <f t="shared" si="16"/>
        <v/>
      </c>
      <c r="T112" s="123"/>
      <c r="U112" s="119"/>
      <c r="V112" s="124"/>
      <c r="W112" s="143" t="str">
        <f t="shared" si="17"/>
        <v/>
      </c>
      <c r="X112" s="143" t="str">
        <f t="shared" si="18"/>
        <v/>
      </c>
      <c r="Y112" s="143" t="str">
        <f t="shared" si="19"/>
        <v/>
      </c>
      <c r="Z112" s="150" t="str">
        <f t="shared" si="20"/>
        <v/>
      </c>
      <c r="AA112" s="143" t="str">
        <f t="shared" si="21"/>
        <v/>
      </c>
      <c r="AB112" s="152" t="str">
        <f t="shared" si="22"/>
        <v/>
      </c>
      <c r="AC112" s="158" t="str">
        <f>IF(AB112="","",IFERROR(INDEX(HELPER!$D$8:$D$48,IF(AB112&gt;=HELPER!$B$8,1,MATCH(AB112,HELPER!$B$8:$B$48,-1)+1)),""))</f>
        <v/>
      </c>
      <c r="AD112" s="155" t="str">
        <f>IF(AC112="","",IFERROR(VLOOKUP(AC112,HELPER!$F$8:$G$48,2,FALSE),""))</f>
        <v/>
      </c>
      <c r="AE112" s="135"/>
      <c r="AF112" s="90"/>
    </row>
    <row r="113" spans="1:32" ht="15" customHeight="1" x14ac:dyDescent="0.25">
      <c r="A113" s="135"/>
      <c r="B113" s="112">
        <v>45</v>
      </c>
      <c r="C113" s="209" t="str">
        <f>IF('INPUT DATA'!N55="","",'INPUT DATA'!N55)</f>
        <v/>
      </c>
      <c r="D113" s="210"/>
      <c r="E113" s="210"/>
      <c r="F113" s="123"/>
      <c r="G113" s="119"/>
      <c r="H113" s="119"/>
      <c r="I113" s="119"/>
      <c r="J113" s="124"/>
      <c r="K113" s="143" t="str">
        <f t="shared" si="23"/>
        <v/>
      </c>
      <c r="L113" s="143" t="str">
        <f t="shared" si="12"/>
        <v/>
      </c>
      <c r="M113" s="146" t="str">
        <f t="shared" si="13"/>
        <v/>
      </c>
      <c r="N113" s="123"/>
      <c r="O113" s="119"/>
      <c r="P113" s="124"/>
      <c r="Q113" s="143" t="str">
        <f t="shared" si="14"/>
        <v/>
      </c>
      <c r="R113" s="143" t="str">
        <f t="shared" si="15"/>
        <v/>
      </c>
      <c r="S113" s="143" t="str">
        <f t="shared" si="16"/>
        <v/>
      </c>
      <c r="T113" s="123"/>
      <c r="U113" s="119"/>
      <c r="V113" s="124"/>
      <c r="W113" s="143" t="str">
        <f t="shared" si="17"/>
        <v/>
      </c>
      <c r="X113" s="143" t="str">
        <f t="shared" si="18"/>
        <v/>
      </c>
      <c r="Y113" s="143" t="str">
        <f t="shared" si="19"/>
        <v/>
      </c>
      <c r="Z113" s="150" t="str">
        <f t="shared" si="20"/>
        <v/>
      </c>
      <c r="AA113" s="143" t="str">
        <f t="shared" si="21"/>
        <v/>
      </c>
      <c r="AB113" s="152" t="str">
        <f t="shared" si="22"/>
        <v/>
      </c>
      <c r="AC113" s="158" t="str">
        <f>IF(AB113="","",IFERROR(INDEX(HELPER!$D$8:$D$48,IF(AB113&gt;=HELPER!$B$8,1,MATCH(AB113,HELPER!$B$8:$B$48,-1)+1)),""))</f>
        <v/>
      </c>
      <c r="AD113" s="155" t="str">
        <f>IF(AC113="","",IFERROR(VLOOKUP(AC113,HELPER!$F$8:$G$48,2,FALSE),""))</f>
        <v/>
      </c>
      <c r="AE113" s="135"/>
      <c r="AF113" s="90"/>
    </row>
    <row r="114" spans="1:32" ht="15" customHeight="1" x14ac:dyDescent="0.25">
      <c r="A114" s="135"/>
      <c r="B114" s="112">
        <v>46</v>
      </c>
      <c r="C114" s="209" t="str">
        <f>IF('INPUT DATA'!N56="","",'INPUT DATA'!N56)</f>
        <v/>
      </c>
      <c r="D114" s="210"/>
      <c r="E114" s="210"/>
      <c r="F114" s="123"/>
      <c r="G114" s="119"/>
      <c r="H114" s="119"/>
      <c r="I114" s="119"/>
      <c r="J114" s="124"/>
      <c r="K114" s="143" t="str">
        <f t="shared" si="23"/>
        <v/>
      </c>
      <c r="L114" s="143" t="str">
        <f t="shared" si="12"/>
        <v/>
      </c>
      <c r="M114" s="146" t="str">
        <f t="shared" si="13"/>
        <v/>
      </c>
      <c r="N114" s="123"/>
      <c r="O114" s="119"/>
      <c r="P114" s="124"/>
      <c r="Q114" s="143" t="str">
        <f t="shared" si="14"/>
        <v/>
      </c>
      <c r="R114" s="143" t="str">
        <f t="shared" si="15"/>
        <v/>
      </c>
      <c r="S114" s="143" t="str">
        <f t="shared" si="16"/>
        <v/>
      </c>
      <c r="T114" s="123"/>
      <c r="U114" s="119"/>
      <c r="V114" s="124"/>
      <c r="W114" s="143" t="str">
        <f t="shared" si="17"/>
        <v/>
      </c>
      <c r="X114" s="143" t="str">
        <f t="shared" si="18"/>
        <v/>
      </c>
      <c r="Y114" s="143" t="str">
        <f t="shared" si="19"/>
        <v/>
      </c>
      <c r="Z114" s="150" t="str">
        <f t="shared" si="20"/>
        <v/>
      </c>
      <c r="AA114" s="143" t="str">
        <f t="shared" si="21"/>
        <v/>
      </c>
      <c r="AB114" s="152" t="str">
        <f t="shared" si="22"/>
        <v/>
      </c>
      <c r="AC114" s="158" t="str">
        <f>IF(AB114="","",IFERROR(INDEX(HELPER!$D$8:$D$48,IF(AB114&gt;=HELPER!$B$8,1,MATCH(AB114,HELPER!$B$8:$B$48,-1)+1)),""))</f>
        <v/>
      </c>
      <c r="AD114" s="155" t="str">
        <f>IF(AC114="","",IFERROR(VLOOKUP(AC114,HELPER!$F$8:$G$48,2,FALSE),""))</f>
        <v/>
      </c>
      <c r="AE114" s="135"/>
      <c r="AF114" s="90"/>
    </row>
    <row r="115" spans="1:32" ht="15" customHeight="1" x14ac:dyDescent="0.25">
      <c r="A115" s="135"/>
      <c r="B115" s="112">
        <v>47</v>
      </c>
      <c r="C115" s="209" t="str">
        <f>IF('INPUT DATA'!N57="","",'INPUT DATA'!N57)</f>
        <v/>
      </c>
      <c r="D115" s="210"/>
      <c r="E115" s="210"/>
      <c r="F115" s="123"/>
      <c r="G115" s="119"/>
      <c r="H115" s="119"/>
      <c r="I115" s="119"/>
      <c r="J115" s="124"/>
      <c r="K115" s="143" t="str">
        <f t="shared" si="23"/>
        <v/>
      </c>
      <c r="L115" s="143" t="str">
        <f t="shared" si="12"/>
        <v/>
      </c>
      <c r="M115" s="146" t="str">
        <f t="shared" si="13"/>
        <v/>
      </c>
      <c r="N115" s="123"/>
      <c r="O115" s="119"/>
      <c r="P115" s="124"/>
      <c r="Q115" s="143" t="str">
        <f t="shared" si="14"/>
        <v/>
      </c>
      <c r="R115" s="143" t="str">
        <f t="shared" si="15"/>
        <v/>
      </c>
      <c r="S115" s="143" t="str">
        <f t="shared" si="16"/>
        <v/>
      </c>
      <c r="T115" s="123"/>
      <c r="U115" s="119"/>
      <c r="V115" s="124"/>
      <c r="W115" s="143" t="str">
        <f t="shared" si="17"/>
        <v/>
      </c>
      <c r="X115" s="143" t="str">
        <f t="shared" si="18"/>
        <v/>
      </c>
      <c r="Y115" s="143" t="str">
        <f t="shared" si="19"/>
        <v/>
      </c>
      <c r="Z115" s="150" t="str">
        <f t="shared" si="20"/>
        <v/>
      </c>
      <c r="AA115" s="143" t="str">
        <f t="shared" si="21"/>
        <v/>
      </c>
      <c r="AB115" s="152" t="str">
        <f t="shared" si="22"/>
        <v/>
      </c>
      <c r="AC115" s="158" t="str">
        <f>IF(AB115="","",IFERROR(INDEX(HELPER!$D$8:$D$48,IF(AB115&gt;=HELPER!$B$8,1,MATCH(AB115,HELPER!$B$8:$B$48,-1)+1)),""))</f>
        <v/>
      </c>
      <c r="AD115" s="155" t="str">
        <f>IF(AC115="","",IFERROR(VLOOKUP(AC115,HELPER!$F$8:$G$48,2,FALSE),""))</f>
        <v/>
      </c>
      <c r="AE115" s="135"/>
      <c r="AF115" s="90"/>
    </row>
    <row r="116" spans="1:32" ht="15" customHeight="1" x14ac:dyDescent="0.25">
      <c r="A116" s="135"/>
      <c r="B116" s="112">
        <v>48</v>
      </c>
      <c r="C116" s="209" t="str">
        <f>IF('INPUT DATA'!N58="","",'INPUT DATA'!N58)</f>
        <v/>
      </c>
      <c r="D116" s="210"/>
      <c r="E116" s="210"/>
      <c r="F116" s="123"/>
      <c r="G116" s="119"/>
      <c r="H116" s="119"/>
      <c r="I116" s="119"/>
      <c r="J116" s="124"/>
      <c r="K116" s="143" t="str">
        <f t="shared" si="23"/>
        <v/>
      </c>
      <c r="L116" s="143" t="str">
        <f t="shared" si="12"/>
        <v/>
      </c>
      <c r="M116" s="146" t="str">
        <f t="shared" si="13"/>
        <v/>
      </c>
      <c r="N116" s="123"/>
      <c r="O116" s="119"/>
      <c r="P116" s="124"/>
      <c r="Q116" s="143" t="str">
        <f t="shared" si="14"/>
        <v/>
      </c>
      <c r="R116" s="143" t="str">
        <f t="shared" si="15"/>
        <v/>
      </c>
      <c r="S116" s="143" t="str">
        <f t="shared" si="16"/>
        <v/>
      </c>
      <c r="T116" s="123"/>
      <c r="U116" s="119"/>
      <c r="V116" s="124"/>
      <c r="W116" s="143" t="str">
        <f t="shared" si="17"/>
        <v/>
      </c>
      <c r="X116" s="143" t="str">
        <f t="shared" si="18"/>
        <v/>
      </c>
      <c r="Y116" s="143" t="str">
        <f t="shared" si="19"/>
        <v/>
      </c>
      <c r="Z116" s="150" t="str">
        <f t="shared" si="20"/>
        <v/>
      </c>
      <c r="AA116" s="143" t="str">
        <f t="shared" si="21"/>
        <v/>
      </c>
      <c r="AB116" s="152" t="str">
        <f t="shared" si="22"/>
        <v/>
      </c>
      <c r="AC116" s="158" t="str">
        <f>IF(AB116="","",IFERROR(INDEX(HELPER!$D$8:$D$48,IF(AB116&gt;=HELPER!$B$8,1,MATCH(AB116,HELPER!$B$8:$B$48,-1)+1)),""))</f>
        <v/>
      </c>
      <c r="AD116" s="155" t="str">
        <f>IF(AC116="","",IFERROR(VLOOKUP(AC116,HELPER!$F$8:$G$48,2,FALSE),""))</f>
        <v/>
      </c>
      <c r="AE116" s="135"/>
      <c r="AF116" s="90"/>
    </row>
    <row r="117" spans="1:32" ht="15" customHeight="1" x14ac:dyDescent="0.25">
      <c r="A117" s="135"/>
      <c r="B117" s="112">
        <v>49</v>
      </c>
      <c r="C117" s="209" t="str">
        <f>IF('INPUT DATA'!N59="","",'INPUT DATA'!N59)</f>
        <v/>
      </c>
      <c r="D117" s="210"/>
      <c r="E117" s="210"/>
      <c r="F117" s="123"/>
      <c r="G117" s="119"/>
      <c r="H117" s="119"/>
      <c r="I117" s="119"/>
      <c r="J117" s="124"/>
      <c r="K117" s="143" t="str">
        <f t="shared" si="23"/>
        <v/>
      </c>
      <c r="L117" s="143" t="str">
        <f t="shared" si="12"/>
        <v/>
      </c>
      <c r="M117" s="146" t="str">
        <f t="shared" si="13"/>
        <v/>
      </c>
      <c r="N117" s="123"/>
      <c r="O117" s="119"/>
      <c r="P117" s="124"/>
      <c r="Q117" s="143" t="str">
        <f t="shared" si="14"/>
        <v/>
      </c>
      <c r="R117" s="143" t="str">
        <f t="shared" si="15"/>
        <v/>
      </c>
      <c r="S117" s="143" t="str">
        <f t="shared" si="16"/>
        <v/>
      </c>
      <c r="T117" s="123"/>
      <c r="U117" s="119"/>
      <c r="V117" s="124"/>
      <c r="W117" s="143" t="str">
        <f t="shared" si="17"/>
        <v/>
      </c>
      <c r="X117" s="143" t="str">
        <f t="shared" si="18"/>
        <v/>
      </c>
      <c r="Y117" s="143" t="str">
        <f t="shared" si="19"/>
        <v/>
      </c>
      <c r="Z117" s="150" t="str">
        <f t="shared" si="20"/>
        <v/>
      </c>
      <c r="AA117" s="143" t="str">
        <f t="shared" si="21"/>
        <v/>
      </c>
      <c r="AB117" s="152" t="str">
        <f t="shared" si="22"/>
        <v/>
      </c>
      <c r="AC117" s="158" t="str">
        <f>IF(AB117="","",IFERROR(INDEX(HELPER!$D$8:$D$48,IF(AB117&gt;=HELPER!$B$8,1,MATCH(AB117,HELPER!$B$8:$B$48,-1)+1)),""))</f>
        <v/>
      </c>
      <c r="AD117" s="155" t="str">
        <f>IF(AC117="","",IFERROR(VLOOKUP(AC117,HELPER!$F$8:$G$48,2,FALSE),""))</f>
        <v/>
      </c>
      <c r="AE117" s="135"/>
      <c r="AF117" s="90"/>
    </row>
    <row r="118" spans="1:32" ht="15" customHeight="1" thickBot="1" x14ac:dyDescent="0.3">
      <c r="A118" s="135"/>
      <c r="B118" s="113">
        <v>50</v>
      </c>
      <c r="C118" s="229" t="str">
        <f>IF('INPUT DATA'!N60="","",'INPUT DATA'!N60)</f>
        <v/>
      </c>
      <c r="D118" s="230"/>
      <c r="E118" s="230"/>
      <c r="F118" s="125"/>
      <c r="G118" s="126"/>
      <c r="H118" s="126"/>
      <c r="I118" s="126"/>
      <c r="J118" s="127"/>
      <c r="K118" s="144" t="str">
        <f t="shared" si="23"/>
        <v/>
      </c>
      <c r="L118" s="144" t="str">
        <f t="shared" si="12"/>
        <v/>
      </c>
      <c r="M118" s="147" t="str">
        <f t="shared" si="13"/>
        <v/>
      </c>
      <c r="N118" s="125"/>
      <c r="O118" s="126"/>
      <c r="P118" s="127"/>
      <c r="Q118" s="144" t="str">
        <f t="shared" si="14"/>
        <v/>
      </c>
      <c r="R118" s="144" t="str">
        <f t="shared" si="15"/>
        <v/>
      </c>
      <c r="S118" s="144" t="str">
        <f t="shared" si="16"/>
        <v/>
      </c>
      <c r="T118" s="125"/>
      <c r="U118" s="126"/>
      <c r="V118" s="127"/>
      <c r="W118" s="144" t="str">
        <f t="shared" si="17"/>
        <v/>
      </c>
      <c r="X118" s="144" t="str">
        <f t="shared" si="18"/>
        <v/>
      </c>
      <c r="Y118" s="144" t="str">
        <f t="shared" si="19"/>
        <v/>
      </c>
      <c r="Z118" s="148" t="str">
        <f t="shared" si="20"/>
        <v/>
      </c>
      <c r="AA118" s="144" t="str">
        <f t="shared" si="21"/>
        <v/>
      </c>
      <c r="AB118" s="153" t="str">
        <f t="shared" si="22"/>
        <v/>
      </c>
      <c r="AC118" s="159" t="str">
        <f>IF(AB118="","",IFERROR(INDEX(HELPER!$D$8:$D$48,IF(AB118&gt;=HELPER!$B$8,1,MATCH(AB118,HELPER!$B$8:$B$48,-1)+1)),""))</f>
        <v/>
      </c>
      <c r="AD118" s="156" t="str">
        <f>IF(AC118="","",IFERROR(VLOOKUP(AC118,HELPER!$F$8:$G$48,2,FALSE),""))</f>
        <v/>
      </c>
      <c r="AE118" s="135"/>
      <c r="AF118" s="90"/>
    </row>
    <row r="119" spans="1:32" ht="13.2" customHeight="1" x14ac:dyDescent="0.25">
      <c r="A119" s="135"/>
      <c r="B119" s="135"/>
      <c r="C119" s="239"/>
      <c r="D119" s="226"/>
      <c r="E119" s="226"/>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90"/>
    </row>
    <row r="120" spans="1:32" ht="13.2" customHeight="1" x14ac:dyDescent="0.25">
      <c r="A120" s="135"/>
      <c r="B120" s="135"/>
      <c r="C120" s="239"/>
      <c r="D120" s="226"/>
      <c r="E120" s="226"/>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90"/>
    </row>
  </sheetData>
  <sheetProtection algorithmName="SHA-512" hashValue="kBf7nCx/wJLaJicpRJpaEjWGfNgw4Y4vmPMhkiYR94aCBDovymnI3q3Hsbq0lSvwIT8ccRfdyhovwozbnOQ/tg==" saltValue="Q02vRw8GwJpUDDNJiqI+NQ==" spinCount="100000" sheet="1" objects="1" scenarios="1" formatCells="0" formatColumns="0" formatRows="0"/>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27">
    <dataValidation allowBlank="1" showInputMessage="1" showErrorMessage="1" prompt="Do not type name of learners here. Go to INPUT DATA sheet." sqref="C18:E67 C69:E118" xr:uid="{B637B710-D543-44BB-B0D5-6BC6DE5CE443}"/>
    <dataValidation allowBlank="1" showInputMessage="1" showErrorMessage="1" prompt="Written/Oral Works' Highest Possible Score." sqref="K15 K18:K67 K69:K118" xr:uid="{64E5CC3C-42E4-4760-B983-EEFC13A7CD75}"/>
    <dataValidation allowBlank="1" showInputMessage="1" showErrorMessage="1" prompt="Products/Performance Tasks' Highest Possible Score." sqref="Q15 Q18:Q67 Q69:Q118" xr:uid="{DDD1C61B-31C4-4445-AFEA-41471B302AC9}"/>
    <dataValidation allowBlank="1" showInputMessage="1" showErrorMessage="1" prompt="Written/Oral Works' Percentage Score." sqref="L15 L18:L67 L69:L118" xr:uid="{F14C72BF-E6AB-4EE6-BCC0-527E8F8BBFA8}"/>
    <dataValidation allowBlank="1" showInputMessage="1" showErrorMessage="1" prompt="Written/Oral Works' Weighted Score." sqref="M15 M18:M67 M69:M118" xr:uid="{46BDB4D7-1DE9-4C29-9965-92CA7ADB7F16}"/>
    <dataValidation allowBlank="1" showInputMessage="1" showErrorMessage="1" prompt="Products/Performance Tasks' Percentage Score." sqref="R15 R18:R67 R69:R118" xr:uid="{07627A93-A058-4ADE-8D22-0E41382E8ED6}"/>
    <dataValidation allowBlank="1" showInputMessage="1" showErrorMessage="1" prompt="Products/Performance Tasks' Weighted Score." sqref="S15 S18:S67 S69:S118" xr:uid="{0582B3E7-B3C9-4732-AA47-644625D437D3}"/>
    <dataValidation allowBlank="1" showInputMessage="1" showErrorMessage="1" prompt="Weighted Score for Summative Test 1" sqref="W15 W18:W67 W69:W118" xr:uid="{A0AD28F3-D509-494D-AAE5-7A766A192750}"/>
    <dataValidation allowBlank="1" showInputMessage="1" showErrorMessage="1" prompt="Weighted Score for Summative Test 2" sqref="X15 X18:X67 X69:X118" xr:uid="{5C3E293C-DE67-4280-B682-FB745F486A9A}"/>
    <dataValidation allowBlank="1" showInputMessage="1" showErrorMessage="1" prompt="Weighted Score for Term Exam" sqref="Y15 Y18:Y67 Y69:Y118" xr:uid="{0C788454-ABF9-4AB7-BEBC-688095D2EF77}"/>
    <dataValidation allowBlank="1" showInputMessage="1" showErrorMessage="1" prompt="Examinations' Percetage Score" sqref="Z15 Z18:Z67 Z69:Z118" xr:uid="{B71A8229-09EE-422B-B4CD-AB5064F3FBBE}"/>
    <dataValidation allowBlank="1" showInputMessage="1" showErrorMessage="1" prompt="Examinations' Weighted Score" sqref="AA15 AA18:AA67 AA69:AA118" xr:uid="{8D5AFB04-1339-4A11-9C5F-EC36DA467D56}"/>
    <dataValidation allowBlank="1" showInputMessage="1" showErrorMessage="1" prompt="INITIAL GRADE" sqref="AB18:AB67 AB69:AB118" xr:uid="{88AE8414-24A4-4D15-BF03-1E3717B68BEB}"/>
    <dataValidation allowBlank="1" showInputMessage="1" showErrorMessage="1" prompt="Transmuted Term Grade" sqref="AC18:AC67 AC69:AC118" xr:uid="{1CBD2F20-9E34-4A99-93B6-DA6915C39568}"/>
    <dataValidation type="whole" allowBlank="1" showInputMessage="1" showErrorMessage="1" promptTitle="Highest Possible Score" prompt="Enter HPS." sqref="T15:V15" xr:uid="{778BC14A-32DF-41AE-8F3B-97CC3BCDBD8A}">
      <formula1>0</formula1>
      <formula2>1000</formula2>
    </dataValidation>
    <dataValidation type="custom" allowBlank="1" showInputMessage="1" showErrorMessage="1" errorTitle="Invalid Input" error="The score cannot be greater than the HPS." promptTitle="Score Entry" prompt="Enter learners' raw scores." sqref="F18:F67 F69:F118" xr:uid="{6EB3281F-1CCC-4D69-9044-BFFB23A7CF2B}">
      <formula1>F18&lt;=$F$15</formula1>
    </dataValidation>
    <dataValidation type="custom" allowBlank="1" showInputMessage="1" showErrorMessage="1" errorTitle="Invalid Input" error="The score cannot be greater than the HPS." promptTitle="Score Entry" prompt="Enter learners' raw scores." sqref="G18:G67 G69:G118" xr:uid="{3FAC2540-D534-4EA9-8239-3DF621323CCB}">
      <formula1>G18&lt;=$G$15</formula1>
    </dataValidation>
    <dataValidation type="custom" allowBlank="1" showInputMessage="1" showErrorMessage="1" errorTitle="Invalid Input" error="The score cannot be greater than the HPS." promptTitle="Score Entry" prompt="Enter learners' raw scores." sqref="H18:H67 H69:H118" xr:uid="{17386640-9CDC-4D5D-80E2-4B189433D084}">
      <formula1>H18&lt;=$H$15</formula1>
    </dataValidation>
    <dataValidation type="custom" allowBlank="1" showInputMessage="1" showErrorMessage="1" errorTitle="Invalid Input" error="The score cannot be greater than the HPS." promptTitle="Score Entry" prompt="Enter learners' raw scores." sqref="I18:I67 I69:I118" xr:uid="{55D85F43-6B51-41B2-BEE5-DEC6D1356C45}">
      <formula1>I18&lt;=$I$15</formula1>
    </dataValidation>
    <dataValidation type="custom" allowBlank="1" showInputMessage="1" showErrorMessage="1" errorTitle="Invalid Input" error="The score cannot be greater than the HPS." promptTitle="Score Entry" prompt="Enter learners' raw scores." sqref="J18:J67 J69:J118" xr:uid="{D36CB7A5-91B9-4131-8E14-632E7EB69093}">
      <formula1>J18&lt;=$J$15</formula1>
    </dataValidation>
    <dataValidation type="custom" allowBlank="1" showInputMessage="1" showErrorMessage="1" errorTitle="Invalid Input" error="The score cannot be greater than the HPS." promptTitle="Score Entry" prompt="Enter learners' raw scores." sqref="N18:N67 N69:N118" xr:uid="{0EA8F86C-A89C-481D-BB85-5D292BC90C44}">
      <formula1>N18&lt;=$N$15</formula1>
    </dataValidation>
    <dataValidation type="custom" allowBlank="1" showInputMessage="1" showErrorMessage="1" errorTitle="Invalid Input" error="The score cannot be greater than the HPS." promptTitle="Score Entry" prompt="Enter learners' raw scores." sqref="O18:O67 O69:O118" xr:uid="{8A9533B5-FBA4-4CC1-9C1E-54C0CA786347}">
      <formula1>O18&lt;=$O$15</formula1>
    </dataValidation>
    <dataValidation type="custom" allowBlank="1" showInputMessage="1" showErrorMessage="1" errorTitle="Invalid Input" error="The score cannot be greater than the HPS." promptTitle="Score Entry" prompt="Enter learners' raw scores." sqref="P18:P67 P69:P118" xr:uid="{DB48B292-1B70-4187-B053-344641839A60}">
      <formula1>P18&lt;=$P$15</formula1>
    </dataValidation>
    <dataValidation type="custom" allowBlank="1" showInputMessage="1" showErrorMessage="1" errorTitle="Invalid Input" error="The score cannot be greater than the HPS." promptTitle="Score Entry" prompt="Enter learners' raw scores." sqref="T18:T67 T69:T118" xr:uid="{6661F294-36D8-49B0-ABC0-F9D5917E1CB1}">
      <formula1>T18&lt;=$T$15</formula1>
    </dataValidation>
    <dataValidation type="custom" allowBlank="1" showInputMessage="1" showErrorMessage="1" errorTitle="Invalid Input" error="The score cannot be greater than the HPS." promptTitle="Score Entry" prompt="Enter learners' raw scores." sqref="U18:U67 U69:U118" xr:uid="{D5F98D8A-5E5B-4DAC-ACEE-65AD4795F5B3}">
      <formula1>U18&lt;=$U$15</formula1>
    </dataValidation>
    <dataValidation type="custom" allowBlank="1" showInputMessage="1" showErrorMessage="1" errorTitle="Invalid Input" error="The score cannot be greater than the HPS." promptTitle="Score Entry" prompt="Enter learners' raw scores." sqref="V18:V67 V69:V118" xr:uid="{12D23025-AE6D-4041-B7E4-37750C7167F5}">
      <formula1>V18&lt;=$V$15</formula1>
    </dataValidation>
    <dataValidation type="whole" allowBlank="1" showInputMessage="1" showErrorMessage="1" promptTitle="Highest Possible Score" prompt="Enter HPS." sqref="F15:J15 N15:P15" xr:uid="{F4C5BA7C-6E9A-43A9-8477-81060DD4C92E}">
      <formula1>0</formula1>
      <formula2>1000</formula2>
    </dataValidation>
  </dataValidations>
  <pageMargins left="0.23622047244094491" right="0.23622047244094491" top="0.39370078740157483" bottom="0.39370078740157483" header="0.31496062992125978" footer="0.31496062992125978"/>
  <pageSetup paperSize="9" scale="76" fitToHeight="0"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777F36-8217-4535-97F3-ABE4E595DB8D}">
  <sheetPr>
    <tabColor rgb="FFFFFF00"/>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V15" sqref="T15:V15"/>
    </sheetView>
  </sheetViews>
  <sheetFormatPr defaultColWidth="12.6640625" defaultRowHeight="15.75" customHeight="1" x14ac:dyDescent="0.25"/>
  <cols>
    <col min="1" max="2" width="3.88671875" style="141" customWidth="1"/>
    <col min="3" max="5" width="12.6640625" style="141" customWidth="1"/>
    <col min="6" max="10" width="3.88671875" style="141" customWidth="1"/>
    <col min="11" max="11" width="5.109375" style="141" customWidth="1"/>
    <col min="12" max="12" width="5.6640625" style="141" customWidth="1"/>
    <col min="13" max="13" width="6.33203125" style="141" customWidth="1"/>
    <col min="14" max="16" width="3.88671875" style="141" customWidth="1"/>
    <col min="17" max="17" width="5.109375" style="141" customWidth="1"/>
    <col min="18" max="18" width="5.6640625" style="141" customWidth="1"/>
    <col min="19" max="19" width="6.33203125" style="141" customWidth="1"/>
    <col min="20" max="22" width="5.6640625" style="141" customWidth="1"/>
    <col min="23" max="25" width="8" style="141" customWidth="1"/>
    <col min="26" max="27" width="5.6640625" style="141" customWidth="1"/>
    <col min="28" max="28" width="7.33203125" style="141" customWidth="1"/>
    <col min="29" max="29" width="10.109375" style="141" customWidth="1"/>
    <col min="30" max="30" width="14.5546875" style="141" customWidth="1"/>
    <col min="31" max="31" width="12.6640625" style="141" customWidth="1"/>
    <col min="32" max="32" width="3.88671875" style="141" customWidth="1"/>
    <col min="33" max="33" width="12.6640625" style="141" customWidth="1"/>
    <col min="34" max="16384" width="12.6640625" style="141"/>
  </cols>
  <sheetData>
    <row r="1" spans="1:32" ht="15.75" customHeight="1" x14ac:dyDescent="0.5">
      <c r="A1" s="88"/>
      <c r="AF1" s="89"/>
    </row>
    <row r="2" spans="1:32" ht="15.75" customHeight="1" x14ac:dyDescent="0.25">
      <c r="B2" s="225" t="s">
        <v>19</v>
      </c>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F2" s="89"/>
    </row>
    <row r="3" spans="1:32" ht="15.75" customHeight="1" x14ac:dyDescent="0.25">
      <c r="B3" s="226"/>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F3" s="89"/>
    </row>
    <row r="4" spans="1:32" ht="15.75" customHeight="1" thickBot="1" x14ac:dyDescent="0.3">
      <c r="AF4" s="89"/>
    </row>
    <row r="5" spans="1:32" ht="15.75" customHeight="1" thickBot="1" x14ac:dyDescent="0.35">
      <c r="A5" s="135"/>
      <c r="B5" s="135"/>
      <c r="C5" s="135"/>
      <c r="D5" s="135"/>
      <c r="E5" s="92" t="s">
        <v>3</v>
      </c>
      <c r="F5" s="201" t="str">
        <f>IF('INPUT DATA'!E10="","",'INPUT DATA'!E10)</f>
        <v/>
      </c>
      <c r="G5" s="202"/>
      <c r="H5" s="202"/>
      <c r="I5" s="202"/>
      <c r="J5" s="202"/>
      <c r="K5" s="202"/>
      <c r="L5" s="203"/>
      <c r="M5" s="93"/>
      <c r="N5" s="93"/>
      <c r="O5" s="93"/>
      <c r="P5" s="93"/>
      <c r="Q5" s="92" t="s">
        <v>7</v>
      </c>
      <c r="R5" s="201" t="str">
        <f>IF('INPUT DATA'!E11="","",'INPUT DATA'!E11)</f>
        <v/>
      </c>
      <c r="S5" s="202"/>
      <c r="T5" s="202"/>
      <c r="U5" s="202"/>
      <c r="V5" s="203"/>
      <c r="W5" s="93"/>
      <c r="X5" s="93"/>
      <c r="Y5" s="92" t="s">
        <v>8</v>
      </c>
      <c r="Z5" s="201" t="str">
        <f>IF('INPUT DATA'!E13="","",'INPUT DATA'!E13)</f>
        <v/>
      </c>
      <c r="AA5" s="202"/>
      <c r="AB5" s="203"/>
      <c r="AC5" s="135"/>
      <c r="AD5" s="135"/>
      <c r="AE5" s="135"/>
      <c r="AF5" s="90"/>
    </row>
    <row r="6" spans="1:32" ht="6" customHeight="1" thickBot="1" x14ac:dyDescent="0.35">
      <c r="A6" s="135"/>
      <c r="B6" s="135"/>
      <c r="C6" s="135"/>
      <c r="D6" s="135"/>
      <c r="E6" s="92"/>
      <c r="F6" s="94"/>
      <c r="G6" s="95"/>
      <c r="H6" s="95"/>
      <c r="I6" s="95"/>
      <c r="J6" s="95"/>
      <c r="K6" s="95"/>
      <c r="L6" s="95"/>
      <c r="M6" s="93"/>
      <c r="N6" s="93"/>
      <c r="O6" s="93"/>
      <c r="P6" s="93"/>
      <c r="Q6" s="92"/>
      <c r="R6" s="94"/>
      <c r="S6" s="95"/>
      <c r="T6" s="95"/>
      <c r="U6" s="95"/>
      <c r="V6" s="95"/>
      <c r="W6" s="93"/>
      <c r="X6" s="93"/>
      <c r="Y6" s="92"/>
      <c r="Z6" s="94"/>
      <c r="AA6" s="95"/>
      <c r="AB6" s="95"/>
      <c r="AC6" s="135"/>
      <c r="AD6" s="135"/>
      <c r="AE6" s="135"/>
      <c r="AF6" s="90"/>
    </row>
    <row r="7" spans="1:32" ht="15.75" customHeight="1" thickBot="1" x14ac:dyDescent="0.35">
      <c r="A7" s="135"/>
      <c r="B7" s="135"/>
      <c r="C7" s="135"/>
      <c r="D7" s="135"/>
      <c r="E7" s="92" t="s">
        <v>9</v>
      </c>
      <c r="F7" s="201" t="str">
        <f>IF('INPUT DATA'!E14="","",'INPUT DATA'!E14)</f>
        <v/>
      </c>
      <c r="G7" s="202"/>
      <c r="H7" s="202"/>
      <c r="I7" s="202"/>
      <c r="J7" s="202"/>
      <c r="K7" s="202"/>
      <c r="L7" s="202"/>
      <c r="M7" s="202"/>
      <c r="N7" s="202"/>
      <c r="O7" s="202"/>
      <c r="P7" s="202"/>
      <c r="Q7" s="202"/>
      <c r="R7" s="202"/>
      <c r="S7" s="202"/>
      <c r="T7" s="202"/>
      <c r="U7" s="202"/>
      <c r="V7" s="203"/>
      <c r="W7" s="93"/>
      <c r="X7" s="93"/>
      <c r="Y7" s="92" t="s">
        <v>10</v>
      </c>
      <c r="Z7" s="201" t="str">
        <f>IF('INPUT DATA'!E15="","",'INPUT DATA'!E15)</f>
        <v/>
      </c>
      <c r="AA7" s="202"/>
      <c r="AB7" s="203"/>
      <c r="AC7" s="135"/>
      <c r="AD7" s="135"/>
      <c r="AE7" s="135"/>
      <c r="AF7" s="90"/>
    </row>
    <row r="8" spans="1:32" ht="13.8" customHeight="1" thickBot="1" x14ac:dyDescent="0.3">
      <c r="A8" s="135"/>
      <c r="B8" s="13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90"/>
    </row>
    <row r="9" spans="1:32" ht="15.75" customHeight="1" thickBot="1" x14ac:dyDescent="0.35">
      <c r="A9" s="135"/>
      <c r="B9" s="217"/>
      <c r="C9" s="218"/>
      <c r="D9" s="218"/>
      <c r="E9" s="218"/>
      <c r="F9" s="218"/>
      <c r="G9" s="218"/>
      <c r="H9" s="218"/>
      <c r="I9" s="218"/>
      <c r="J9" s="218"/>
      <c r="K9" s="218"/>
      <c r="L9" s="218"/>
      <c r="M9" s="218"/>
      <c r="N9" s="218"/>
      <c r="O9" s="218"/>
      <c r="P9" s="218"/>
      <c r="Q9" s="218"/>
      <c r="R9" s="218"/>
      <c r="S9" s="218"/>
      <c r="T9" s="218"/>
      <c r="U9" s="218"/>
      <c r="V9" s="218"/>
      <c r="W9" s="218"/>
      <c r="X9" s="218"/>
      <c r="Y9" s="218"/>
      <c r="Z9" s="218"/>
      <c r="AA9" s="218"/>
      <c r="AB9" s="218"/>
      <c r="AC9" s="218"/>
      <c r="AD9" s="219"/>
      <c r="AE9" s="135"/>
      <c r="AF9" s="91"/>
    </row>
    <row r="10" spans="1:32" ht="14.4" customHeight="1" thickBot="1" x14ac:dyDescent="0.3">
      <c r="A10" s="135"/>
      <c r="B10" s="220" t="s">
        <v>41</v>
      </c>
      <c r="C10" s="221"/>
      <c r="D10" s="221"/>
      <c r="E10" s="222"/>
      <c r="F10" s="235" t="s">
        <v>15</v>
      </c>
      <c r="G10" s="215"/>
      <c r="H10" s="215"/>
      <c r="I10" s="216"/>
      <c r="J10" s="224" t="str">
        <f>IF('INPUT DATA'!E25="","",'INPUT DATA'!E25)</f>
        <v/>
      </c>
      <c r="K10" s="215"/>
      <c r="L10" s="215"/>
      <c r="M10" s="216"/>
      <c r="N10" s="244" t="s">
        <v>21</v>
      </c>
      <c r="O10" s="221"/>
      <c r="P10" s="222"/>
      <c r="Q10" s="224" t="str">
        <f>IF('INPUT DATA'!E23="","",'INPUT DATA'!E23)</f>
        <v/>
      </c>
      <c r="R10" s="221"/>
      <c r="S10" s="221"/>
      <c r="T10" s="221"/>
      <c r="U10" s="221"/>
      <c r="V10" s="221"/>
      <c r="W10" s="221"/>
      <c r="X10" s="222"/>
      <c r="Y10" s="228" t="s">
        <v>14</v>
      </c>
      <c r="Z10" s="221"/>
      <c r="AA10" s="224" t="s">
        <v>22</v>
      </c>
      <c r="AB10" s="221"/>
      <c r="AC10" s="221"/>
      <c r="AD10" s="222"/>
      <c r="AE10" s="135"/>
      <c r="AF10" s="90"/>
    </row>
    <row r="11" spans="1:32" ht="14.4" customHeight="1" thickBot="1" x14ac:dyDescent="0.3">
      <c r="A11" s="135"/>
      <c r="B11" s="223"/>
      <c r="C11" s="221"/>
      <c r="D11" s="221"/>
      <c r="E11" s="222"/>
      <c r="F11" s="240" t="s">
        <v>16</v>
      </c>
      <c r="G11" s="202"/>
      <c r="H11" s="202"/>
      <c r="I11" s="203"/>
      <c r="J11" s="227" t="str">
        <f>IF('INPUT DATA'!E26="","",'INPUT DATA'!E26)</f>
        <v/>
      </c>
      <c r="K11" s="202"/>
      <c r="L11" s="202"/>
      <c r="M11" s="203"/>
      <c r="N11" s="214"/>
      <c r="O11" s="215"/>
      <c r="P11" s="216"/>
      <c r="Q11" s="214"/>
      <c r="R11" s="215"/>
      <c r="S11" s="215"/>
      <c r="T11" s="215"/>
      <c r="U11" s="215"/>
      <c r="V11" s="215"/>
      <c r="W11" s="215"/>
      <c r="X11" s="216"/>
      <c r="Y11" s="214"/>
      <c r="Z11" s="215"/>
      <c r="AA11" s="214"/>
      <c r="AB11" s="215"/>
      <c r="AC11" s="215"/>
      <c r="AD11" s="216"/>
      <c r="AE11" s="135"/>
      <c r="AF11" s="90"/>
    </row>
    <row r="12" spans="1:32" ht="13.2" customHeight="1" thickBot="1" x14ac:dyDescent="0.3">
      <c r="A12" s="135"/>
      <c r="B12" s="223"/>
      <c r="C12" s="221"/>
      <c r="D12" s="221"/>
      <c r="E12" s="222"/>
      <c r="F12" s="238" t="s">
        <v>23</v>
      </c>
      <c r="G12" s="212"/>
      <c r="H12" s="212"/>
      <c r="I12" s="212"/>
      <c r="J12" s="212"/>
      <c r="K12" s="212"/>
      <c r="L12" s="212"/>
      <c r="M12" s="213"/>
      <c r="N12" s="206" t="s">
        <v>24</v>
      </c>
      <c r="O12" s="212"/>
      <c r="P12" s="212"/>
      <c r="Q12" s="212"/>
      <c r="R12" s="212"/>
      <c r="S12" s="213"/>
      <c r="T12" s="206" t="s">
        <v>25</v>
      </c>
      <c r="U12" s="212"/>
      <c r="V12" s="212"/>
      <c r="W12" s="212"/>
      <c r="X12" s="212"/>
      <c r="Y12" s="212"/>
      <c r="Z12" s="212"/>
      <c r="AA12" s="213"/>
      <c r="AB12" s="206" t="s">
        <v>26</v>
      </c>
      <c r="AC12" s="206" t="s">
        <v>27</v>
      </c>
      <c r="AD12" s="206" t="s">
        <v>28</v>
      </c>
      <c r="AE12" s="135"/>
      <c r="AF12" s="90"/>
    </row>
    <row r="13" spans="1:32" ht="13.8" customHeight="1" thickBot="1" x14ac:dyDescent="0.3">
      <c r="A13" s="135"/>
      <c r="B13" s="223"/>
      <c r="C13" s="221"/>
      <c r="D13" s="221"/>
      <c r="E13" s="222"/>
      <c r="F13" s="214"/>
      <c r="G13" s="215"/>
      <c r="H13" s="215"/>
      <c r="I13" s="215"/>
      <c r="J13" s="215"/>
      <c r="K13" s="215"/>
      <c r="L13" s="215"/>
      <c r="M13" s="216"/>
      <c r="N13" s="214"/>
      <c r="O13" s="215"/>
      <c r="P13" s="215"/>
      <c r="Q13" s="215"/>
      <c r="R13" s="215"/>
      <c r="S13" s="216"/>
      <c r="T13" s="214"/>
      <c r="U13" s="215"/>
      <c r="V13" s="215"/>
      <c r="W13" s="215"/>
      <c r="X13" s="215"/>
      <c r="Y13" s="215"/>
      <c r="Z13" s="215"/>
      <c r="AA13" s="216"/>
      <c r="AB13" s="207"/>
      <c r="AC13" s="207"/>
      <c r="AD13" s="207"/>
      <c r="AE13" s="135"/>
      <c r="AF13" s="90"/>
    </row>
    <row r="14" spans="1:32" ht="13.8" customHeight="1" thickBot="1" x14ac:dyDescent="0.3">
      <c r="A14" s="135"/>
      <c r="B14" s="223"/>
      <c r="C14" s="221"/>
      <c r="D14" s="221"/>
      <c r="E14" s="222"/>
      <c r="F14" s="75">
        <v>1</v>
      </c>
      <c r="G14" s="76">
        <v>2</v>
      </c>
      <c r="H14" s="76">
        <v>3</v>
      </c>
      <c r="I14" s="76">
        <v>4</v>
      </c>
      <c r="J14" s="103">
        <v>5</v>
      </c>
      <c r="K14" s="77" t="s">
        <v>29</v>
      </c>
      <c r="L14" s="77" t="s">
        <v>30</v>
      </c>
      <c r="M14" s="77" t="s">
        <v>31</v>
      </c>
      <c r="N14" s="75">
        <v>1</v>
      </c>
      <c r="O14" s="76">
        <v>2</v>
      </c>
      <c r="P14" s="103">
        <v>3</v>
      </c>
      <c r="Q14" s="77" t="s">
        <v>29</v>
      </c>
      <c r="R14" s="77" t="s">
        <v>30</v>
      </c>
      <c r="S14" s="77" t="s">
        <v>31</v>
      </c>
      <c r="T14" s="75" t="s">
        <v>32</v>
      </c>
      <c r="U14" s="76" t="s">
        <v>33</v>
      </c>
      <c r="V14" s="103" t="s">
        <v>34</v>
      </c>
      <c r="W14" s="78" t="s">
        <v>35</v>
      </c>
      <c r="X14" s="79" t="s">
        <v>36</v>
      </c>
      <c r="Y14" s="80" t="s">
        <v>37</v>
      </c>
      <c r="Z14" s="77" t="s">
        <v>30</v>
      </c>
      <c r="AA14" s="77" t="s">
        <v>31</v>
      </c>
      <c r="AB14" s="207"/>
      <c r="AC14" s="207"/>
      <c r="AD14" s="207"/>
      <c r="AE14" s="135"/>
      <c r="AF14" s="90"/>
    </row>
    <row r="15" spans="1:32" ht="14.4" customHeight="1" thickBot="1" x14ac:dyDescent="0.3">
      <c r="A15" s="135"/>
      <c r="B15" s="231" t="s">
        <v>38</v>
      </c>
      <c r="C15" s="202"/>
      <c r="D15" s="202"/>
      <c r="E15" s="203"/>
      <c r="F15" s="175"/>
      <c r="G15" s="176"/>
      <c r="H15" s="176"/>
      <c r="I15" s="176"/>
      <c r="J15" s="177"/>
      <c r="K15" s="63" t="str">
        <f>IF(COUNT(F15:J15)=0,"",SUM(F15:J15))</f>
        <v/>
      </c>
      <c r="L15" s="71">
        <v>100</v>
      </c>
      <c r="M15" s="72">
        <v>0.2</v>
      </c>
      <c r="N15" s="175"/>
      <c r="O15" s="176"/>
      <c r="P15" s="177"/>
      <c r="Q15" s="63" t="str">
        <f>IF(COUNT(N15:P15)=0,"",SUM(N15:P15))</f>
        <v/>
      </c>
      <c r="R15" s="73">
        <v>100</v>
      </c>
      <c r="S15" s="74">
        <v>0.6</v>
      </c>
      <c r="T15" s="175"/>
      <c r="U15" s="176"/>
      <c r="V15" s="177"/>
      <c r="W15" s="84">
        <v>30</v>
      </c>
      <c r="X15" s="85">
        <v>30</v>
      </c>
      <c r="Y15" s="86">
        <v>40</v>
      </c>
      <c r="Z15" s="73">
        <v>100</v>
      </c>
      <c r="AA15" s="74">
        <v>0.2</v>
      </c>
      <c r="AB15" s="208"/>
      <c r="AC15" s="208"/>
      <c r="AD15" s="208"/>
      <c r="AE15" s="135"/>
      <c r="AF15" s="90"/>
    </row>
    <row r="16" spans="1:32" ht="14.4" customHeight="1" thickBot="1" x14ac:dyDescent="0.3">
      <c r="A16" s="135"/>
      <c r="B16" s="232" t="s">
        <v>2</v>
      </c>
      <c r="C16" s="233"/>
      <c r="D16" s="233"/>
      <c r="E16" s="233"/>
      <c r="F16" s="233"/>
      <c r="G16" s="233"/>
      <c r="H16" s="233"/>
      <c r="I16" s="233"/>
      <c r="J16" s="233"/>
      <c r="K16" s="233"/>
      <c r="L16" s="233"/>
      <c r="M16" s="233"/>
      <c r="N16" s="233"/>
      <c r="O16" s="233"/>
      <c r="P16" s="233"/>
      <c r="Q16" s="233"/>
      <c r="R16" s="233"/>
      <c r="S16" s="233"/>
      <c r="T16" s="233"/>
      <c r="U16" s="233"/>
      <c r="V16" s="233"/>
      <c r="W16" s="233"/>
      <c r="X16" s="233"/>
      <c r="Y16" s="233"/>
      <c r="Z16" s="233"/>
      <c r="AA16" s="233"/>
      <c r="AB16" s="233"/>
      <c r="AC16" s="233"/>
      <c r="AD16" s="234"/>
      <c r="AE16" s="135"/>
      <c r="AF16" s="90"/>
    </row>
    <row r="17" spans="1:32" ht="14.4" customHeight="1" thickBot="1" x14ac:dyDescent="0.3">
      <c r="A17" s="135"/>
      <c r="B17" s="241" t="s">
        <v>5</v>
      </c>
      <c r="C17" s="233"/>
      <c r="D17" s="233"/>
      <c r="E17" s="233"/>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5"/>
      <c r="AF17" s="90"/>
    </row>
    <row r="18" spans="1:32" ht="15" customHeight="1" x14ac:dyDescent="0.25">
      <c r="A18" s="135"/>
      <c r="B18" s="64">
        <v>1</v>
      </c>
      <c r="C18" s="211" t="str">
        <f>IF('INPUT DATA'!K11="","",'INPUT DATA'!K11)</f>
        <v/>
      </c>
      <c r="D18" s="205"/>
      <c r="E18" s="205"/>
      <c r="F18" s="120"/>
      <c r="G18" s="121"/>
      <c r="H18" s="121"/>
      <c r="I18" s="121"/>
      <c r="J18" s="122"/>
      <c r="K18" s="142" t="str">
        <f t="shared" ref="K18:K81" si="0">IF(COUNT($F18:$J18)=0,"",SUM($F18:$J18))</f>
        <v/>
      </c>
      <c r="L18" s="142" t="str">
        <f t="shared" ref="L18:L67" si="1">IF(COUNT(F18:J18)=0,"",IFERROR(K18/$K$15*$L$15,""))</f>
        <v/>
      </c>
      <c r="M18" s="145" t="str">
        <f t="shared" ref="M18:M67" si="2">IF(L18="","",L18*$M$15)</f>
        <v/>
      </c>
      <c r="N18" s="120"/>
      <c r="O18" s="121"/>
      <c r="P18" s="122"/>
      <c r="Q18" s="142" t="str">
        <f t="shared" ref="Q18:Q67" si="3">IF(COUNT(N18:P18)=0,"",SUM(N18:P18))</f>
        <v/>
      </c>
      <c r="R18" s="142" t="str">
        <f t="shared" ref="R18:R67" si="4">IF(COUNT(N18:P18)=0,"",IFERROR(Q18/$Q$15*$R$15,""))</f>
        <v/>
      </c>
      <c r="S18" s="142" t="str">
        <f t="shared" ref="S18:S67" si="5">IF(R18="","",R18*$S$15)</f>
        <v/>
      </c>
      <c r="T18" s="120"/>
      <c r="U18" s="121"/>
      <c r="V18" s="122"/>
      <c r="W18" s="142" t="str">
        <f t="shared" ref="W18:W67" si="6">IF(T18="","",IFERROR(T18/$T$15*$W$15,""))</f>
        <v/>
      </c>
      <c r="X18" s="142" t="str">
        <f t="shared" ref="X18:X67" si="7">IF(U18="","",IFERROR(U18/$U$15*$X$15,""))</f>
        <v/>
      </c>
      <c r="Y18" s="142" t="str">
        <f t="shared" ref="Y18:Y67" si="8">IF(V18="","",IFERROR(V18/$V$15*$Y$15,""))</f>
        <v/>
      </c>
      <c r="Z18" s="149" t="str">
        <f t="shared" ref="Z18:Z67" si="9">IF(COUNT(T18:V18)=0,"",SUM(W18:Y18))</f>
        <v/>
      </c>
      <c r="AA18" s="142" t="str">
        <f t="shared" ref="AA18:AA67" si="10">IF(Z18="","",Z18*$AA$15)</f>
        <v/>
      </c>
      <c r="AB18" s="151" t="str">
        <f t="shared" ref="AB18:AB67" si="11">IF(COUNT(F18:J18,N18:P18,T18:V18)=0,"",SUM(M18,S18,AA18))</f>
        <v/>
      </c>
      <c r="AC18" s="157" t="str">
        <f>IF(AB18="","",IFERROR(INDEX(HELPER!$D$8:$D$48,IF(AB18&gt;=HELPER!$B$8,1,MATCH(AB18,HELPER!$B$8:$B$48,-1)+1)),""))</f>
        <v/>
      </c>
      <c r="AD18" s="154" t="str">
        <f>IF(AC18="","",IFERROR(VLOOKUP(AC18,HELPER!$F$8:$G$48,2,FALSE),""))</f>
        <v/>
      </c>
      <c r="AE18" s="135"/>
      <c r="AF18" s="90"/>
    </row>
    <row r="19" spans="1:32" ht="15" customHeight="1" x14ac:dyDescent="0.25">
      <c r="A19" s="135"/>
      <c r="B19" s="65">
        <v>2</v>
      </c>
      <c r="C19" s="211" t="str">
        <f>IF('INPUT DATA'!K12="","",'INPUT DATA'!K12)</f>
        <v/>
      </c>
      <c r="D19" s="205"/>
      <c r="E19" s="205"/>
      <c r="F19" s="123"/>
      <c r="G19" s="119"/>
      <c r="H19" s="119"/>
      <c r="I19" s="119"/>
      <c r="J19" s="124"/>
      <c r="K19" s="143" t="str">
        <f t="shared" si="0"/>
        <v/>
      </c>
      <c r="L19" s="143" t="str">
        <f t="shared" si="1"/>
        <v/>
      </c>
      <c r="M19" s="146" t="str">
        <f t="shared" si="2"/>
        <v/>
      </c>
      <c r="N19" s="123"/>
      <c r="O19" s="119"/>
      <c r="P19" s="124"/>
      <c r="Q19" s="143" t="str">
        <f t="shared" si="3"/>
        <v/>
      </c>
      <c r="R19" s="143" t="str">
        <f t="shared" si="4"/>
        <v/>
      </c>
      <c r="S19" s="143" t="str">
        <f t="shared" si="5"/>
        <v/>
      </c>
      <c r="T19" s="123"/>
      <c r="U19" s="119"/>
      <c r="V19" s="124"/>
      <c r="W19" s="143" t="str">
        <f t="shared" si="6"/>
        <v/>
      </c>
      <c r="X19" s="143" t="str">
        <f t="shared" si="7"/>
        <v/>
      </c>
      <c r="Y19" s="143" t="str">
        <f t="shared" si="8"/>
        <v/>
      </c>
      <c r="Z19" s="150" t="str">
        <f t="shared" si="9"/>
        <v/>
      </c>
      <c r="AA19" s="143" t="str">
        <f t="shared" si="10"/>
        <v/>
      </c>
      <c r="AB19" s="152" t="str">
        <f t="shared" si="11"/>
        <v/>
      </c>
      <c r="AC19" s="158" t="str">
        <f>IF(AB19="","",IFERROR(INDEX(HELPER!$D$8:$D$48,IF(AB19&gt;=HELPER!$B$8,1,MATCH(AB19,HELPER!$B$8:$B$48,-1)+1)),""))</f>
        <v/>
      </c>
      <c r="AD19" s="155" t="str">
        <f>IF(AC19="","",IFERROR(VLOOKUP(AC19,HELPER!$F$8:$G$48,2,FALSE),""))</f>
        <v/>
      </c>
      <c r="AE19" s="135"/>
      <c r="AF19" s="90"/>
    </row>
    <row r="20" spans="1:32" ht="15" customHeight="1" x14ac:dyDescent="0.25">
      <c r="A20" s="135"/>
      <c r="B20" s="65">
        <v>3</v>
      </c>
      <c r="C20" s="211" t="str">
        <f>IF('INPUT DATA'!K13="","",'INPUT DATA'!K13)</f>
        <v/>
      </c>
      <c r="D20" s="205"/>
      <c r="E20" s="205"/>
      <c r="F20" s="123"/>
      <c r="G20" s="119"/>
      <c r="H20" s="119"/>
      <c r="I20" s="119"/>
      <c r="J20" s="124"/>
      <c r="K20" s="143" t="str">
        <f t="shared" si="0"/>
        <v/>
      </c>
      <c r="L20" s="143" t="str">
        <f t="shared" si="1"/>
        <v/>
      </c>
      <c r="M20" s="146" t="str">
        <f t="shared" si="2"/>
        <v/>
      </c>
      <c r="N20" s="123"/>
      <c r="O20" s="119"/>
      <c r="P20" s="124"/>
      <c r="Q20" s="143" t="str">
        <f t="shared" si="3"/>
        <v/>
      </c>
      <c r="R20" s="143" t="str">
        <f t="shared" si="4"/>
        <v/>
      </c>
      <c r="S20" s="143" t="str">
        <f t="shared" si="5"/>
        <v/>
      </c>
      <c r="T20" s="123"/>
      <c r="U20" s="119"/>
      <c r="V20" s="124"/>
      <c r="W20" s="143" t="str">
        <f t="shared" si="6"/>
        <v/>
      </c>
      <c r="X20" s="143" t="str">
        <f t="shared" si="7"/>
        <v/>
      </c>
      <c r="Y20" s="143" t="str">
        <f t="shared" si="8"/>
        <v/>
      </c>
      <c r="Z20" s="150" t="str">
        <f t="shared" si="9"/>
        <v/>
      </c>
      <c r="AA20" s="143" t="str">
        <f t="shared" si="10"/>
        <v/>
      </c>
      <c r="AB20" s="152" t="str">
        <f t="shared" si="11"/>
        <v/>
      </c>
      <c r="AC20" s="158" t="str">
        <f>IF(AB20="","",IFERROR(INDEX(HELPER!$D$8:$D$48,IF(AB20&gt;=HELPER!$B$8,1,MATCH(AB20,HELPER!$B$8:$B$48,-1)+1)),""))</f>
        <v/>
      </c>
      <c r="AD20" s="155" t="str">
        <f>IF(AC20="","",IFERROR(VLOOKUP(AC20,HELPER!$F$8:$G$48,2,FALSE),""))</f>
        <v/>
      </c>
      <c r="AE20" s="135"/>
      <c r="AF20" s="90"/>
    </row>
    <row r="21" spans="1:32" ht="15" customHeight="1" x14ac:dyDescent="0.25">
      <c r="A21" s="135"/>
      <c r="B21" s="65">
        <v>4</v>
      </c>
      <c r="C21" s="211" t="str">
        <f>IF('INPUT DATA'!K14="","",'INPUT DATA'!K14)</f>
        <v/>
      </c>
      <c r="D21" s="205"/>
      <c r="E21" s="205"/>
      <c r="F21" s="123"/>
      <c r="G21" s="119"/>
      <c r="H21" s="119"/>
      <c r="I21" s="119"/>
      <c r="J21" s="124"/>
      <c r="K21" s="143" t="str">
        <f t="shared" si="0"/>
        <v/>
      </c>
      <c r="L21" s="143" t="str">
        <f t="shared" si="1"/>
        <v/>
      </c>
      <c r="M21" s="146" t="str">
        <f t="shared" si="2"/>
        <v/>
      </c>
      <c r="N21" s="123"/>
      <c r="O21" s="119"/>
      <c r="P21" s="124"/>
      <c r="Q21" s="143" t="str">
        <f t="shared" si="3"/>
        <v/>
      </c>
      <c r="R21" s="143" t="str">
        <f t="shared" si="4"/>
        <v/>
      </c>
      <c r="S21" s="143" t="str">
        <f t="shared" si="5"/>
        <v/>
      </c>
      <c r="T21" s="123"/>
      <c r="U21" s="119"/>
      <c r="V21" s="124"/>
      <c r="W21" s="143" t="str">
        <f t="shared" si="6"/>
        <v/>
      </c>
      <c r="X21" s="143" t="str">
        <f t="shared" si="7"/>
        <v/>
      </c>
      <c r="Y21" s="143" t="str">
        <f t="shared" si="8"/>
        <v/>
      </c>
      <c r="Z21" s="150" t="str">
        <f t="shared" si="9"/>
        <v/>
      </c>
      <c r="AA21" s="143" t="str">
        <f t="shared" si="10"/>
        <v/>
      </c>
      <c r="AB21" s="152" t="str">
        <f t="shared" si="11"/>
        <v/>
      </c>
      <c r="AC21" s="158" t="str">
        <f>IF(AB21="","",IFERROR(INDEX(HELPER!$D$8:$D$48,IF(AB21&gt;=HELPER!$B$8,1,MATCH(AB21,HELPER!$B$8:$B$48,-1)+1)),""))</f>
        <v/>
      </c>
      <c r="AD21" s="155" t="str">
        <f>IF(AC21="","",IFERROR(VLOOKUP(AC21,HELPER!$F$8:$G$48,2,FALSE),""))</f>
        <v/>
      </c>
      <c r="AE21" s="135"/>
      <c r="AF21" s="90"/>
    </row>
    <row r="22" spans="1:32" ht="15" customHeight="1" x14ac:dyDescent="0.25">
      <c r="A22" s="135"/>
      <c r="B22" s="65">
        <v>5</v>
      </c>
      <c r="C22" s="204" t="str">
        <f>IF('INPUT DATA'!K15="","",'INPUT DATA'!K15)</f>
        <v/>
      </c>
      <c r="D22" s="205"/>
      <c r="E22" s="205"/>
      <c r="F22" s="123"/>
      <c r="G22" s="119"/>
      <c r="H22" s="119"/>
      <c r="I22" s="119"/>
      <c r="J22" s="124"/>
      <c r="K22" s="143" t="str">
        <f t="shared" si="0"/>
        <v/>
      </c>
      <c r="L22" s="143" t="str">
        <f t="shared" si="1"/>
        <v/>
      </c>
      <c r="M22" s="146" t="str">
        <f t="shared" si="2"/>
        <v/>
      </c>
      <c r="N22" s="123"/>
      <c r="O22" s="119"/>
      <c r="P22" s="124"/>
      <c r="Q22" s="143" t="str">
        <f t="shared" si="3"/>
        <v/>
      </c>
      <c r="R22" s="143" t="str">
        <f t="shared" si="4"/>
        <v/>
      </c>
      <c r="S22" s="143" t="str">
        <f t="shared" si="5"/>
        <v/>
      </c>
      <c r="T22" s="123"/>
      <c r="U22" s="119"/>
      <c r="V22" s="124"/>
      <c r="W22" s="143" t="str">
        <f t="shared" si="6"/>
        <v/>
      </c>
      <c r="X22" s="143" t="str">
        <f t="shared" si="7"/>
        <v/>
      </c>
      <c r="Y22" s="143" t="str">
        <f t="shared" si="8"/>
        <v/>
      </c>
      <c r="Z22" s="150" t="str">
        <f t="shared" si="9"/>
        <v/>
      </c>
      <c r="AA22" s="143" t="str">
        <f t="shared" si="10"/>
        <v/>
      </c>
      <c r="AB22" s="152" t="str">
        <f t="shared" si="11"/>
        <v/>
      </c>
      <c r="AC22" s="158" t="str">
        <f>IF(AB22="","",IFERROR(INDEX(HELPER!$D$8:$D$48,IF(AB22&gt;=HELPER!$B$8,1,MATCH(AB22,HELPER!$B$8:$B$48,-1)+1)),""))</f>
        <v/>
      </c>
      <c r="AD22" s="155" t="str">
        <f>IF(AC22="","",IFERROR(VLOOKUP(AC22,HELPER!$F$8:$G$48,2,FALSE),""))</f>
        <v/>
      </c>
      <c r="AE22" s="135"/>
      <c r="AF22" s="90"/>
    </row>
    <row r="23" spans="1:32" ht="15" customHeight="1" x14ac:dyDescent="0.25">
      <c r="A23" s="135"/>
      <c r="B23" s="65">
        <v>6</v>
      </c>
      <c r="C23" s="204" t="str">
        <f>IF('INPUT DATA'!K16="","",'INPUT DATA'!K16)</f>
        <v/>
      </c>
      <c r="D23" s="205"/>
      <c r="E23" s="205"/>
      <c r="F23" s="123"/>
      <c r="G23" s="119"/>
      <c r="H23" s="119"/>
      <c r="I23" s="119"/>
      <c r="J23" s="124"/>
      <c r="K23" s="143" t="str">
        <f t="shared" si="0"/>
        <v/>
      </c>
      <c r="L23" s="143" t="str">
        <f t="shared" si="1"/>
        <v/>
      </c>
      <c r="M23" s="146" t="str">
        <f t="shared" si="2"/>
        <v/>
      </c>
      <c r="N23" s="123"/>
      <c r="O23" s="119"/>
      <c r="P23" s="124"/>
      <c r="Q23" s="143" t="str">
        <f t="shared" si="3"/>
        <v/>
      </c>
      <c r="R23" s="143" t="str">
        <f t="shared" si="4"/>
        <v/>
      </c>
      <c r="S23" s="143" t="str">
        <f t="shared" si="5"/>
        <v/>
      </c>
      <c r="T23" s="123"/>
      <c r="U23" s="119"/>
      <c r="V23" s="124"/>
      <c r="W23" s="143" t="str">
        <f t="shared" si="6"/>
        <v/>
      </c>
      <c r="X23" s="143" t="str">
        <f t="shared" si="7"/>
        <v/>
      </c>
      <c r="Y23" s="143" t="str">
        <f t="shared" si="8"/>
        <v/>
      </c>
      <c r="Z23" s="150" t="str">
        <f t="shared" si="9"/>
        <v/>
      </c>
      <c r="AA23" s="143" t="str">
        <f t="shared" si="10"/>
        <v/>
      </c>
      <c r="AB23" s="152" t="str">
        <f t="shared" si="11"/>
        <v/>
      </c>
      <c r="AC23" s="158" t="str">
        <f>IF(AB23="","",IFERROR(INDEX(HELPER!$D$8:$D$48,IF(AB23&gt;=HELPER!$B$8,1,MATCH(AB23,HELPER!$B$8:$B$48,-1)+1)),""))</f>
        <v/>
      </c>
      <c r="AD23" s="155" t="str">
        <f>IF(AC23="","",IFERROR(VLOOKUP(AC23,HELPER!$F$8:$G$48,2,FALSE),""))</f>
        <v/>
      </c>
      <c r="AE23" s="135"/>
      <c r="AF23" s="90"/>
    </row>
    <row r="24" spans="1:32" ht="15" customHeight="1" x14ac:dyDescent="0.25">
      <c r="A24" s="135"/>
      <c r="B24" s="65">
        <v>7</v>
      </c>
      <c r="C24" s="204" t="str">
        <f>IF('INPUT DATA'!K17="","",'INPUT DATA'!K17)</f>
        <v/>
      </c>
      <c r="D24" s="205"/>
      <c r="E24" s="205"/>
      <c r="F24" s="123"/>
      <c r="G24" s="119"/>
      <c r="H24" s="119"/>
      <c r="I24" s="119"/>
      <c r="J24" s="124"/>
      <c r="K24" s="143" t="str">
        <f t="shared" si="0"/>
        <v/>
      </c>
      <c r="L24" s="143" t="str">
        <f t="shared" si="1"/>
        <v/>
      </c>
      <c r="M24" s="146" t="str">
        <f t="shared" si="2"/>
        <v/>
      </c>
      <c r="N24" s="123"/>
      <c r="O24" s="119"/>
      <c r="P24" s="124"/>
      <c r="Q24" s="143" t="str">
        <f t="shared" si="3"/>
        <v/>
      </c>
      <c r="R24" s="143" t="str">
        <f t="shared" si="4"/>
        <v/>
      </c>
      <c r="S24" s="143" t="str">
        <f t="shared" si="5"/>
        <v/>
      </c>
      <c r="T24" s="123"/>
      <c r="U24" s="119"/>
      <c r="V24" s="124"/>
      <c r="W24" s="143" t="str">
        <f t="shared" si="6"/>
        <v/>
      </c>
      <c r="X24" s="143" t="str">
        <f t="shared" si="7"/>
        <v/>
      </c>
      <c r="Y24" s="143" t="str">
        <f t="shared" si="8"/>
        <v/>
      </c>
      <c r="Z24" s="150" t="str">
        <f t="shared" si="9"/>
        <v/>
      </c>
      <c r="AA24" s="143" t="str">
        <f t="shared" si="10"/>
        <v/>
      </c>
      <c r="AB24" s="152" t="str">
        <f t="shared" si="11"/>
        <v/>
      </c>
      <c r="AC24" s="158" t="str">
        <f>IF(AB24="","",IFERROR(INDEX(HELPER!$D$8:$D$48,IF(AB24&gt;=HELPER!$B$8,1,MATCH(AB24,HELPER!$B$8:$B$48,-1)+1)),""))</f>
        <v/>
      </c>
      <c r="AD24" s="155" t="str">
        <f>IF(AC24="","",IFERROR(VLOOKUP(AC24,HELPER!$F$8:$G$48,2,FALSE),""))</f>
        <v/>
      </c>
      <c r="AE24" s="135"/>
      <c r="AF24" s="90"/>
    </row>
    <row r="25" spans="1:32" ht="15" customHeight="1" x14ac:dyDescent="0.25">
      <c r="A25" s="135"/>
      <c r="B25" s="65">
        <v>8</v>
      </c>
      <c r="C25" s="204" t="str">
        <f>IF('INPUT DATA'!K18="","",'INPUT DATA'!K18)</f>
        <v/>
      </c>
      <c r="D25" s="205"/>
      <c r="E25" s="205"/>
      <c r="F25" s="123"/>
      <c r="G25" s="119"/>
      <c r="H25" s="119"/>
      <c r="I25" s="119"/>
      <c r="J25" s="124"/>
      <c r="K25" s="143" t="str">
        <f t="shared" si="0"/>
        <v/>
      </c>
      <c r="L25" s="143" t="str">
        <f t="shared" si="1"/>
        <v/>
      </c>
      <c r="M25" s="146" t="str">
        <f t="shared" si="2"/>
        <v/>
      </c>
      <c r="N25" s="123"/>
      <c r="O25" s="119"/>
      <c r="P25" s="124"/>
      <c r="Q25" s="143" t="str">
        <f t="shared" si="3"/>
        <v/>
      </c>
      <c r="R25" s="143" t="str">
        <f t="shared" si="4"/>
        <v/>
      </c>
      <c r="S25" s="143" t="str">
        <f t="shared" si="5"/>
        <v/>
      </c>
      <c r="T25" s="123"/>
      <c r="U25" s="119"/>
      <c r="V25" s="124"/>
      <c r="W25" s="143" t="str">
        <f t="shared" si="6"/>
        <v/>
      </c>
      <c r="X25" s="143" t="str">
        <f t="shared" si="7"/>
        <v/>
      </c>
      <c r="Y25" s="143" t="str">
        <f t="shared" si="8"/>
        <v/>
      </c>
      <c r="Z25" s="150" t="str">
        <f t="shared" si="9"/>
        <v/>
      </c>
      <c r="AA25" s="143" t="str">
        <f t="shared" si="10"/>
        <v/>
      </c>
      <c r="AB25" s="152" t="str">
        <f t="shared" si="11"/>
        <v/>
      </c>
      <c r="AC25" s="158" t="str">
        <f>IF(AB25="","",IFERROR(INDEX(HELPER!$D$8:$D$48,IF(AB25&gt;=HELPER!$B$8,1,MATCH(AB25,HELPER!$B$8:$B$48,-1)+1)),""))</f>
        <v/>
      </c>
      <c r="AD25" s="155" t="str">
        <f>IF(AC25="","",IFERROR(VLOOKUP(AC25,HELPER!$F$8:$G$48,2,FALSE),""))</f>
        <v/>
      </c>
      <c r="AE25" s="135"/>
      <c r="AF25" s="90"/>
    </row>
    <row r="26" spans="1:32" ht="15" customHeight="1" x14ac:dyDescent="0.25">
      <c r="A26" s="135"/>
      <c r="B26" s="65">
        <v>9</v>
      </c>
      <c r="C26" s="204" t="str">
        <f>IF('INPUT DATA'!K19="","",'INPUT DATA'!K19)</f>
        <v/>
      </c>
      <c r="D26" s="205"/>
      <c r="E26" s="205"/>
      <c r="F26" s="123"/>
      <c r="G26" s="119"/>
      <c r="H26" s="119"/>
      <c r="I26" s="119"/>
      <c r="J26" s="124"/>
      <c r="K26" s="143" t="str">
        <f t="shared" si="0"/>
        <v/>
      </c>
      <c r="L26" s="143" t="str">
        <f t="shared" si="1"/>
        <v/>
      </c>
      <c r="M26" s="146" t="str">
        <f t="shared" si="2"/>
        <v/>
      </c>
      <c r="N26" s="123"/>
      <c r="O26" s="119"/>
      <c r="P26" s="124"/>
      <c r="Q26" s="143" t="str">
        <f t="shared" si="3"/>
        <v/>
      </c>
      <c r="R26" s="143" t="str">
        <f t="shared" si="4"/>
        <v/>
      </c>
      <c r="S26" s="143" t="str">
        <f t="shared" si="5"/>
        <v/>
      </c>
      <c r="T26" s="123"/>
      <c r="U26" s="119"/>
      <c r="V26" s="124"/>
      <c r="W26" s="143" t="str">
        <f t="shared" si="6"/>
        <v/>
      </c>
      <c r="X26" s="143" t="str">
        <f t="shared" si="7"/>
        <v/>
      </c>
      <c r="Y26" s="143" t="str">
        <f t="shared" si="8"/>
        <v/>
      </c>
      <c r="Z26" s="150" t="str">
        <f t="shared" si="9"/>
        <v/>
      </c>
      <c r="AA26" s="143" t="str">
        <f t="shared" si="10"/>
        <v/>
      </c>
      <c r="AB26" s="152" t="str">
        <f t="shared" si="11"/>
        <v/>
      </c>
      <c r="AC26" s="158" t="str">
        <f>IF(AB26="","",IFERROR(INDEX(HELPER!$D$8:$D$48,IF(AB26&gt;=HELPER!$B$8,1,MATCH(AB26,HELPER!$B$8:$B$48,-1)+1)),""))</f>
        <v/>
      </c>
      <c r="AD26" s="155" t="str">
        <f>IF(AC26="","",IFERROR(VLOOKUP(AC26,HELPER!$F$8:$G$48,2,FALSE),""))</f>
        <v/>
      </c>
      <c r="AE26" s="135"/>
      <c r="AF26" s="90"/>
    </row>
    <row r="27" spans="1:32" ht="15" customHeight="1" x14ac:dyDescent="0.25">
      <c r="A27" s="135"/>
      <c r="B27" s="65">
        <v>10</v>
      </c>
      <c r="C27" s="204" t="str">
        <f>IF('INPUT DATA'!K20="","",'INPUT DATA'!K20)</f>
        <v/>
      </c>
      <c r="D27" s="205"/>
      <c r="E27" s="205"/>
      <c r="F27" s="123"/>
      <c r="G27" s="119"/>
      <c r="H27" s="119"/>
      <c r="I27" s="119"/>
      <c r="J27" s="124"/>
      <c r="K27" s="143" t="str">
        <f t="shared" si="0"/>
        <v/>
      </c>
      <c r="L27" s="143" t="str">
        <f t="shared" si="1"/>
        <v/>
      </c>
      <c r="M27" s="146" t="str">
        <f t="shared" si="2"/>
        <v/>
      </c>
      <c r="N27" s="123"/>
      <c r="O27" s="119"/>
      <c r="P27" s="124"/>
      <c r="Q27" s="143" t="str">
        <f t="shared" si="3"/>
        <v/>
      </c>
      <c r="R27" s="143" t="str">
        <f t="shared" si="4"/>
        <v/>
      </c>
      <c r="S27" s="143" t="str">
        <f t="shared" si="5"/>
        <v/>
      </c>
      <c r="T27" s="123"/>
      <c r="U27" s="119"/>
      <c r="V27" s="124"/>
      <c r="W27" s="143" t="str">
        <f t="shared" si="6"/>
        <v/>
      </c>
      <c r="X27" s="143" t="str">
        <f t="shared" si="7"/>
        <v/>
      </c>
      <c r="Y27" s="143" t="str">
        <f t="shared" si="8"/>
        <v/>
      </c>
      <c r="Z27" s="150" t="str">
        <f t="shared" si="9"/>
        <v/>
      </c>
      <c r="AA27" s="143" t="str">
        <f t="shared" si="10"/>
        <v/>
      </c>
      <c r="AB27" s="152" t="str">
        <f t="shared" si="11"/>
        <v/>
      </c>
      <c r="AC27" s="158" t="str">
        <f>IF(AB27="","",IFERROR(INDEX(HELPER!$D$8:$D$48,IF(AB27&gt;=HELPER!$B$8,1,MATCH(AB27,HELPER!$B$8:$B$48,-1)+1)),""))</f>
        <v/>
      </c>
      <c r="AD27" s="155" t="str">
        <f>IF(AC27="","",IFERROR(VLOOKUP(AC27,HELPER!$F$8:$G$48,2,FALSE),""))</f>
        <v/>
      </c>
      <c r="AE27" s="135"/>
      <c r="AF27" s="90"/>
    </row>
    <row r="28" spans="1:32" ht="15" customHeight="1" x14ac:dyDescent="0.25">
      <c r="A28" s="135"/>
      <c r="B28" s="65">
        <v>11</v>
      </c>
      <c r="C28" s="204" t="str">
        <f>IF('INPUT DATA'!K21="","",'INPUT DATA'!K21)</f>
        <v/>
      </c>
      <c r="D28" s="205"/>
      <c r="E28" s="205"/>
      <c r="F28" s="123"/>
      <c r="G28" s="119"/>
      <c r="H28" s="119"/>
      <c r="I28" s="119"/>
      <c r="J28" s="124"/>
      <c r="K28" s="143" t="str">
        <f t="shared" si="0"/>
        <v/>
      </c>
      <c r="L28" s="143" t="str">
        <f t="shared" si="1"/>
        <v/>
      </c>
      <c r="M28" s="146" t="str">
        <f t="shared" si="2"/>
        <v/>
      </c>
      <c r="N28" s="123"/>
      <c r="O28" s="119"/>
      <c r="P28" s="124"/>
      <c r="Q28" s="143" t="str">
        <f t="shared" si="3"/>
        <v/>
      </c>
      <c r="R28" s="143" t="str">
        <f t="shared" si="4"/>
        <v/>
      </c>
      <c r="S28" s="143" t="str">
        <f t="shared" si="5"/>
        <v/>
      </c>
      <c r="T28" s="123"/>
      <c r="U28" s="119"/>
      <c r="V28" s="124"/>
      <c r="W28" s="143" t="str">
        <f t="shared" si="6"/>
        <v/>
      </c>
      <c r="X28" s="143" t="str">
        <f t="shared" si="7"/>
        <v/>
      </c>
      <c r="Y28" s="143" t="str">
        <f t="shared" si="8"/>
        <v/>
      </c>
      <c r="Z28" s="150" t="str">
        <f t="shared" si="9"/>
        <v/>
      </c>
      <c r="AA28" s="143" t="str">
        <f t="shared" si="10"/>
        <v/>
      </c>
      <c r="AB28" s="152" t="str">
        <f t="shared" si="11"/>
        <v/>
      </c>
      <c r="AC28" s="158" t="str">
        <f>IF(AB28="","",IFERROR(INDEX(HELPER!$D$8:$D$48,IF(AB28&gt;=HELPER!$B$8,1,MATCH(AB28,HELPER!$B$8:$B$48,-1)+1)),""))</f>
        <v/>
      </c>
      <c r="AD28" s="155" t="str">
        <f>IF(AC28="","",IFERROR(VLOOKUP(AC28,HELPER!$F$8:$G$48,2,FALSE),""))</f>
        <v/>
      </c>
      <c r="AE28" s="135"/>
      <c r="AF28" s="90"/>
    </row>
    <row r="29" spans="1:32" ht="15" customHeight="1" x14ac:dyDescent="0.25">
      <c r="A29" s="135"/>
      <c r="B29" s="65">
        <v>12</v>
      </c>
      <c r="C29" s="204" t="str">
        <f>IF('INPUT DATA'!K22="","",'INPUT DATA'!K22)</f>
        <v/>
      </c>
      <c r="D29" s="205"/>
      <c r="E29" s="205"/>
      <c r="F29" s="123"/>
      <c r="G29" s="119"/>
      <c r="H29" s="119"/>
      <c r="I29" s="119"/>
      <c r="J29" s="124"/>
      <c r="K29" s="143" t="str">
        <f t="shared" si="0"/>
        <v/>
      </c>
      <c r="L29" s="143" t="str">
        <f t="shared" si="1"/>
        <v/>
      </c>
      <c r="M29" s="146" t="str">
        <f t="shared" si="2"/>
        <v/>
      </c>
      <c r="N29" s="123"/>
      <c r="O29" s="119"/>
      <c r="P29" s="124"/>
      <c r="Q29" s="143" t="str">
        <f t="shared" si="3"/>
        <v/>
      </c>
      <c r="R29" s="143" t="str">
        <f t="shared" si="4"/>
        <v/>
      </c>
      <c r="S29" s="143" t="str">
        <f t="shared" si="5"/>
        <v/>
      </c>
      <c r="T29" s="123"/>
      <c r="U29" s="119"/>
      <c r="V29" s="124"/>
      <c r="W29" s="143" t="str">
        <f t="shared" si="6"/>
        <v/>
      </c>
      <c r="X29" s="143" t="str">
        <f t="shared" si="7"/>
        <v/>
      </c>
      <c r="Y29" s="143" t="str">
        <f t="shared" si="8"/>
        <v/>
      </c>
      <c r="Z29" s="150" t="str">
        <f t="shared" si="9"/>
        <v/>
      </c>
      <c r="AA29" s="143" t="str">
        <f t="shared" si="10"/>
        <v/>
      </c>
      <c r="AB29" s="152" t="str">
        <f t="shared" si="11"/>
        <v/>
      </c>
      <c r="AC29" s="158" t="str">
        <f>IF(AB29="","",IFERROR(INDEX(HELPER!$D$8:$D$48,IF(AB29&gt;=HELPER!$B$8,1,MATCH(AB29,HELPER!$B$8:$B$48,-1)+1)),""))</f>
        <v/>
      </c>
      <c r="AD29" s="155" t="str">
        <f>IF(AC29="","",IFERROR(VLOOKUP(AC29,HELPER!$F$8:$G$48,2,FALSE),""))</f>
        <v/>
      </c>
      <c r="AE29" s="135"/>
      <c r="AF29" s="90"/>
    </row>
    <row r="30" spans="1:32" ht="15" customHeight="1" x14ac:dyDescent="0.25">
      <c r="A30" s="135"/>
      <c r="B30" s="65">
        <v>13</v>
      </c>
      <c r="C30" s="204" t="str">
        <f>IF('INPUT DATA'!K23="","",'INPUT DATA'!K23)</f>
        <v/>
      </c>
      <c r="D30" s="205"/>
      <c r="E30" s="205"/>
      <c r="F30" s="123"/>
      <c r="G30" s="119"/>
      <c r="H30" s="119"/>
      <c r="I30" s="119"/>
      <c r="J30" s="124"/>
      <c r="K30" s="143" t="str">
        <f t="shared" si="0"/>
        <v/>
      </c>
      <c r="L30" s="143" t="str">
        <f t="shared" si="1"/>
        <v/>
      </c>
      <c r="M30" s="146" t="str">
        <f t="shared" si="2"/>
        <v/>
      </c>
      <c r="N30" s="123"/>
      <c r="O30" s="119"/>
      <c r="P30" s="124"/>
      <c r="Q30" s="143" t="str">
        <f t="shared" si="3"/>
        <v/>
      </c>
      <c r="R30" s="143" t="str">
        <f t="shared" si="4"/>
        <v/>
      </c>
      <c r="S30" s="143" t="str">
        <f t="shared" si="5"/>
        <v/>
      </c>
      <c r="T30" s="123"/>
      <c r="U30" s="119"/>
      <c r="V30" s="124"/>
      <c r="W30" s="143" t="str">
        <f t="shared" si="6"/>
        <v/>
      </c>
      <c r="X30" s="143" t="str">
        <f t="shared" si="7"/>
        <v/>
      </c>
      <c r="Y30" s="143" t="str">
        <f t="shared" si="8"/>
        <v/>
      </c>
      <c r="Z30" s="150" t="str">
        <f t="shared" si="9"/>
        <v/>
      </c>
      <c r="AA30" s="143" t="str">
        <f t="shared" si="10"/>
        <v/>
      </c>
      <c r="AB30" s="152" t="str">
        <f t="shared" si="11"/>
        <v/>
      </c>
      <c r="AC30" s="158" t="str">
        <f>IF(AB30="","",IFERROR(INDEX(HELPER!$D$8:$D$48,IF(AB30&gt;=HELPER!$B$8,1,MATCH(AB30,HELPER!$B$8:$B$48,-1)+1)),""))</f>
        <v/>
      </c>
      <c r="AD30" s="155" t="str">
        <f>IF(AC30="","",IFERROR(VLOOKUP(AC30,HELPER!$F$8:$G$48,2,FALSE),""))</f>
        <v/>
      </c>
      <c r="AE30" s="135"/>
      <c r="AF30" s="90"/>
    </row>
    <row r="31" spans="1:32" ht="15" customHeight="1" x14ac:dyDescent="0.25">
      <c r="A31" s="135"/>
      <c r="B31" s="65">
        <v>14</v>
      </c>
      <c r="C31" s="204" t="str">
        <f>IF('INPUT DATA'!K24="","",'INPUT DATA'!K24)</f>
        <v/>
      </c>
      <c r="D31" s="205"/>
      <c r="E31" s="205"/>
      <c r="F31" s="123"/>
      <c r="G31" s="119"/>
      <c r="H31" s="119"/>
      <c r="I31" s="119"/>
      <c r="J31" s="124"/>
      <c r="K31" s="143" t="str">
        <f t="shared" si="0"/>
        <v/>
      </c>
      <c r="L31" s="143" t="str">
        <f t="shared" si="1"/>
        <v/>
      </c>
      <c r="M31" s="146" t="str">
        <f t="shared" si="2"/>
        <v/>
      </c>
      <c r="N31" s="123"/>
      <c r="O31" s="119"/>
      <c r="P31" s="124"/>
      <c r="Q31" s="143" t="str">
        <f t="shared" si="3"/>
        <v/>
      </c>
      <c r="R31" s="143" t="str">
        <f t="shared" si="4"/>
        <v/>
      </c>
      <c r="S31" s="143" t="str">
        <f t="shared" si="5"/>
        <v/>
      </c>
      <c r="T31" s="123"/>
      <c r="U31" s="119"/>
      <c r="V31" s="124"/>
      <c r="W31" s="143" t="str">
        <f t="shared" si="6"/>
        <v/>
      </c>
      <c r="X31" s="143" t="str">
        <f t="shared" si="7"/>
        <v/>
      </c>
      <c r="Y31" s="143" t="str">
        <f t="shared" si="8"/>
        <v/>
      </c>
      <c r="Z31" s="150" t="str">
        <f t="shared" si="9"/>
        <v/>
      </c>
      <c r="AA31" s="143" t="str">
        <f t="shared" si="10"/>
        <v/>
      </c>
      <c r="AB31" s="152" t="str">
        <f t="shared" si="11"/>
        <v/>
      </c>
      <c r="AC31" s="158" t="str">
        <f>IF(AB31="","",IFERROR(INDEX(HELPER!$D$8:$D$48,IF(AB31&gt;=HELPER!$B$8,1,MATCH(AB31,HELPER!$B$8:$B$48,-1)+1)),""))</f>
        <v/>
      </c>
      <c r="AD31" s="155" t="str">
        <f>IF(AC31="","",IFERROR(VLOOKUP(AC31,HELPER!$F$8:$G$48,2,FALSE),""))</f>
        <v/>
      </c>
      <c r="AE31" s="135"/>
      <c r="AF31" s="90"/>
    </row>
    <row r="32" spans="1:32" ht="15" customHeight="1" x14ac:dyDescent="0.25">
      <c r="A32" s="135"/>
      <c r="B32" s="65">
        <v>15</v>
      </c>
      <c r="C32" s="204" t="str">
        <f>IF('INPUT DATA'!K25="","",'INPUT DATA'!K25)</f>
        <v/>
      </c>
      <c r="D32" s="205"/>
      <c r="E32" s="205"/>
      <c r="F32" s="123"/>
      <c r="G32" s="119"/>
      <c r="H32" s="119"/>
      <c r="I32" s="119"/>
      <c r="J32" s="124"/>
      <c r="K32" s="143" t="str">
        <f t="shared" si="0"/>
        <v/>
      </c>
      <c r="L32" s="143" t="str">
        <f t="shared" si="1"/>
        <v/>
      </c>
      <c r="M32" s="146" t="str">
        <f t="shared" si="2"/>
        <v/>
      </c>
      <c r="N32" s="123"/>
      <c r="O32" s="119"/>
      <c r="P32" s="124"/>
      <c r="Q32" s="143" t="str">
        <f t="shared" si="3"/>
        <v/>
      </c>
      <c r="R32" s="143" t="str">
        <f t="shared" si="4"/>
        <v/>
      </c>
      <c r="S32" s="143" t="str">
        <f t="shared" si="5"/>
        <v/>
      </c>
      <c r="T32" s="123"/>
      <c r="U32" s="119"/>
      <c r="V32" s="124"/>
      <c r="W32" s="143" t="str">
        <f t="shared" si="6"/>
        <v/>
      </c>
      <c r="X32" s="143" t="str">
        <f t="shared" si="7"/>
        <v/>
      </c>
      <c r="Y32" s="143" t="str">
        <f t="shared" si="8"/>
        <v/>
      </c>
      <c r="Z32" s="150" t="str">
        <f t="shared" si="9"/>
        <v/>
      </c>
      <c r="AA32" s="143" t="str">
        <f t="shared" si="10"/>
        <v/>
      </c>
      <c r="AB32" s="152" t="str">
        <f t="shared" si="11"/>
        <v/>
      </c>
      <c r="AC32" s="158" t="str">
        <f>IF(AB32="","",IFERROR(INDEX(HELPER!$D$8:$D$48,IF(AB32&gt;=HELPER!$B$8,1,MATCH(AB32,HELPER!$B$8:$B$48,-1)+1)),""))</f>
        <v/>
      </c>
      <c r="AD32" s="155" t="str">
        <f>IF(AC32="","",IFERROR(VLOOKUP(AC32,HELPER!$F$8:$G$48,2,FALSE),""))</f>
        <v/>
      </c>
      <c r="AE32" s="135"/>
      <c r="AF32" s="90"/>
    </row>
    <row r="33" spans="1:32" ht="15" customHeight="1" x14ac:dyDescent="0.25">
      <c r="A33" s="135"/>
      <c r="B33" s="65">
        <v>16</v>
      </c>
      <c r="C33" s="204" t="str">
        <f>IF('INPUT DATA'!K26="","",'INPUT DATA'!K26)</f>
        <v/>
      </c>
      <c r="D33" s="205"/>
      <c r="E33" s="205"/>
      <c r="F33" s="123"/>
      <c r="G33" s="119"/>
      <c r="H33" s="119"/>
      <c r="I33" s="119"/>
      <c r="J33" s="124"/>
      <c r="K33" s="143" t="str">
        <f t="shared" si="0"/>
        <v/>
      </c>
      <c r="L33" s="143" t="str">
        <f t="shared" si="1"/>
        <v/>
      </c>
      <c r="M33" s="146" t="str">
        <f t="shared" si="2"/>
        <v/>
      </c>
      <c r="N33" s="123"/>
      <c r="O33" s="119"/>
      <c r="P33" s="124"/>
      <c r="Q33" s="143" t="str">
        <f t="shared" si="3"/>
        <v/>
      </c>
      <c r="R33" s="143" t="str">
        <f t="shared" si="4"/>
        <v/>
      </c>
      <c r="S33" s="143" t="str">
        <f t="shared" si="5"/>
        <v/>
      </c>
      <c r="T33" s="123"/>
      <c r="U33" s="119"/>
      <c r="V33" s="124"/>
      <c r="W33" s="143" t="str">
        <f t="shared" si="6"/>
        <v/>
      </c>
      <c r="X33" s="143" t="str">
        <f t="shared" si="7"/>
        <v/>
      </c>
      <c r="Y33" s="143" t="str">
        <f t="shared" si="8"/>
        <v/>
      </c>
      <c r="Z33" s="150" t="str">
        <f t="shared" si="9"/>
        <v/>
      </c>
      <c r="AA33" s="143" t="str">
        <f t="shared" si="10"/>
        <v/>
      </c>
      <c r="AB33" s="152" t="str">
        <f t="shared" si="11"/>
        <v/>
      </c>
      <c r="AC33" s="158" t="str">
        <f>IF(AB33="","",IFERROR(INDEX(HELPER!$D$8:$D$48,IF(AB33&gt;=HELPER!$B$8,1,MATCH(AB33,HELPER!$B$8:$B$48,-1)+1)),""))</f>
        <v/>
      </c>
      <c r="AD33" s="155" t="str">
        <f>IF(AC33="","",IFERROR(VLOOKUP(AC33,HELPER!$F$8:$G$48,2,FALSE),""))</f>
        <v/>
      </c>
      <c r="AE33" s="135"/>
      <c r="AF33" s="90"/>
    </row>
    <row r="34" spans="1:32" ht="15" customHeight="1" x14ac:dyDescent="0.25">
      <c r="A34" s="135"/>
      <c r="B34" s="65">
        <v>17</v>
      </c>
      <c r="C34" s="204" t="str">
        <f>IF('INPUT DATA'!K27="","",'INPUT DATA'!K27)</f>
        <v/>
      </c>
      <c r="D34" s="205"/>
      <c r="E34" s="205"/>
      <c r="F34" s="123"/>
      <c r="G34" s="119"/>
      <c r="H34" s="119"/>
      <c r="I34" s="119"/>
      <c r="J34" s="124"/>
      <c r="K34" s="143" t="str">
        <f t="shared" si="0"/>
        <v/>
      </c>
      <c r="L34" s="143" t="str">
        <f t="shared" si="1"/>
        <v/>
      </c>
      <c r="M34" s="146" t="str">
        <f t="shared" si="2"/>
        <v/>
      </c>
      <c r="N34" s="123"/>
      <c r="O34" s="119"/>
      <c r="P34" s="124"/>
      <c r="Q34" s="143" t="str">
        <f t="shared" si="3"/>
        <v/>
      </c>
      <c r="R34" s="143" t="str">
        <f t="shared" si="4"/>
        <v/>
      </c>
      <c r="S34" s="143" t="str">
        <f t="shared" si="5"/>
        <v/>
      </c>
      <c r="T34" s="123"/>
      <c r="U34" s="119"/>
      <c r="V34" s="124"/>
      <c r="W34" s="143" t="str">
        <f t="shared" si="6"/>
        <v/>
      </c>
      <c r="X34" s="143" t="str">
        <f t="shared" si="7"/>
        <v/>
      </c>
      <c r="Y34" s="143" t="str">
        <f t="shared" si="8"/>
        <v/>
      </c>
      <c r="Z34" s="150" t="str">
        <f t="shared" si="9"/>
        <v/>
      </c>
      <c r="AA34" s="143" t="str">
        <f t="shared" si="10"/>
        <v/>
      </c>
      <c r="AB34" s="152" t="str">
        <f t="shared" si="11"/>
        <v/>
      </c>
      <c r="AC34" s="158" t="str">
        <f>IF(AB34="","",IFERROR(INDEX(HELPER!$D$8:$D$48,IF(AB34&gt;=HELPER!$B$8,1,MATCH(AB34,HELPER!$B$8:$B$48,-1)+1)),""))</f>
        <v/>
      </c>
      <c r="AD34" s="155" t="str">
        <f>IF(AC34="","",IFERROR(VLOOKUP(AC34,HELPER!$F$8:$G$48,2,FALSE),""))</f>
        <v/>
      </c>
      <c r="AE34" s="135"/>
      <c r="AF34" s="90"/>
    </row>
    <row r="35" spans="1:32" ht="15" customHeight="1" x14ac:dyDescent="0.25">
      <c r="A35" s="135"/>
      <c r="B35" s="65">
        <v>18</v>
      </c>
      <c r="C35" s="204" t="str">
        <f>IF('INPUT DATA'!K28="","",'INPUT DATA'!K28)</f>
        <v/>
      </c>
      <c r="D35" s="205"/>
      <c r="E35" s="205"/>
      <c r="F35" s="123"/>
      <c r="G35" s="119"/>
      <c r="H35" s="119"/>
      <c r="I35" s="119"/>
      <c r="J35" s="124"/>
      <c r="K35" s="143" t="str">
        <f t="shared" si="0"/>
        <v/>
      </c>
      <c r="L35" s="143" t="str">
        <f t="shared" si="1"/>
        <v/>
      </c>
      <c r="M35" s="146" t="str">
        <f t="shared" si="2"/>
        <v/>
      </c>
      <c r="N35" s="123"/>
      <c r="O35" s="119"/>
      <c r="P35" s="124"/>
      <c r="Q35" s="143" t="str">
        <f t="shared" si="3"/>
        <v/>
      </c>
      <c r="R35" s="143" t="str">
        <f t="shared" si="4"/>
        <v/>
      </c>
      <c r="S35" s="143" t="str">
        <f t="shared" si="5"/>
        <v/>
      </c>
      <c r="T35" s="123"/>
      <c r="U35" s="119"/>
      <c r="V35" s="124"/>
      <c r="W35" s="143" t="str">
        <f t="shared" si="6"/>
        <v/>
      </c>
      <c r="X35" s="143" t="str">
        <f t="shared" si="7"/>
        <v/>
      </c>
      <c r="Y35" s="143" t="str">
        <f t="shared" si="8"/>
        <v/>
      </c>
      <c r="Z35" s="150" t="str">
        <f t="shared" si="9"/>
        <v/>
      </c>
      <c r="AA35" s="143" t="str">
        <f t="shared" si="10"/>
        <v/>
      </c>
      <c r="AB35" s="152" t="str">
        <f t="shared" si="11"/>
        <v/>
      </c>
      <c r="AC35" s="158" t="str">
        <f>IF(AB35="","",IFERROR(INDEX(HELPER!$D$8:$D$48,IF(AB35&gt;=HELPER!$B$8,1,MATCH(AB35,HELPER!$B$8:$B$48,-1)+1)),""))</f>
        <v/>
      </c>
      <c r="AD35" s="155" t="str">
        <f>IF(AC35="","",IFERROR(VLOOKUP(AC35,HELPER!$F$8:$G$48,2,FALSE),""))</f>
        <v/>
      </c>
      <c r="AE35" s="135"/>
      <c r="AF35" s="90"/>
    </row>
    <row r="36" spans="1:32" ht="15" customHeight="1" x14ac:dyDescent="0.25">
      <c r="A36" s="135"/>
      <c r="B36" s="65">
        <v>19</v>
      </c>
      <c r="C36" s="204" t="str">
        <f>IF('INPUT DATA'!K29="","",'INPUT DATA'!K29)</f>
        <v/>
      </c>
      <c r="D36" s="205"/>
      <c r="E36" s="205"/>
      <c r="F36" s="123"/>
      <c r="G36" s="119"/>
      <c r="H36" s="119"/>
      <c r="I36" s="119"/>
      <c r="J36" s="124"/>
      <c r="K36" s="143" t="str">
        <f t="shared" si="0"/>
        <v/>
      </c>
      <c r="L36" s="143" t="str">
        <f t="shared" si="1"/>
        <v/>
      </c>
      <c r="M36" s="146" t="str">
        <f t="shared" si="2"/>
        <v/>
      </c>
      <c r="N36" s="123"/>
      <c r="O36" s="119"/>
      <c r="P36" s="124"/>
      <c r="Q36" s="143" t="str">
        <f t="shared" si="3"/>
        <v/>
      </c>
      <c r="R36" s="143" t="str">
        <f t="shared" si="4"/>
        <v/>
      </c>
      <c r="S36" s="143" t="str">
        <f t="shared" si="5"/>
        <v/>
      </c>
      <c r="T36" s="123"/>
      <c r="U36" s="119"/>
      <c r="V36" s="124"/>
      <c r="W36" s="143" t="str">
        <f t="shared" si="6"/>
        <v/>
      </c>
      <c r="X36" s="143" t="str">
        <f t="shared" si="7"/>
        <v/>
      </c>
      <c r="Y36" s="143" t="str">
        <f t="shared" si="8"/>
        <v/>
      </c>
      <c r="Z36" s="150" t="str">
        <f t="shared" si="9"/>
        <v/>
      </c>
      <c r="AA36" s="143" t="str">
        <f t="shared" si="10"/>
        <v/>
      </c>
      <c r="AB36" s="152" t="str">
        <f t="shared" si="11"/>
        <v/>
      </c>
      <c r="AC36" s="158" t="str">
        <f>IF(AB36="","",IFERROR(INDEX(HELPER!$D$8:$D$48,IF(AB36&gt;=HELPER!$B$8,1,MATCH(AB36,HELPER!$B$8:$B$48,-1)+1)),""))</f>
        <v/>
      </c>
      <c r="AD36" s="155" t="str">
        <f>IF(AC36="","",IFERROR(VLOOKUP(AC36,HELPER!$F$8:$G$48,2,FALSE),""))</f>
        <v/>
      </c>
      <c r="AE36" s="135"/>
      <c r="AF36" s="90"/>
    </row>
    <row r="37" spans="1:32" ht="15" customHeight="1" x14ac:dyDescent="0.25">
      <c r="A37" s="135"/>
      <c r="B37" s="66">
        <v>20</v>
      </c>
      <c r="C37" s="204" t="str">
        <f>IF('INPUT DATA'!K30="","",'INPUT DATA'!K30)</f>
        <v/>
      </c>
      <c r="D37" s="205"/>
      <c r="E37" s="205"/>
      <c r="F37" s="123"/>
      <c r="G37" s="119"/>
      <c r="H37" s="119"/>
      <c r="I37" s="119"/>
      <c r="J37" s="124"/>
      <c r="K37" s="143" t="str">
        <f t="shared" si="0"/>
        <v/>
      </c>
      <c r="L37" s="143" t="str">
        <f t="shared" si="1"/>
        <v/>
      </c>
      <c r="M37" s="146" t="str">
        <f t="shared" si="2"/>
        <v/>
      </c>
      <c r="N37" s="123"/>
      <c r="O37" s="119"/>
      <c r="P37" s="124"/>
      <c r="Q37" s="143" t="str">
        <f t="shared" si="3"/>
        <v/>
      </c>
      <c r="R37" s="143" t="str">
        <f t="shared" si="4"/>
        <v/>
      </c>
      <c r="S37" s="143" t="str">
        <f t="shared" si="5"/>
        <v/>
      </c>
      <c r="T37" s="123"/>
      <c r="U37" s="119"/>
      <c r="V37" s="124"/>
      <c r="W37" s="143" t="str">
        <f t="shared" si="6"/>
        <v/>
      </c>
      <c r="X37" s="143" t="str">
        <f t="shared" si="7"/>
        <v/>
      </c>
      <c r="Y37" s="143" t="str">
        <f t="shared" si="8"/>
        <v/>
      </c>
      <c r="Z37" s="150" t="str">
        <f t="shared" si="9"/>
        <v/>
      </c>
      <c r="AA37" s="143" t="str">
        <f t="shared" si="10"/>
        <v/>
      </c>
      <c r="AB37" s="152" t="str">
        <f t="shared" si="11"/>
        <v/>
      </c>
      <c r="AC37" s="158" t="str">
        <f>IF(AB37="","",IFERROR(INDEX(HELPER!$D$8:$D$48,IF(AB37&gt;=HELPER!$B$8,1,MATCH(AB37,HELPER!$B$8:$B$48,-1)+1)),""))</f>
        <v/>
      </c>
      <c r="AD37" s="155" t="str">
        <f>IF(AC37="","",IFERROR(VLOOKUP(AC37,HELPER!$F$8:$G$48,2,FALSE),""))</f>
        <v/>
      </c>
      <c r="AE37" s="135"/>
      <c r="AF37" s="90"/>
    </row>
    <row r="38" spans="1:32" ht="15" customHeight="1" x14ac:dyDescent="0.25">
      <c r="A38" s="135"/>
      <c r="B38" s="66">
        <v>21</v>
      </c>
      <c r="C38" s="204" t="str">
        <f>IF('INPUT DATA'!K31="","",'INPUT DATA'!K31)</f>
        <v/>
      </c>
      <c r="D38" s="205"/>
      <c r="E38" s="205"/>
      <c r="F38" s="123"/>
      <c r="G38" s="119"/>
      <c r="H38" s="119"/>
      <c r="I38" s="119"/>
      <c r="J38" s="124"/>
      <c r="K38" s="143" t="str">
        <f t="shared" si="0"/>
        <v/>
      </c>
      <c r="L38" s="143" t="str">
        <f t="shared" si="1"/>
        <v/>
      </c>
      <c r="M38" s="146" t="str">
        <f t="shared" si="2"/>
        <v/>
      </c>
      <c r="N38" s="123"/>
      <c r="O38" s="119"/>
      <c r="P38" s="124"/>
      <c r="Q38" s="143" t="str">
        <f t="shared" si="3"/>
        <v/>
      </c>
      <c r="R38" s="143" t="str">
        <f t="shared" si="4"/>
        <v/>
      </c>
      <c r="S38" s="143" t="str">
        <f t="shared" si="5"/>
        <v/>
      </c>
      <c r="T38" s="123"/>
      <c r="U38" s="119"/>
      <c r="V38" s="124"/>
      <c r="W38" s="143" t="str">
        <f t="shared" si="6"/>
        <v/>
      </c>
      <c r="X38" s="143" t="str">
        <f t="shared" si="7"/>
        <v/>
      </c>
      <c r="Y38" s="143" t="str">
        <f t="shared" si="8"/>
        <v/>
      </c>
      <c r="Z38" s="150" t="str">
        <f t="shared" si="9"/>
        <v/>
      </c>
      <c r="AA38" s="143" t="str">
        <f t="shared" si="10"/>
        <v/>
      </c>
      <c r="AB38" s="152" t="str">
        <f t="shared" si="11"/>
        <v/>
      </c>
      <c r="AC38" s="158" t="str">
        <f>IF(AB38="","",IFERROR(INDEX(HELPER!$D$8:$D$48,IF(AB38&gt;=HELPER!$B$8,1,MATCH(AB38,HELPER!$B$8:$B$48,-1)+1)),""))</f>
        <v/>
      </c>
      <c r="AD38" s="155" t="str">
        <f>IF(AC38="","",IFERROR(VLOOKUP(AC38,HELPER!$F$8:$G$48,2,FALSE),""))</f>
        <v/>
      </c>
      <c r="AE38" s="135"/>
      <c r="AF38" s="90"/>
    </row>
    <row r="39" spans="1:32" ht="15" customHeight="1" x14ac:dyDescent="0.25">
      <c r="A39" s="135"/>
      <c r="B39" s="66">
        <v>22</v>
      </c>
      <c r="C39" s="204" t="str">
        <f>IF('INPUT DATA'!K32="","",'INPUT DATA'!K32)</f>
        <v/>
      </c>
      <c r="D39" s="205"/>
      <c r="E39" s="205"/>
      <c r="F39" s="123"/>
      <c r="G39" s="119"/>
      <c r="H39" s="119"/>
      <c r="I39" s="119"/>
      <c r="J39" s="124"/>
      <c r="K39" s="143" t="str">
        <f t="shared" si="0"/>
        <v/>
      </c>
      <c r="L39" s="143" t="str">
        <f t="shared" si="1"/>
        <v/>
      </c>
      <c r="M39" s="146" t="str">
        <f t="shared" si="2"/>
        <v/>
      </c>
      <c r="N39" s="123"/>
      <c r="O39" s="119"/>
      <c r="P39" s="124"/>
      <c r="Q39" s="143" t="str">
        <f t="shared" si="3"/>
        <v/>
      </c>
      <c r="R39" s="143" t="str">
        <f t="shared" si="4"/>
        <v/>
      </c>
      <c r="S39" s="143" t="str">
        <f t="shared" si="5"/>
        <v/>
      </c>
      <c r="T39" s="123"/>
      <c r="U39" s="119"/>
      <c r="V39" s="124"/>
      <c r="W39" s="143" t="str">
        <f t="shared" si="6"/>
        <v/>
      </c>
      <c r="X39" s="143" t="str">
        <f t="shared" si="7"/>
        <v/>
      </c>
      <c r="Y39" s="143" t="str">
        <f t="shared" si="8"/>
        <v/>
      </c>
      <c r="Z39" s="150" t="str">
        <f t="shared" si="9"/>
        <v/>
      </c>
      <c r="AA39" s="143" t="str">
        <f t="shared" si="10"/>
        <v/>
      </c>
      <c r="AB39" s="152" t="str">
        <f t="shared" si="11"/>
        <v/>
      </c>
      <c r="AC39" s="158" t="str">
        <f>IF(AB39="","",IFERROR(INDEX(HELPER!$D$8:$D$48,IF(AB39&gt;=HELPER!$B$8,1,MATCH(AB39,HELPER!$B$8:$B$48,-1)+1)),""))</f>
        <v/>
      </c>
      <c r="AD39" s="155" t="str">
        <f>IF(AC39="","",IFERROR(VLOOKUP(AC39,HELPER!$F$8:$G$48,2,FALSE),""))</f>
        <v/>
      </c>
      <c r="AE39" s="135"/>
      <c r="AF39" s="90"/>
    </row>
    <row r="40" spans="1:32" ht="15" customHeight="1" x14ac:dyDescent="0.25">
      <c r="A40" s="135"/>
      <c r="B40" s="66">
        <v>23</v>
      </c>
      <c r="C40" s="204" t="str">
        <f>IF('INPUT DATA'!K33="","",'INPUT DATA'!K33)</f>
        <v/>
      </c>
      <c r="D40" s="205"/>
      <c r="E40" s="205"/>
      <c r="F40" s="123"/>
      <c r="G40" s="119"/>
      <c r="H40" s="119"/>
      <c r="I40" s="119"/>
      <c r="J40" s="124"/>
      <c r="K40" s="143" t="str">
        <f t="shared" si="0"/>
        <v/>
      </c>
      <c r="L40" s="143" t="str">
        <f t="shared" si="1"/>
        <v/>
      </c>
      <c r="M40" s="146" t="str">
        <f t="shared" si="2"/>
        <v/>
      </c>
      <c r="N40" s="123"/>
      <c r="O40" s="119"/>
      <c r="P40" s="124"/>
      <c r="Q40" s="143" t="str">
        <f t="shared" si="3"/>
        <v/>
      </c>
      <c r="R40" s="143" t="str">
        <f t="shared" si="4"/>
        <v/>
      </c>
      <c r="S40" s="143" t="str">
        <f t="shared" si="5"/>
        <v/>
      </c>
      <c r="T40" s="123"/>
      <c r="U40" s="119"/>
      <c r="V40" s="124"/>
      <c r="W40" s="143" t="str">
        <f t="shared" si="6"/>
        <v/>
      </c>
      <c r="X40" s="143" t="str">
        <f t="shared" si="7"/>
        <v/>
      </c>
      <c r="Y40" s="143" t="str">
        <f t="shared" si="8"/>
        <v/>
      </c>
      <c r="Z40" s="150" t="str">
        <f t="shared" si="9"/>
        <v/>
      </c>
      <c r="AA40" s="143" t="str">
        <f t="shared" si="10"/>
        <v/>
      </c>
      <c r="AB40" s="152" t="str">
        <f t="shared" si="11"/>
        <v/>
      </c>
      <c r="AC40" s="158" t="str">
        <f>IF(AB40="","",IFERROR(INDEX(HELPER!$D$8:$D$48,IF(AB40&gt;=HELPER!$B$8,1,MATCH(AB40,HELPER!$B$8:$B$48,-1)+1)),""))</f>
        <v/>
      </c>
      <c r="AD40" s="155" t="str">
        <f>IF(AC40="","",IFERROR(VLOOKUP(AC40,HELPER!$F$8:$G$48,2,FALSE),""))</f>
        <v/>
      </c>
      <c r="AE40" s="135"/>
      <c r="AF40" s="90"/>
    </row>
    <row r="41" spans="1:32" ht="15" customHeight="1" x14ac:dyDescent="0.25">
      <c r="A41" s="135"/>
      <c r="B41" s="66">
        <v>24</v>
      </c>
      <c r="C41" s="204" t="str">
        <f>IF('INPUT DATA'!K34="","",'INPUT DATA'!K34)</f>
        <v/>
      </c>
      <c r="D41" s="205"/>
      <c r="E41" s="205"/>
      <c r="F41" s="123"/>
      <c r="G41" s="119"/>
      <c r="H41" s="119"/>
      <c r="I41" s="119"/>
      <c r="J41" s="124"/>
      <c r="K41" s="143" t="str">
        <f t="shared" si="0"/>
        <v/>
      </c>
      <c r="L41" s="143" t="str">
        <f t="shared" si="1"/>
        <v/>
      </c>
      <c r="M41" s="146" t="str">
        <f t="shared" si="2"/>
        <v/>
      </c>
      <c r="N41" s="123"/>
      <c r="O41" s="119"/>
      <c r="P41" s="124"/>
      <c r="Q41" s="143" t="str">
        <f t="shared" si="3"/>
        <v/>
      </c>
      <c r="R41" s="143" t="str">
        <f t="shared" si="4"/>
        <v/>
      </c>
      <c r="S41" s="143" t="str">
        <f t="shared" si="5"/>
        <v/>
      </c>
      <c r="T41" s="123"/>
      <c r="U41" s="119"/>
      <c r="V41" s="124"/>
      <c r="W41" s="143" t="str">
        <f t="shared" si="6"/>
        <v/>
      </c>
      <c r="X41" s="143" t="str">
        <f t="shared" si="7"/>
        <v/>
      </c>
      <c r="Y41" s="143" t="str">
        <f t="shared" si="8"/>
        <v/>
      </c>
      <c r="Z41" s="150" t="str">
        <f t="shared" si="9"/>
        <v/>
      </c>
      <c r="AA41" s="143" t="str">
        <f t="shared" si="10"/>
        <v/>
      </c>
      <c r="AB41" s="152" t="str">
        <f t="shared" si="11"/>
        <v/>
      </c>
      <c r="AC41" s="158" t="str">
        <f>IF(AB41="","",IFERROR(INDEX(HELPER!$D$8:$D$48,IF(AB41&gt;=HELPER!$B$8,1,MATCH(AB41,HELPER!$B$8:$B$48,-1)+1)),""))</f>
        <v/>
      </c>
      <c r="AD41" s="155" t="str">
        <f>IF(AC41="","",IFERROR(VLOOKUP(AC41,HELPER!$F$8:$G$48,2,FALSE),""))</f>
        <v/>
      </c>
      <c r="AE41" s="135"/>
      <c r="AF41" s="90"/>
    </row>
    <row r="42" spans="1:32" ht="15" customHeight="1" x14ac:dyDescent="0.25">
      <c r="A42" s="135"/>
      <c r="B42" s="66">
        <v>25</v>
      </c>
      <c r="C42" s="204" t="str">
        <f>IF('INPUT DATA'!K35="","",'INPUT DATA'!K35)</f>
        <v/>
      </c>
      <c r="D42" s="205"/>
      <c r="E42" s="205"/>
      <c r="F42" s="123"/>
      <c r="G42" s="119"/>
      <c r="H42" s="119"/>
      <c r="I42" s="119"/>
      <c r="J42" s="124"/>
      <c r="K42" s="143" t="str">
        <f t="shared" si="0"/>
        <v/>
      </c>
      <c r="L42" s="143" t="str">
        <f t="shared" si="1"/>
        <v/>
      </c>
      <c r="M42" s="146" t="str">
        <f t="shared" si="2"/>
        <v/>
      </c>
      <c r="N42" s="123"/>
      <c r="O42" s="119"/>
      <c r="P42" s="124"/>
      <c r="Q42" s="143" t="str">
        <f t="shared" si="3"/>
        <v/>
      </c>
      <c r="R42" s="143" t="str">
        <f t="shared" si="4"/>
        <v/>
      </c>
      <c r="S42" s="143" t="str">
        <f t="shared" si="5"/>
        <v/>
      </c>
      <c r="T42" s="123"/>
      <c r="U42" s="119"/>
      <c r="V42" s="124"/>
      <c r="W42" s="143" t="str">
        <f t="shared" si="6"/>
        <v/>
      </c>
      <c r="X42" s="143" t="str">
        <f t="shared" si="7"/>
        <v/>
      </c>
      <c r="Y42" s="143" t="str">
        <f t="shared" si="8"/>
        <v/>
      </c>
      <c r="Z42" s="150" t="str">
        <f t="shared" si="9"/>
        <v/>
      </c>
      <c r="AA42" s="143" t="str">
        <f t="shared" si="10"/>
        <v/>
      </c>
      <c r="AB42" s="152" t="str">
        <f t="shared" si="11"/>
        <v/>
      </c>
      <c r="AC42" s="158" t="str">
        <f>IF(AB42="","",IFERROR(INDEX(HELPER!$D$8:$D$48,IF(AB42&gt;=HELPER!$B$8,1,MATCH(AB42,HELPER!$B$8:$B$48,-1)+1)),""))</f>
        <v/>
      </c>
      <c r="AD42" s="155" t="str">
        <f>IF(AC42="","",IFERROR(VLOOKUP(AC42,HELPER!$F$8:$G$48,2,FALSE),""))</f>
        <v/>
      </c>
      <c r="AE42" s="135"/>
      <c r="AF42" s="90"/>
    </row>
    <row r="43" spans="1:32" ht="15" customHeight="1" x14ac:dyDescent="0.25">
      <c r="A43" s="135"/>
      <c r="B43" s="66">
        <v>26</v>
      </c>
      <c r="C43" s="204" t="str">
        <f>IF('INPUT DATA'!K36="","",'INPUT DATA'!K36)</f>
        <v/>
      </c>
      <c r="D43" s="205"/>
      <c r="E43" s="205"/>
      <c r="F43" s="123"/>
      <c r="G43" s="119"/>
      <c r="H43" s="119"/>
      <c r="I43" s="119"/>
      <c r="J43" s="124"/>
      <c r="K43" s="143" t="str">
        <f t="shared" si="0"/>
        <v/>
      </c>
      <c r="L43" s="143" t="str">
        <f t="shared" si="1"/>
        <v/>
      </c>
      <c r="M43" s="146" t="str">
        <f t="shared" si="2"/>
        <v/>
      </c>
      <c r="N43" s="123"/>
      <c r="O43" s="119"/>
      <c r="P43" s="124"/>
      <c r="Q43" s="143" t="str">
        <f t="shared" si="3"/>
        <v/>
      </c>
      <c r="R43" s="143" t="str">
        <f t="shared" si="4"/>
        <v/>
      </c>
      <c r="S43" s="143" t="str">
        <f t="shared" si="5"/>
        <v/>
      </c>
      <c r="T43" s="123"/>
      <c r="U43" s="119"/>
      <c r="V43" s="124"/>
      <c r="W43" s="143" t="str">
        <f t="shared" si="6"/>
        <v/>
      </c>
      <c r="X43" s="143" t="str">
        <f t="shared" si="7"/>
        <v/>
      </c>
      <c r="Y43" s="143" t="str">
        <f t="shared" si="8"/>
        <v/>
      </c>
      <c r="Z43" s="150" t="str">
        <f t="shared" si="9"/>
        <v/>
      </c>
      <c r="AA43" s="143" t="str">
        <f t="shared" si="10"/>
        <v/>
      </c>
      <c r="AB43" s="152" t="str">
        <f t="shared" si="11"/>
        <v/>
      </c>
      <c r="AC43" s="158" t="str">
        <f>IF(AB43="","",IFERROR(INDEX(HELPER!$D$8:$D$48,IF(AB43&gt;=HELPER!$B$8,1,MATCH(AB43,HELPER!$B$8:$B$48,-1)+1)),""))</f>
        <v/>
      </c>
      <c r="AD43" s="155" t="str">
        <f>IF(AC43="","",IFERROR(VLOOKUP(AC43,HELPER!$F$8:$G$48,2,FALSE),""))</f>
        <v/>
      </c>
      <c r="AE43" s="135"/>
      <c r="AF43" s="90"/>
    </row>
    <row r="44" spans="1:32" ht="15" customHeight="1" x14ac:dyDescent="0.25">
      <c r="A44" s="135"/>
      <c r="B44" s="66">
        <v>27</v>
      </c>
      <c r="C44" s="204" t="str">
        <f>IF('INPUT DATA'!K37="","",'INPUT DATA'!K37)</f>
        <v/>
      </c>
      <c r="D44" s="205"/>
      <c r="E44" s="205"/>
      <c r="F44" s="123"/>
      <c r="G44" s="119"/>
      <c r="H44" s="119"/>
      <c r="I44" s="119"/>
      <c r="J44" s="124"/>
      <c r="K44" s="143" t="str">
        <f t="shared" si="0"/>
        <v/>
      </c>
      <c r="L44" s="143" t="str">
        <f t="shared" si="1"/>
        <v/>
      </c>
      <c r="M44" s="146" t="str">
        <f t="shared" si="2"/>
        <v/>
      </c>
      <c r="N44" s="123"/>
      <c r="O44" s="119"/>
      <c r="P44" s="124"/>
      <c r="Q44" s="143" t="str">
        <f t="shared" si="3"/>
        <v/>
      </c>
      <c r="R44" s="143" t="str">
        <f t="shared" si="4"/>
        <v/>
      </c>
      <c r="S44" s="143" t="str">
        <f t="shared" si="5"/>
        <v/>
      </c>
      <c r="T44" s="123"/>
      <c r="U44" s="119"/>
      <c r="V44" s="124"/>
      <c r="W44" s="143" t="str">
        <f t="shared" si="6"/>
        <v/>
      </c>
      <c r="X44" s="143" t="str">
        <f t="shared" si="7"/>
        <v/>
      </c>
      <c r="Y44" s="143" t="str">
        <f t="shared" si="8"/>
        <v/>
      </c>
      <c r="Z44" s="150" t="str">
        <f t="shared" si="9"/>
        <v/>
      </c>
      <c r="AA44" s="143" t="str">
        <f t="shared" si="10"/>
        <v/>
      </c>
      <c r="AB44" s="152" t="str">
        <f t="shared" si="11"/>
        <v/>
      </c>
      <c r="AC44" s="158" t="str">
        <f>IF(AB44="","",IFERROR(INDEX(HELPER!$D$8:$D$48,IF(AB44&gt;=HELPER!$B$8,1,MATCH(AB44,HELPER!$B$8:$B$48,-1)+1)),""))</f>
        <v/>
      </c>
      <c r="AD44" s="155" t="str">
        <f>IF(AC44="","",IFERROR(VLOOKUP(AC44,HELPER!$F$8:$G$48,2,FALSE),""))</f>
        <v/>
      </c>
      <c r="AE44" s="135"/>
      <c r="AF44" s="90"/>
    </row>
    <row r="45" spans="1:32" ht="15" customHeight="1" x14ac:dyDescent="0.25">
      <c r="A45" s="135"/>
      <c r="B45" s="66">
        <v>28</v>
      </c>
      <c r="C45" s="204" t="str">
        <f>IF('INPUT DATA'!K38="","",'INPUT DATA'!K38)</f>
        <v/>
      </c>
      <c r="D45" s="205"/>
      <c r="E45" s="205"/>
      <c r="F45" s="123"/>
      <c r="G45" s="119"/>
      <c r="H45" s="119"/>
      <c r="I45" s="119"/>
      <c r="J45" s="124"/>
      <c r="K45" s="143" t="str">
        <f t="shared" si="0"/>
        <v/>
      </c>
      <c r="L45" s="143" t="str">
        <f t="shared" si="1"/>
        <v/>
      </c>
      <c r="M45" s="146" t="str">
        <f t="shared" si="2"/>
        <v/>
      </c>
      <c r="N45" s="123"/>
      <c r="O45" s="119"/>
      <c r="P45" s="124"/>
      <c r="Q45" s="143" t="str">
        <f t="shared" si="3"/>
        <v/>
      </c>
      <c r="R45" s="143" t="str">
        <f t="shared" si="4"/>
        <v/>
      </c>
      <c r="S45" s="143" t="str">
        <f t="shared" si="5"/>
        <v/>
      </c>
      <c r="T45" s="123"/>
      <c r="U45" s="119"/>
      <c r="V45" s="124"/>
      <c r="W45" s="143" t="str">
        <f t="shared" si="6"/>
        <v/>
      </c>
      <c r="X45" s="143" t="str">
        <f t="shared" si="7"/>
        <v/>
      </c>
      <c r="Y45" s="143" t="str">
        <f t="shared" si="8"/>
        <v/>
      </c>
      <c r="Z45" s="150" t="str">
        <f t="shared" si="9"/>
        <v/>
      </c>
      <c r="AA45" s="143" t="str">
        <f t="shared" si="10"/>
        <v/>
      </c>
      <c r="AB45" s="152" t="str">
        <f t="shared" si="11"/>
        <v/>
      </c>
      <c r="AC45" s="158" t="str">
        <f>IF(AB45="","",IFERROR(INDEX(HELPER!$D$8:$D$48,IF(AB45&gt;=HELPER!$B$8,1,MATCH(AB45,HELPER!$B$8:$B$48,-1)+1)),""))</f>
        <v/>
      </c>
      <c r="AD45" s="155" t="str">
        <f>IF(AC45="","",IFERROR(VLOOKUP(AC45,HELPER!$F$8:$G$48,2,FALSE),""))</f>
        <v/>
      </c>
      <c r="AE45" s="135"/>
      <c r="AF45" s="90"/>
    </row>
    <row r="46" spans="1:32" ht="15" customHeight="1" x14ac:dyDescent="0.25">
      <c r="A46" s="135"/>
      <c r="B46" s="66">
        <v>29</v>
      </c>
      <c r="C46" s="204" t="str">
        <f>IF('INPUT DATA'!K39="","",'INPUT DATA'!K39)</f>
        <v/>
      </c>
      <c r="D46" s="205"/>
      <c r="E46" s="205"/>
      <c r="F46" s="123"/>
      <c r="G46" s="119"/>
      <c r="H46" s="119"/>
      <c r="I46" s="119"/>
      <c r="J46" s="124"/>
      <c r="K46" s="143" t="str">
        <f t="shared" si="0"/>
        <v/>
      </c>
      <c r="L46" s="143" t="str">
        <f t="shared" si="1"/>
        <v/>
      </c>
      <c r="M46" s="146" t="str">
        <f t="shared" si="2"/>
        <v/>
      </c>
      <c r="N46" s="123"/>
      <c r="O46" s="119"/>
      <c r="P46" s="124"/>
      <c r="Q46" s="143" t="str">
        <f t="shared" si="3"/>
        <v/>
      </c>
      <c r="R46" s="143" t="str">
        <f t="shared" si="4"/>
        <v/>
      </c>
      <c r="S46" s="143" t="str">
        <f t="shared" si="5"/>
        <v/>
      </c>
      <c r="T46" s="123"/>
      <c r="U46" s="119"/>
      <c r="V46" s="124"/>
      <c r="W46" s="143" t="str">
        <f t="shared" si="6"/>
        <v/>
      </c>
      <c r="X46" s="143" t="str">
        <f t="shared" si="7"/>
        <v/>
      </c>
      <c r="Y46" s="143" t="str">
        <f t="shared" si="8"/>
        <v/>
      </c>
      <c r="Z46" s="150" t="str">
        <f t="shared" si="9"/>
        <v/>
      </c>
      <c r="AA46" s="143" t="str">
        <f t="shared" si="10"/>
        <v/>
      </c>
      <c r="AB46" s="152" t="str">
        <f t="shared" si="11"/>
        <v/>
      </c>
      <c r="AC46" s="158" t="str">
        <f>IF(AB46="","",IFERROR(INDEX(HELPER!$D$8:$D$48,IF(AB46&gt;=HELPER!$B$8,1,MATCH(AB46,HELPER!$B$8:$B$48,-1)+1)),""))</f>
        <v/>
      </c>
      <c r="AD46" s="155" t="str">
        <f>IF(AC46="","",IFERROR(VLOOKUP(AC46,HELPER!$F$8:$G$48,2,FALSE),""))</f>
        <v/>
      </c>
      <c r="AE46" s="135"/>
      <c r="AF46" s="90"/>
    </row>
    <row r="47" spans="1:32" ht="15" customHeight="1" x14ac:dyDescent="0.25">
      <c r="A47" s="135"/>
      <c r="B47" s="66">
        <v>30</v>
      </c>
      <c r="C47" s="204" t="str">
        <f>IF('INPUT DATA'!K40="","",'INPUT DATA'!K40)</f>
        <v/>
      </c>
      <c r="D47" s="205"/>
      <c r="E47" s="205"/>
      <c r="F47" s="123"/>
      <c r="G47" s="119"/>
      <c r="H47" s="119"/>
      <c r="I47" s="119"/>
      <c r="J47" s="124"/>
      <c r="K47" s="143" t="str">
        <f t="shared" si="0"/>
        <v/>
      </c>
      <c r="L47" s="143" t="str">
        <f t="shared" si="1"/>
        <v/>
      </c>
      <c r="M47" s="146" t="str">
        <f t="shared" si="2"/>
        <v/>
      </c>
      <c r="N47" s="123"/>
      <c r="O47" s="119"/>
      <c r="P47" s="124"/>
      <c r="Q47" s="143" t="str">
        <f t="shared" si="3"/>
        <v/>
      </c>
      <c r="R47" s="143" t="str">
        <f t="shared" si="4"/>
        <v/>
      </c>
      <c r="S47" s="143" t="str">
        <f t="shared" si="5"/>
        <v/>
      </c>
      <c r="T47" s="123"/>
      <c r="U47" s="119"/>
      <c r="V47" s="124"/>
      <c r="W47" s="143" t="str">
        <f t="shared" si="6"/>
        <v/>
      </c>
      <c r="X47" s="143" t="str">
        <f t="shared" si="7"/>
        <v/>
      </c>
      <c r="Y47" s="143" t="str">
        <f t="shared" si="8"/>
        <v/>
      </c>
      <c r="Z47" s="150" t="str">
        <f t="shared" si="9"/>
        <v/>
      </c>
      <c r="AA47" s="143" t="str">
        <f t="shared" si="10"/>
        <v/>
      </c>
      <c r="AB47" s="152" t="str">
        <f t="shared" si="11"/>
        <v/>
      </c>
      <c r="AC47" s="158" t="str">
        <f>IF(AB47="","",IFERROR(INDEX(HELPER!$D$8:$D$48,IF(AB47&gt;=HELPER!$B$8,1,MATCH(AB47,HELPER!$B$8:$B$48,-1)+1)),""))</f>
        <v/>
      </c>
      <c r="AD47" s="155" t="str">
        <f>IF(AC47="","",IFERROR(VLOOKUP(AC47,HELPER!$F$8:$G$48,2,FALSE),""))</f>
        <v/>
      </c>
      <c r="AE47" s="135"/>
      <c r="AF47" s="90"/>
    </row>
    <row r="48" spans="1:32" ht="15" customHeight="1" x14ac:dyDescent="0.25">
      <c r="A48" s="135"/>
      <c r="B48" s="66">
        <v>31</v>
      </c>
      <c r="C48" s="204" t="str">
        <f>IF('INPUT DATA'!K41="","",'INPUT DATA'!K41)</f>
        <v/>
      </c>
      <c r="D48" s="205"/>
      <c r="E48" s="205"/>
      <c r="F48" s="123"/>
      <c r="G48" s="119"/>
      <c r="H48" s="119"/>
      <c r="I48" s="119"/>
      <c r="J48" s="124"/>
      <c r="K48" s="143" t="str">
        <f t="shared" si="0"/>
        <v/>
      </c>
      <c r="L48" s="143" t="str">
        <f t="shared" si="1"/>
        <v/>
      </c>
      <c r="M48" s="146" t="str">
        <f t="shared" si="2"/>
        <v/>
      </c>
      <c r="N48" s="123"/>
      <c r="O48" s="119"/>
      <c r="P48" s="124"/>
      <c r="Q48" s="143" t="str">
        <f t="shared" si="3"/>
        <v/>
      </c>
      <c r="R48" s="143" t="str">
        <f t="shared" si="4"/>
        <v/>
      </c>
      <c r="S48" s="143" t="str">
        <f t="shared" si="5"/>
        <v/>
      </c>
      <c r="T48" s="123"/>
      <c r="U48" s="119"/>
      <c r="V48" s="124"/>
      <c r="W48" s="143" t="str">
        <f t="shared" si="6"/>
        <v/>
      </c>
      <c r="X48" s="143" t="str">
        <f t="shared" si="7"/>
        <v/>
      </c>
      <c r="Y48" s="143" t="str">
        <f t="shared" si="8"/>
        <v/>
      </c>
      <c r="Z48" s="150" t="str">
        <f t="shared" si="9"/>
        <v/>
      </c>
      <c r="AA48" s="143" t="str">
        <f t="shared" si="10"/>
        <v/>
      </c>
      <c r="AB48" s="152" t="str">
        <f t="shared" si="11"/>
        <v/>
      </c>
      <c r="AC48" s="158" t="str">
        <f>IF(AB48="","",IFERROR(INDEX(HELPER!$D$8:$D$48,IF(AB48&gt;=HELPER!$B$8,1,MATCH(AB48,HELPER!$B$8:$B$48,-1)+1)),""))</f>
        <v/>
      </c>
      <c r="AD48" s="155" t="str">
        <f>IF(AC48="","",IFERROR(VLOOKUP(AC48,HELPER!$F$8:$G$48,2,FALSE),""))</f>
        <v/>
      </c>
      <c r="AE48" s="135"/>
      <c r="AF48" s="90"/>
    </row>
    <row r="49" spans="1:32" ht="15" customHeight="1" x14ac:dyDescent="0.25">
      <c r="A49" s="135"/>
      <c r="B49" s="66">
        <v>32</v>
      </c>
      <c r="C49" s="204" t="str">
        <f>IF('INPUT DATA'!K42="","",'INPUT DATA'!K42)</f>
        <v/>
      </c>
      <c r="D49" s="205"/>
      <c r="E49" s="205"/>
      <c r="F49" s="123"/>
      <c r="G49" s="119"/>
      <c r="H49" s="119"/>
      <c r="I49" s="119"/>
      <c r="J49" s="124"/>
      <c r="K49" s="143" t="str">
        <f t="shared" si="0"/>
        <v/>
      </c>
      <c r="L49" s="143" t="str">
        <f t="shared" si="1"/>
        <v/>
      </c>
      <c r="M49" s="146" t="str">
        <f t="shared" si="2"/>
        <v/>
      </c>
      <c r="N49" s="123"/>
      <c r="O49" s="119"/>
      <c r="P49" s="124"/>
      <c r="Q49" s="143" t="str">
        <f t="shared" si="3"/>
        <v/>
      </c>
      <c r="R49" s="143" t="str">
        <f t="shared" si="4"/>
        <v/>
      </c>
      <c r="S49" s="143" t="str">
        <f t="shared" si="5"/>
        <v/>
      </c>
      <c r="T49" s="123"/>
      <c r="U49" s="119"/>
      <c r="V49" s="124"/>
      <c r="W49" s="143" t="str">
        <f t="shared" si="6"/>
        <v/>
      </c>
      <c r="X49" s="143" t="str">
        <f t="shared" si="7"/>
        <v/>
      </c>
      <c r="Y49" s="143" t="str">
        <f t="shared" si="8"/>
        <v/>
      </c>
      <c r="Z49" s="150" t="str">
        <f t="shared" si="9"/>
        <v/>
      </c>
      <c r="AA49" s="143" t="str">
        <f t="shared" si="10"/>
        <v/>
      </c>
      <c r="AB49" s="152" t="str">
        <f t="shared" si="11"/>
        <v/>
      </c>
      <c r="AC49" s="158" t="str">
        <f>IF(AB49="","",IFERROR(INDEX(HELPER!$D$8:$D$48,IF(AB49&gt;=HELPER!$B$8,1,MATCH(AB49,HELPER!$B$8:$B$48,-1)+1)),""))</f>
        <v/>
      </c>
      <c r="AD49" s="155" t="str">
        <f>IF(AC49="","",IFERROR(VLOOKUP(AC49,HELPER!$F$8:$G$48,2,FALSE),""))</f>
        <v/>
      </c>
      <c r="AE49" s="135"/>
      <c r="AF49" s="90"/>
    </row>
    <row r="50" spans="1:32" ht="15" customHeight="1" x14ac:dyDescent="0.25">
      <c r="A50" s="135"/>
      <c r="B50" s="66">
        <v>33</v>
      </c>
      <c r="C50" s="204" t="str">
        <f>IF('INPUT DATA'!K43="","",'INPUT DATA'!K43)</f>
        <v/>
      </c>
      <c r="D50" s="205"/>
      <c r="E50" s="205"/>
      <c r="F50" s="123"/>
      <c r="G50" s="119"/>
      <c r="H50" s="119"/>
      <c r="I50" s="119"/>
      <c r="J50" s="124"/>
      <c r="K50" s="143" t="str">
        <f t="shared" si="0"/>
        <v/>
      </c>
      <c r="L50" s="143" t="str">
        <f t="shared" si="1"/>
        <v/>
      </c>
      <c r="M50" s="146" t="str">
        <f t="shared" si="2"/>
        <v/>
      </c>
      <c r="N50" s="123"/>
      <c r="O50" s="119"/>
      <c r="P50" s="124"/>
      <c r="Q50" s="143" t="str">
        <f t="shared" si="3"/>
        <v/>
      </c>
      <c r="R50" s="143" t="str">
        <f t="shared" si="4"/>
        <v/>
      </c>
      <c r="S50" s="143" t="str">
        <f t="shared" si="5"/>
        <v/>
      </c>
      <c r="T50" s="123"/>
      <c r="U50" s="119"/>
      <c r="V50" s="124"/>
      <c r="W50" s="143" t="str">
        <f t="shared" si="6"/>
        <v/>
      </c>
      <c r="X50" s="143" t="str">
        <f t="shared" si="7"/>
        <v/>
      </c>
      <c r="Y50" s="143" t="str">
        <f t="shared" si="8"/>
        <v/>
      </c>
      <c r="Z50" s="150" t="str">
        <f t="shared" si="9"/>
        <v/>
      </c>
      <c r="AA50" s="143" t="str">
        <f t="shared" si="10"/>
        <v/>
      </c>
      <c r="AB50" s="152" t="str">
        <f t="shared" si="11"/>
        <v/>
      </c>
      <c r="AC50" s="158" t="str">
        <f>IF(AB50="","",IFERROR(INDEX(HELPER!$D$8:$D$48,IF(AB50&gt;=HELPER!$B$8,1,MATCH(AB50,HELPER!$B$8:$B$48,-1)+1)),""))</f>
        <v/>
      </c>
      <c r="AD50" s="155" t="str">
        <f>IF(AC50="","",IFERROR(VLOOKUP(AC50,HELPER!$F$8:$G$48,2,FALSE),""))</f>
        <v/>
      </c>
      <c r="AE50" s="135"/>
      <c r="AF50" s="90"/>
    </row>
    <row r="51" spans="1:32" ht="15" customHeight="1" x14ac:dyDescent="0.25">
      <c r="A51" s="135"/>
      <c r="B51" s="66">
        <v>34</v>
      </c>
      <c r="C51" s="204" t="str">
        <f>IF('INPUT DATA'!K44="","",'INPUT DATA'!K44)</f>
        <v/>
      </c>
      <c r="D51" s="205"/>
      <c r="E51" s="205"/>
      <c r="F51" s="123"/>
      <c r="G51" s="119"/>
      <c r="H51" s="119"/>
      <c r="I51" s="119"/>
      <c r="J51" s="124"/>
      <c r="K51" s="143" t="str">
        <f t="shared" si="0"/>
        <v/>
      </c>
      <c r="L51" s="143" t="str">
        <f t="shared" si="1"/>
        <v/>
      </c>
      <c r="M51" s="146" t="str">
        <f t="shared" si="2"/>
        <v/>
      </c>
      <c r="N51" s="123"/>
      <c r="O51" s="119"/>
      <c r="P51" s="124"/>
      <c r="Q51" s="143" t="str">
        <f t="shared" si="3"/>
        <v/>
      </c>
      <c r="R51" s="143" t="str">
        <f t="shared" si="4"/>
        <v/>
      </c>
      <c r="S51" s="143" t="str">
        <f t="shared" si="5"/>
        <v/>
      </c>
      <c r="T51" s="123"/>
      <c r="U51" s="119"/>
      <c r="V51" s="124"/>
      <c r="W51" s="143" t="str">
        <f t="shared" si="6"/>
        <v/>
      </c>
      <c r="X51" s="143" t="str">
        <f t="shared" si="7"/>
        <v/>
      </c>
      <c r="Y51" s="143" t="str">
        <f t="shared" si="8"/>
        <v/>
      </c>
      <c r="Z51" s="150" t="str">
        <f t="shared" si="9"/>
        <v/>
      </c>
      <c r="AA51" s="143" t="str">
        <f t="shared" si="10"/>
        <v/>
      </c>
      <c r="AB51" s="152" t="str">
        <f t="shared" si="11"/>
        <v/>
      </c>
      <c r="AC51" s="158" t="str">
        <f>IF(AB51="","",IFERROR(INDEX(HELPER!$D$8:$D$48,IF(AB51&gt;=HELPER!$B$8,1,MATCH(AB51,HELPER!$B$8:$B$48,-1)+1)),""))</f>
        <v/>
      </c>
      <c r="AD51" s="155" t="str">
        <f>IF(AC51="","",IFERROR(VLOOKUP(AC51,HELPER!$F$8:$G$48,2,FALSE),""))</f>
        <v/>
      </c>
      <c r="AE51" s="135"/>
      <c r="AF51" s="90"/>
    </row>
    <row r="52" spans="1:32" ht="15" customHeight="1" x14ac:dyDescent="0.25">
      <c r="A52" s="135"/>
      <c r="B52" s="66">
        <v>35</v>
      </c>
      <c r="C52" s="204" t="str">
        <f>IF('INPUT DATA'!K45="","",'INPUT DATA'!K45)</f>
        <v/>
      </c>
      <c r="D52" s="205"/>
      <c r="E52" s="205"/>
      <c r="F52" s="123"/>
      <c r="G52" s="119"/>
      <c r="H52" s="119"/>
      <c r="I52" s="119"/>
      <c r="J52" s="124"/>
      <c r="K52" s="143" t="str">
        <f t="shared" si="0"/>
        <v/>
      </c>
      <c r="L52" s="143" t="str">
        <f t="shared" si="1"/>
        <v/>
      </c>
      <c r="M52" s="146" t="str">
        <f t="shared" si="2"/>
        <v/>
      </c>
      <c r="N52" s="123"/>
      <c r="O52" s="119"/>
      <c r="P52" s="124"/>
      <c r="Q52" s="143" t="str">
        <f t="shared" si="3"/>
        <v/>
      </c>
      <c r="R52" s="143" t="str">
        <f t="shared" si="4"/>
        <v/>
      </c>
      <c r="S52" s="143" t="str">
        <f t="shared" si="5"/>
        <v/>
      </c>
      <c r="T52" s="123"/>
      <c r="U52" s="119"/>
      <c r="V52" s="124"/>
      <c r="W52" s="143" t="str">
        <f t="shared" si="6"/>
        <v/>
      </c>
      <c r="X52" s="143" t="str">
        <f t="shared" si="7"/>
        <v/>
      </c>
      <c r="Y52" s="143" t="str">
        <f t="shared" si="8"/>
        <v/>
      </c>
      <c r="Z52" s="150" t="str">
        <f t="shared" si="9"/>
        <v/>
      </c>
      <c r="AA52" s="143" t="str">
        <f t="shared" si="10"/>
        <v/>
      </c>
      <c r="AB52" s="152" t="str">
        <f t="shared" si="11"/>
        <v/>
      </c>
      <c r="AC52" s="158" t="str">
        <f>IF(AB52="","",IFERROR(INDEX(HELPER!$D$8:$D$48,IF(AB52&gt;=HELPER!$B$8,1,MATCH(AB52,HELPER!$B$8:$B$48,-1)+1)),""))</f>
        <v/>
      </c>
      <c r="AD52" s="155" t="str">
        <f>IF(AC52="","",IFERROR(VLOOKUP(AC52,HELPER!$F$8:$G$48,2,FALSE),""))</f>
        <v/>
      </c>
      <c r="AE52" s="135"/>
      <c r="AF52" s="90"/>
    </row>
    <row r="53" spans="1:32" ht="15" customHeight="1" x14ac:dyDescent="0.25">
      <c r="A53" s="135"/>
      <c r="B53" s="66">
        <v>36</v>
      </c>
      <c r="C53" s="204" t="str">
        <f>IF('INPUT DATA'!K46="","",'INPUT DATA'!K46)</f>
        <v/>
      </c>
      <c r="D53" s="205"/>
      <c r="E53" s="205"/>
      <c r="F53" s="123"/>
      <c r="G53" s="119"/>
      <c r="H53" s="119"/>
      <c r="I53" s="119"/>
      <c r="J53" s="124"/>
      <c r="K53" s="143" t="str">
        <f t="shared" si="0"/>
        <v/>
      </c>
      <c r="L53" s="143" t="str">
        <f t="shared" si="1"/>
        <v/>
      </c>
      <c r="M53" s="146" t="str">
        <f t="shared" si="2"/>
        <v/>
      </c>
      <c r="N53" s="123"/>
      <c r="O53" s="119"/>
      <c r="P53" s="124"/>
      <c r="Q53" s="143" t="str">
        <f t="shared" si="3"/>
        <v/>
      </c>
      <c r="R53" s="143" t="str">
        <f t="shared" si="4"/>
        <v/>
      </c>
      <c r="S53" s="143" t="str">
        <f t="shared" si="5"/>
        <v/>
      </c>
      <c r="T53" s="123"/>
      <c r="U53" s="119"/>
      <c r="V53" s="124"/>
      <c r="W53" s="143" t="str">
        <f t="shared" si="6"/>
        <v/>
      </c>
      <c r="X53" s="143" t="str">
        <f t="shared" si="7"/>
        <v/>
      </c>
      <c r="Y53" s="143" t="str">
        <f t="shared" si="8"/>
        <v/>
      </c>
      <c r="Z53" s="150" t="str">
        <f t="shared" si="9"/>
        <v/>
      </c>
      <c r="AA53" s="143" t="str">
        <f t="shared" si="10"/>
        <v/>
      </c>
      <c r="AB53" s="152" t="str">
        <f t="shared" si="11"/>
        <v/>
      </c>
      <c r="AC53" s="158" t="str">
        <f>IF(AB53="","",IFERROR(INDEX(HELPER!$D$8:$D$48,IF(AB53&gt;=HELPER!$B$8,1,MATCH(AB53,HELPER!$B$8:$B$48,-1)+1)),""))</f>
        <v/>
      </c>
      <c r="AD53" s="155" t="str">
        <f>IF(AC53="","",IFERROR(VLOOKUP(AC53,HELPER!$F$8:$G$48,2,FALSE),""))</f>
        <v/>
      </c>
      <c r="AE53" s="135"/>
      <c r="AF53" s="90"/>
    </row>
    <row r="54" spans="1:32" ht="15" customHeight="1" x14ac:dyDescent="0.25">
      <c r="A54" s="135"/>
      <c r="B54" s="66">
        <v>37</v>
      </c>
      <c r="C54" s="204" t="str">
        <f>IF('INPUT DATA'!K47="","",'INPUT DATA'!K47)</f>
        <v/>
      </c>
      <c r="D54" s="205"/>
      <c r="E54" s="205"/>
      <c r="F54" s="123"/>
      <c r="G54" s="119"/>
      <c r="H54" s="119"/>
      <c r="I54" s="119"/>
      <c r="J54" s="124"/>
      <c r="K54" s="143" t="str">
        <f t="shared" si="0"/>
        <v/>
      </c>
      <c r="L54" s="143" t="str">
        <f t="shared" si="1"/>
        <v/>
      </c>
      <c r="M54" s="146" t="str">
        <f t="shared" si="2"/>
        <v/>
      </c>
      <c r="N54" s="123"/>
      <c r="O54" s="119"/>
      <c r="P54" s="124"/>
      <c r="Q54" s="143" t="str">
        <f t="shared" si="3"/>
        <v/>
      </c>
      <c r="R54" s="143" t="str">
        <f t="shared" si="4"/>
        <v/>
      </c>
      <c r="S54" s="143" t="str">
        <f t="shared" si="5"/>
        <v/>
      </c>
      <c r="T54" s="123"/>
      <c r="U54" s="119"/>
      <c r="V54" s="124"/>
      <c r="W54" s="143" t="str">
        <f t="shared" si="6"/>
        <v/>
      </c>
      <c r="X54" s="143" t="str">
        <f t="shared" si="7"/>
        <v/>
      </c>
      <c r="Y54" s="143" t="str">
        <f t="shared" si="8"/>
        <v/>
      </c>
      <c r="Z54" s="150" t="str">
        <f t="shared" si="9"/>
        <v/>
      </c>
      <c r="AA54" s="143" t="str">
        <f t="shared" si="10"/>
        <v/>
      </c>
      <c r="AB54" s="152" t="str">
        <f t="shared" si="11"/>
        <v/>
      </c>
      <c r="AC54" s="158" t="str">
        <f>IF(AB54="","",IFERROR(INDEX(HELPER!$D$8:$D$48,IF(AB54&gt;=HELPER!$B$8,1,MATCH(AB54,HELPER!$B$8:$B$48,-1)+1)),""))</f>
        <v/>
      </c>
      <c r="AD54" s="155" t="str">
        <f>IF(AC54="","",IFERROR(VLOOKUP(AC54,HELPER!$F$8:$G$48,2,FALSE),""))</f>
        <v/>
      </c>
      <c r="AE54" s="135"/>
      <c r="AF54" s="90"/>
    </row>
    <row r="55" spans="1:32" ht="15" customHeight="1" x14ac:dyDescent="0.25">
      <c r="A55" s="135"/>
      <c r="B55" s="66">
        <v>38</v>
      </c>
      <c r="C55" s="204" t="str">
        <f>IF('INPUT DATA'!K48="","",'INPUT DATA'!K48)</f>
        <v/>
      </c>
      <c r="D55" s="205"/>
      <c r="E55" s="205"/>
      <c r="F55" s="123"/>
      <c r="G55" s="119"/>
      <c r="H55" s="119"/>
      <c r="I55" s="119"/>
      <c r="J55" s="124"/>
      <c r="K55" s="143" t="str">
        <f t="shared" si="0"/>
        <v/>
      </c>
      <c r="L55" s="143" t="str">
        <f t="shared" si="1"/>
        <v/>
      </c>
      <c r="M55" s="146" t="str">
        <f t="shared" si="2"/>
        <v/>
      </c>
      <c r="N55" s="123"/>
      <c r="O55" s="119"/>
      <c r="P55" s="124"/>
      <c r="Q55" s="143" t="str">
        <f t="shared" si="3"/>
        <v/>
      </c>
      <c r="R55" s="143" t="str">
        <f t="shared" si="4"/>
        <v/>
      </c>
      <c r="S55" s="143" t="str">
        <f t="shared" si="5"/>
        <v/>
      </c>
      <c r="T55" s="123"/>
      <c r="U55" s="119"/>
      <c r="V55" s="124"/>
      <c r="W55" s="143" t="str">
        <f t="shared" si="6"/>
        <v/>
      </c>
      <c r="X55" s="143" t="str">
        <f t="shared" si="7"/>
        <v/>
      </c>
      <c r="Y55" s="143" t="str">
        <f t="shared" si="8"/>
        <v/>
      </c>
      <c r="Z55" s="150" t="str">
        <f t="shared" si="9"/>
        <v/>
      </c>
      <c r="AA55" s="143" t="str">
        <f t="shared" si="10"/>
        <v/>
      </c>
      <c r="AB55" s="152" t="str">
        <f t="shared" si="11"/>
        <v/>
      </c>
      <c r="AC55" s="158" t="str">
        <f>IF(AB55="","",IFERROR(INDEX(HELPER!$D$8:$D$48,IF(AB55&gt;=HELPER!$B$8,1,MATCH(AB55,HELPER!$B$8:$B$48,-1)+1)),""))</f>
        <v/>
      </c>
      <c r="AD55" s="155" t="str">
        <f>IF(AC55="","",IFERROR(VLOOKUP(AC55,HELPER!$F$8:$G$48,2,FALSE),""))</f>
        <v/>
      </c>
      <c r="AE55" s="135"/>
      <c r="AF55" s="90"/>
    </row>
    <row r="56" spans="1:32" ht="15" customHeight="1" x14ac:dyDescent="0.25">
      <c r="A56" s="135"/>
      <c r="B56" s="66">
        <v>39</v>
      </c>
      <c r="C56" s="204" t="str">
        <f>IF('INPUT DATA'!K49="","",'INPUT DATA'!K49)</f>
        <v/>
      </c>
      <c r="D56" s="205"/>
      <c r="E56" s="205"/>
      <c r="F56" s="123"/>
      <c r="G56" s="119"/>
      <c r="H56" s="119"/>
      <c r="I56" s="119"/>
      <c r="J56" s="124"/>
      <c r="K56" s="143" t="str">
        <f t="shared" si="0"/>
        <v/>
      </c>
      <c r="L56" s="143" t="str">
        <f t="shared" si="1"/>
        <v/>
      </c>
      <c r="M56" s="146" t="str">
        <f t="shared" si="2"/>
        <v/>
      </c>
      <c r="N56" s="123"/>
      <c r="O56" s="119"/>
      <c r="P56" s="124"/>
      <c r="Q56" s="143" t="str">
        <f t="shared" si="3"/>
        <v/>
      </c>
      <c r="R56" s="143" t="str">
        <f t="shared" si="4"/>
        <v/>
      </c>
      <c r="S56" s="143" t="str">
        <f t="shared" si="5"/>
        <v/>
      </c>
      <c r="T56" s="123"/>
      <c r="U56" s="119"/>
      <c r="V56" s="124"/>
      <c r="W56" s="143" t="str">
        <f t="shared" si="6"/>
        <v/>
      </c>
      <c r="X56" s="143" t="str">
        <f t="shared" si="7"/>
        <v/>
      </c>
      <c r="Y56" s="143" t="str">
        <f t="shared" si="8"/>
        <v/>
      </c>
      <c r="Z56" s="150" t="str">
        <f t="shared" si="9"/>
        <v/>
      </c>
      <c r="AA56" s="143" t="str">
        <f t="shared" si="10"/>
        <v/>
      </c>
      <c r="AB56" s="152" t="str">
        <f t="shared" si="11"/>
        <v/>
      </c>
      <c r="AC56" s="158" t="str">
        <f>IF(AB56="","",IFERROR(INDEX(HELPER!$D$8:$D$48,IF(AB56&gt;=HELPER!$B$8,1,MATCH(AB56,HELPER!$B$8:$B$48,-1)+1)),""))</f>
        <v/>
      </c>
      <c r="AD56" s="155" t="str">
        <f>IF(AC56="","",IFERROR(VLOOKUP(AC56,HELPER!$F$8:$G$48,2,FALSE),""))</f>
        <v/>
      </c>
      <c r="AE56" s="135"/>
      <c r="AF56" s="90"/>
    </row>
    <row r="57" spans="1:32" ht="15" customHeight="1" x14ac:dyDescent="0.25">
      <c r="A57" s="135"/>
      <c r="B57" s="66">
        <v>40</v>
      </c>
      <c r="C57" s="204" t="str">
        <f>IF('INPUT DATA'!K50="","",'INPUT DATA'!K50)</f>
        <v/>
      </c>
      <c r="D57" s="205"/>
      <c r="E57" s="205"/>
      <c r="F57" s="123"/>
      <c r="G57" s="119"/>
      <c r="H57" s="119"/>
      <c r="I57" s="119"/>
      <c r="J57" s="124"/>
      <c r="K57" s="143" t="str">
        <f t="shared" si="0"/>
        <v/>
      </c>
      <c r="L57" s="143" t="str">
        <f t="shared" si="1"/>
        <v/>
      </c>
      <c r="M57" s="146" t="str">
        <f t="shared" si="2"/>
        <v/>
      </c>
      <c r="N57" s="123"/>
      <c r="O57" s="119"/>
      <c r="P57" s="124"/>
      <c r="Q57" s="143" t="str">
        <f t="shared" si="3"/>
        <v/>
      </c>
      <c r="R57" s="143" t="str">
        <f t="shared" si="4"/>
        <v/>
      </c>
      <c r="S57" s="143" t="str">
        <f t="shared" si="5"/>
        <v/>
      </c>
      <c r="T57" s="123"/>
      <c r="U57" s="119"/>
      <c r="V57" s="124"/>
      <c r="W57" s="143" t="str">
        <f t="shared" si="6"/>
        <v/>
      </c>
      <c r="X57" s="143" t="str">
        <f t="shared" si="7"/>
        <v/>
      </c>
      <c r="Y57" s="143" t="str">
        <f t="shared" si="8"/>
        <v/>
      </c>
      <c r="Z57" s="150" t="str">
        <f t="shared" si="9"/>
        <v/>
      </c>
      <c r="AA57" s="143" t="str">
        <f t="shared" si="10"/>
        <v/>
      </c>
      <c r="AB57" s="152" t="str">
        <f t="shared" si="11"/>
        <v/>
      </c>
      <c r="AC57" s="158" t="str">
        <f>IF(AB57="","",IFERROR(INDEX(HELPER!$D$8:$D$48,IF(AB57&gt;=HELPER!$B$8,1,MATCH(AB57,HELPER!$B$8:$B$48,-1)+1)),""))</f>
        <v/>
      </c>
      <c r="AD57" s="155" t="str">
        <f>IF(AC57="","",IFERROR(VLOOKUP(AC57,HELPER!$F$8:$G$48,2,FALSE),""))</f>
        <v/>
      </c>
      <c r="AE57" s="135"/>
      <c r="AF57" s="90"/>
    </row>
    <row r="58" spans="1:32" ht="15" customHeight="1" x14ac:dyDescent="0.25">
      <c r="A58" s="135"/>
      <c r="B58" s="66">
        <v>41</v>
      </c>
      <c r="C58" s="204" t="str">
        <f>IF('INPUT DATA'!K51="","",'INPUT DATA'!K51)</f>
        <v/>
      </c>
      <c r="D58" s="205"/>
      <c r="E58" s="205"/>
      <c r="F58" s="123"/>
      <c r="G58" s="119"/>
      <c r="H58" s="119"/>
      <c r="I58" s="119"/>
      <c r="J58" s="124"/>
      <c r="K58" s="143" t="str">
        <f t="shared" si="0"/>
        <v/>
      </c>
      <c r="L58" s="143" t="str">
        <f t="shared" si="1"/>
        <v/>
      </c>
      <c r="M58" s="146" t="str">
        <f t="shared" si="2"/>
        <v/>
      </c>
      <c r="N58" s="123"/>
      <c r="O58" s="119"/>
      <c r="P58" s="124"/>
      <c r="Q58" s="143" t="str">
        <f t="shared" si="3"/>
        <v/>
      </c>
      <c r="R58" s="143" t="str">
        <f t="shared" si="4"/>
        <v/>
      </c>
      <c r="S58" s="143" t="str">
        <f t="shared" si="5"/>
        <v/>
      </c>
      <c r="T58" s="123"/>
      <c r="U58" s="119"/>
      <c r="V58" s="124"/>
      <c r="W58" s="143" t="str">
        <f t="shared" si="6"/>
        <v/>
      </c>
      <c r="X58" s="143" t="str">
        <f t="shared" si="7"/>
        <v/>
      </c>
      <c r="Y58" s="143" t="str">
        <f t="shared" si="8"/>
        <v/>
      </c>
      <c r="Z58" s="150" t="str">
        <f t="shared" si="9"/>
        <v/>
      </c>
      <c r="AA58" s="143" t="str">
        <f t="shared" si="10"/>
        <v/>
      </c>
      <c r="AB58" s="152" t="str">
        <f t="shared" si="11"/>
        <v/>
      </c>
      <c r="AC58" s="158" t="str">
        <f>IF(AB58="","",IFERROR(INDEX(HELPER!$D$8:$D$48,IF(AB58&gt;=HELPER!$B$8,1,MATCH(AB58,HELPER!$B$8:$B$48,-1)+1)),""))</f>
        <v/>
      </c>
      <c r="AD58" s="155" t="str">
        <f>IF(AC58="","",IFERROR(VLOOKUP(AC58,HELPER!$F$8:$G$48,2,FALSE),""))</f>
        <v/>
      </c>
      <c r="AE58" s="135"/>
      <c r="AF58" s="90"/>
    </row>
    <row r="59" spans="1:32" ht="15" customHeight="1" x14ac:dyDescent="0.25">
      <c r="A59" s="135"/>
      <c r="B59" s="66">
        <v>42</v>
      </c>
      <c r="C59" s="204" t="str">
        <f>IF('INPUT DATA'!K52="","",'INPUT DATA'!K52)</f>
        <v/>
      </c>
      <c r="D59" s="205"/>
      <c r="E59" s="205"/>
      <c r="F59" s="123"/>
      <c r="G59" s="119"/>
      <c r="H59" s="119"/>
      <c r="I59" s="119"/>
      <c r="J59" s="124"/>
      <c r="K59" s="143" t="str">
        <f t="shared" si="0"/>
        <v/>
      </c>
      <c r="L59" s="143" t="str">
        <f t="shared" si="1"/>
        <v/>
      </c>
      <c r="M59" s="146" t="str">
        <f t="shared" si="2"/>
        <v/>
      </c>
      <c r="N59" s="123"/>
      <c r="O59" s="119"/>
      <c r="P59" s="124"/>
      <c r="Q59" s="143" t="str">
        <f t="shared" si="3"/>
        <v/>
      </c>
      <c r="R59" s="143" t="str">
        <f t="shared" si="4"/>
        <v/>
      </c>
      <c r="S59" s="143" t="str">
        <f t="shared" si="5"/>
        <v/>
      </c>
      <c r="T59" s="123"/>
      <c r="U59" s="119"/>
      <c r="V59" s="124"/>
      <c r="W59" s="143" t="str">
        <f t="shared" si="6"/>
        <v/>
      </c>
      <c r="X59" s="143" t="str">
        <f t="shared" si="7"/>
        <v/>
      </c>
      <c r="Y59" s="143" t="str">
        <f t="shared" si="8"/>
        <v/>
      </c>
      <c r="Z59" s="150" t="str">
        <f t="shared" si="9"/>
        <v/>
      </c>
      <c r="AA59" s="143" t="str">
        <f t="shared" si="10"/>
        <v/>
      </c>
      <c r="AB59" s="152" t="str">
        <f t="shared" si="11"/>
        <v/>
      </c>
      <c r="AC59" s="158" t="str">
        <f>IF(AB59="","",IFERROR(INDEX(HELPER!$D$8:$D$48,IF(AB59&gt;=HELPER!$B$8,1,MATCH(AB59,HELPER!$B$8:$B$48,-1)+1)),""))</f>
        <v/>
      </c>
      <c r="AD59" s="155" t="str">
        <f>IF(AC59="","",IFERROR(VLOOKUP(AC59,HELPER!$F$8:$G$48,2,FALSE),""))</f>
        <v/>
      </c>
      <c r="AE59" s="135"/>
      <c r="AF59" s="90"/>
    </row>
    <row r="60" spans="1:32" ht="15" customHeight="1" x14ac:dyDescent="0.25">
      <c r="A60" s="135"/>
      <c r="B60" s="66">
        <v>43</v>
      </c>
      <c r="C60" s="204" t="str">
        <f>IF('INPUT DATA'!K53="","",'INPUT DATA'!K53)</f>
        <v/>
      </c>
      <c r="D60" s="205"/>
      <c r="E60" s="205"/>
      <c r="F60" s="123"/>
      <c r="G60" s="119"/>
      <c r="H60" s="119"/>
      <c r="I60" s="119"/>
      <c r="J60" s="124"/>
      <c r="K60" s="143" t="str">
        <f t="shared" si="0"/>
        <v/>
      </c>
      <c r="L60" s="143" t="str">
        <f t="shared" si="1"/>
        <v/>
      </c>
      <c r="M60" s="146" t="str">
        <f t="shared" si="2"/>
        <v/>
      </c>
      <c r="N60" s="123"/>
      <c r="O60" s="119"/>
      <c r="P60" s="124"/>
      <c r="Q60" s="143" t="str">
        <f t="shared" si="3"/>
        <v/>
      </c>
      <c r="R60" s="143" t="str">
        <f t="shared" si="4"/>
        <v/>
      </c>
      <c r="S60" s="143" t="str">
        <f t="shared" si="5"/>
        <v/>
      </c>
      <c r="T60" s="123"/>
      <c r="U60" s="119"/>
      <c r="V60" s="124"/>
      <c r="W60" s="143" t="str">
        <f t="shared" si="6"/>
        <v/>
      </c>
      <c r="X60" s="143" t="str">
        <f t="shared" si="7"/>
        <v/>
      </c>
      <c r="Y60" s="143" t="str">
        <f t="shared" si="8"/>
        <v/>
      </c>
      <c r="Z60" s="150" t="str">
        <f t="shared" si="9"/>
        <v/>
      </c>
      <c r="AA60" s="143" t="str">
        <f t="shared" si="10"/>
        <v/>
      </c>
      <c r="AB60" s="152" t="str">
        <f t="shared" si="11"/>
        <v/>
      </c>
      <c r="AC60" s="158" t="str">
        <f>IF(AB60="","",IFERROR(INDEX(HELPER!$D$8:$D$48,IF(AB60&gt;=HELPER!$B$8,1,MATCH(AB60,HELPER!$B$8:$B$48,-1)+1)),""))</f>
        <v/>
      </c>
      <c r="AD60" s="155" t="str">
        <f>IF(AC60="","",IFERROR(VLOOKUP(AC60,HELPER!$F$8:$G$48,2,FALSE),""))</f>
        <v/>
      </c>
      <c r="AE60" s="135"/>
      <c r="AF60" s="90"/>
    </row>
    <row r="61" spans="1:32" ht="15" customHeight="1" x14ac:dyDescent="0.25">
      <c r="A61" s="135"/>
      <c r="B61" s="66">
        <v>44</v>
      </c>
      <c r="C61" s="204" t="str">
        <f>IF('INPUT DATA'!K54="","",'INPUT DATA'!K54)</f>
        <v/>
      </c>
      <c r="D61" s="205"/>
      <c r="E61" s="205"/>
      <c r="F61" s="123"/>
      <c r="G61" s="119"/>
      <c r="H61" s="119"/>
      <c r="I61" s="119"/>
      <c r="J61" s="124"/>
      <c r="K61" s="143" t="str">
        <f t="shared" si="0"/>
        <v/>
      </c>
      <c r="L61" s="143" t="str">
        <f t="shared" si="1"/>
        <v/>
      </c>
      <c r="M61" s="146" t="str">
        <f t="shared" si="2"/>
        <v/>
      </c>
      <c r="N61" s="123"/>
      <c r="O61" s="119"/>
      <c r="P61" s="124"/>
      <c r="Q61" s="143" t="str">
        <f t="shared" si="3"/>
        <v/>
      </c>
      <c r="R61" s="143" t="str">
        <f t="shared" si="4"/>
        <v/>
      </c>
      <c r="S61" s="143" t="str">
        <f t="shared" si="5"/>
        <v/>
      </c>
      <c r="T61" s="123"/>
      <c r="U61" s="119"/>
      <c r="V61" s="124"/>
      <c r="W61" s="143" t="str">
        <f t="shared" si="6"/>
        <v/>
      </c>
      <c r="X61" s="143" t="str">
        <f t="shared" si="7"/>
        <v/>
      </c>
      <c r="Y61" s="143" t="str">
        <f t="shared" si="8"/>
        <v/>
      </c>
      <c r="Z61" s="150" t="str">
        <f t="shared" si="9"/>
        <v/>
      </c>
      <c r="AA61" s="143" t="str">
        <f t="shared" si="10"/>
        <v/>
      </c>
      <c r="AB61" s="152" t="str">
        <f t="shared" si="11"/>
        <v/>
      </c>
      <c r="AC61" s="158" t="str">
        <f>IF(AB61="","",IFERROR(INDEX(HELPER!$D$8:$D$48,IF(AB61&gt;=HELPER!$B$8,1,MATCH(AB61,HELPER!$B$8:$B$48,-1)+1)),""))</f>
        <v/>
      </c>
      <c r="AD61" s="155" t="str">
        <f>IF(AC61="","",IFERROR(VLOOKUP(AC61,HELPER!$F$8:$G$48,2,FALSE),""))</f>
        <v/>
      </c>
      <c r="AE61" s="135"/>
      <c r="AF61" s="90"/>
    </row>
    <row r="62" spans="1:32" ht="15" customHeight="1" x14ac:dyDescent="0.25">
      <c r="A62" s="135"/>
      <c r="B62" s="66">
        <v>45</v>
      </c>
      <c r="C62" s="204" t="str">
        <f>IF('INPUT DATA'!K55="","",'INPUT DATA'!K55)</f>
        <v/>
      </c>
      <c r="D62" s="205"/>
      <c r="E62" s="205"/>
      <c r="F62" s="123"/>
      <c r="G62" s="119"/>
      <c r="H62" s="119"/>
      <c r="I62" s="119"/>
      <c r="J62" s="124"/>
      <c r="K62" s="143" t="str">
        <f t="shared" si="0"/>
        <v/>
      </c>
      <c r="L62" s="143" t="str">
        <f t="shared" si="1"/>
        <v/>
      </c>
      <c r="M62" s="146" t="str">
        <f t="shared" si="2"/>
        <v/>
      </c>
      <c r="N62" s="123"/>
      <c r="O62" s="119"/>
      <c r="P62" s="124"/>
      <c r="Q62" s="143" t="str">
        <f t="shared" si="3"/>
        <v/>
      </c>
      <c r="R62" s="143" t="str">
        <f t="shared" si="4"/>
        <v/>
      </c>
      <c r="S62" s="143" t="str">
        <f t="shared" si="5"/>
        <v/>
      </c>
      <c r="T62" s="123"/>
      <c r="U62" s="119"/>
      <c r="V62" s="124"/>
      <c r="W62" s="143" t="str">
        <f t="shared" si="6"/>
        <v/>
      </c>
      <c r="X62" s="143" t="str">
        <f t="shared" si="7"/>
        <v/>
      </c>
      <c r="Y62" s="143" t="str">
        <f t="shared" si="8"/>
        <v/>
      </c>
      <c r="Z62" s="150" t="str">
        <f t="shared" si="9"/>
        <v/>
      </c>
      <c r="AA62" s="143" t="str">
        <f t="shared" si="10"/>
        <v/>
      </c>
      <c r="AB62" s="152" t="str">
        <f t="shared" si="11"/>
        <v/>
      </c>
      <c r="AC62" s="158" t="str">
        <f>IF(AB62="","",IFERROR(INDEX(HELPER!$D$8:$D$48,IF(AB62&gt;=HELPER!$B$8,1,MATCH(AB62,HELPER!$B$8:$B$48,-1)+1)),""))</f>
        <v/>
      </c>
      <c r="AD62" s="155" t="str">
        <f>IF(AC62="","",IFERROR(VLOOKUP(AC62,HELPER!$F$8:$G$48,2,FALSE),""))</f>
        <v/>
      </c>
      <c r="AE62" s="135"/>
      <c r="AF62" s="90"/>
    </row>
    <row r="63" spans="1:32" ht="15" customHeight="1" x14ac:dyDescent="0.25">
      <c r="A63" s="135"/>
      <c r="B63" s="66">
        <v>46</v>
      </c>
      <c r="C63" s="204" t="str">
        <f>IF('INPUT DATA'!K56="","",'INPUT DATA'!K56)</f>
        <v/>
      </c>
      <c r="D63" s="205"/>
      <c r="E63" s="205"/>
      <c r="F63" s="123"/>
      <c r="G63" s="119"/>
      <c r="H63" s="119"/>
      <c r="I63" s="119"/>
      <c r="J63" s="124"/>
      <c r="K63" s="143" t="str">
        <f t="shared" si="0"/>
        <v/>
      </c>
      <c r="L63" s="143" t="str">
        <f t="shared" si="1"/>
        <v/>
      </c>
      <c r="M63" s="146" t="str">
        <f t="shared" si="2"/>
        <v/>
      </c>
      <c r="N63" s="123"/>
      <c r="O63" s="119"/>
      <c r="P63" s="124"/>
      <c r="Q63" s="143" t="str">
        <f t="shared" si="3"/>
        <v/>
      </c>
      <c r="R63" s="143" t="str">
        <f t="shared" si="4"/>
        <v/>
      </c>
      <c r="S63" s="143" t="str">
        <f t="shared" si="5"/>
        <v/>
      </c>
      <c r="T63" s="123"/>
      <c r="U63" s="119"/>
      <c r="V63" s="124"/>
      <c r="W63" s="143" t="str">
        <f t="shared" si="6"/>
        <v/>
      </c>
      <c r="X63" s="143" t="str">
        <f t="shared" si="7"/>
        <v/>
      </c>
      <c r="Y63" s="143" t="str">
        <f t="shared" si="8"/>
        <v/>
      </c>
      <c r="Z63" s="150" t="str">
        <f t="shared" si="9"/>
        <v/>
      </c>
      <c r="AA63" s="143" t="str">
        <f t="shared" si="10"/>
        <v/>
      </c>
      <c r="AB63" s="152" t="str">
        <f t="shared" si="11"/>
        <v/>
      </c>
      <c r="AC63" s="158" t="str">
        <f>IF(AB63="","",IFERROR(INDEX(HELPER!$D$8:$D$48,IF(AB63&gt;=HELPER!$B$8,1,MATCH(AB63,HELPER!$B$8:$B$48,-1)+1)),""))</f>
        <v/>
      </c>
      <c r="AD63" s="155" t="str">
        <f>IF(AC63="","",IFERROR(VLOOKUP(AC63,HELPER!$F$8:$G$48,2,FALSE),""))</f>
        <v/>
      </c>
      <c r="AE63" s="135"/>
      <c r="AF63" s="90"/>
    </row>
    <row r="64" spans="1:32" ht="15" customHeight="1" x14ac:dyDescent="0.25">
      <c r="A64" s="135"/>
      <c r="B64" s="66">
        <v>47</v>
      </c>
      <c r="C64" s="204" t="str">
        <f>IF('INPUT DATA'!K57="","",'INPUT DATA'!K57)</f>
        <v/>
      </c>
      <c r="D64" s="205"/>
      <c r="E64" s="205"/>
      <c r="F64" s="123"/>
      <c r="G64" s="119"/>
      <c r="H64" s="119"/>
      <c r="I64" s="119"/>
      <c r="J64" s="124"/>
      <c r="K64" s="143" t="str">
        <f t="shared" si="0"/>
        <v/>
      </c>
      <c r="L64" s="143" t="str">
        <f t="shared" si="1"/>
        <v/>
      </c>
      <c r="M64" s="146" t="str">
        <f t="shared" si="2"/>
        <v/>
      </c>
      <c r="N64" s="123"/>
      <c r="O64" s="119"/>
      <c r="P64" s="124"/>
      <c r="Q64" s="143" t="str">
        <f t="shared" si="3"/>
        <v/>
      </c>
      <c r="R64" s="143" t="str">
        <f t="shared" si="4"/>
        <v/>
      </c>
      <c r="S64" s="143" t="str">
        <f t="shared" si="5"/>
        <v/>
      </c>
      <c r="T64" s="123"/>
      <c r="U64" s="119"/>
      <c r="V64" s="124"/>
      <c r="W64" s="143" t="str">
        <f t="shared" si="6"/>
        <v/>
      </c>
      <c r="X64" s="143" t="str">
        <f t="shared" si="7"/>
        <v/>
      </c>
      <c r="Y64" s="143" t="str">
        <f t="shared" si="8"/>
        <v/>
      </c>
      <c r="Z64" s="150" t="str">
        <f t="shared" si="9"/>
        <v/>
      </c>
      <c r="AA64" s="143" t="str">
        <f t="shared" si="10"/>
        <v/>
      </c>
      <c r="AB64" s="152" t="str">
        <f t="shared" si="11"/>
        <v/>
      </c>
      <c r="AC64" s="158" t="str">
        <f>IF(AB64="","",IFERROR(INDEX(HELPER!$D$8:$D$48,IF(AB64&gt;=HELPER!$B$8,1,MATCH(AB64,HELPER!$B$8:$B$48,-1)+1)),""))</f>
        <v/>
      </c>
      <c r="AD64" s="155" t="str">
        <f>IF(AC64="","",IFERROR(VLOOKUP(AC64,HELPER!$F$8:$G$48,2,FALSE),""))</f>
        <v/>
      </c>
      <c r="AE64" s="135"/>
      <c r="AF64" s="90"/>
    </row>
    <row r="65" spans="1:32" ht="15" customHeight="1" x14ac:dyDescent="0.25">
      <c r="A65" s="135"/>
      <c r="B65" s="66">
        <v>48</v>
      </c>
      <c r="C65" s="204" t="str">
        <f>IF('INPUT DATA'!K58="","",'INPUT DATA'!K58)</f>
        <v/>
      </c>
      <c r="D65" s="205"/>
      <c r="E65" s="205"/>
      <c r="F65" s="123"/>
      <c r="G65" s="119"/>
      <c r="H65" s="119"/>
      <c r="I65" s="119"/>
      <c r="J65" s="124"/>
      <c r="K65" s="143" t="str">
        <f t="shared" si="0"/>
        <v/>
      </c>
      <c r="L65" s="143" t="str">
        <f t="shared" si="1"/>
        <v/>
      </c>
      <c r="M65" s="146" t="str">
        <f t="shared" si="2"/>
        <v/>
      </c>
      <c r="N65" s="123"/>
      <c r="O65" s="119"/>
      <c r="P65" s="124"/>
      <c r="Q65" s="143" t="str">
        <f t="shared" si="3"/>
        <v/>
      </c>
      <c r="R65" s="143" t="str">
        <f t="shared" si="4"/>
        <v/>
      </c>
      <c r="S65" s="143" t="str">
        <f t="shared" si="5"/>
        <v/>
      </c>
      <c r="T65" s="123"/>
      <c r="U65" s="119"/>
      <c r="V65" s="124"/>
      <c r="W65" s="143" t="str">
        <f t="shared" si="6"/>
        <v/>
      </c>
      <c r="X65" s="143" t="str">
        <f t="shared" si="7"/>
        <v/>
      </c>
      <c r="Y65" s="143" t="str">
        <f t="shared" si="8"/>
        <v/>
      </c>
      <c r="Z65" s="150" t="str">
        <f t="shared" si="9"/>
        <v/>
      </c>
      <c r="AA65" s="143" t="str">
        <f t="shared" si="10"/>
        <v/>
      </c>
      <c r="AB65" s="152" t="str">
        <f t="shared" si="11"/>
        <v/>
      </c>
      <c r="AC65" s="158" t="str">
        <f>IF(AB65="","",IFERROR(INDEX(HELPER!$D$8:$D$48,IF(AB65&gt;=HELPER!$B$8,1,MATCH(AB65,HELPER!$B$8:$B$48,-1)+1)),""))</f>
        <v/>
      </c>
      <c r="AD65" s="155" t="str">
        <f>IF(AC65="","",IFERROR(VLOOKUP(AC65,HELPER!$F$8:$G$48,2,FALSE),""))</f>
        <v/>
      </c>
      <c r="AE65" s="135"/>
      <c r="AF65" s="90"/>
    </row>
    <row r="66" spans="1:32" ht="15" customHeight="1" x14ac:dyDescent="0.25">
      <c r="A66" s="135"/>
      <c r="B66" s="66">
        <v>49</v>
      </c>
      <c r="C66" s="204" t="str">
        <f>IF('INPUT DATA'!K59="","",'INPUT DATA'!K59)</f>
        <v/>
      </c>
      <c r="D66" s="205"/>
      <c r="E66" s="205"/>
      <c r="F66" s="123"/>
      <c r="G66" s="119"/>
      <c r="H66" s="119"/>
      <c r="I66" s="119"/>
      <c r="J66" s="124"/>
      <c r="K66" s="143" t="str">
        <f t="shared" si="0"/>
        <v/>
      </c>
      <c r="L66" s="143" t="str">
        <f t="shared" si="1"/>
        <v/>
      </c>
      <c r="M66" s="146" t="str">
        <f t="shared" si="2"/>
        <v/>
      </c>
      <c r="N66" s="123"/>
      <c r="O66" s="119"/>
      <c r="P66" s="124"/>
      <c r="Q66" s="143" t="str">
        <f t="shared" si="3"/>
        <v/>
      </c>
      <c r="R66" s="143" t="str">
        <f t="shared" si="4"/>
        <v/>
      </c>
      <c r="S66" s="143" t="str">
        <f t="shared" si="5"/>
        <v/>
      </c>
      <c r="T66" s="123"/>
      <c r="U66" s="119"/>
      <c r="V66" s="124"/>
      <c r="W66" s="143" t="str">
        <f t="shared" si="6"/>
        <v/>
      </c>
      <c r="X66" s="143" t="str">
        <f t="shared" si="7"/>
        <v/>
      </c>
      <c r="Y66" s="143" t="str">
        <f t="shared" si="8"/>
        <v/>
      </c>
      <c r="Z66" s="150" t="str">
        <f t="shared" si="9"/>
        <v/>
      </c>
      <c r="AA66" s="143" t="str">
        <f t="shared" si="10"/>
        <v/>
      </c>
      <c r="AB66" s="152" t="str">
        <f t="shared" si="11"/>
        <v/>
      </c>
      <c r="AC66" s="158" t="str">
        <f>IF(AB66="","",IFERROR(INDEX(HELPER!$D$8:$D$48,IF(AB66&gt;=HELPER!$B$8,1,MATCH(AB66,HELPER!$B$8:$B$48,-1)+1)),""))</f>
        <v/>
      </c>
      <c r="AD66" s="155" t="str">
        <f>IF(AC66="","",IFERROR(VLOOKUP(AC66,HELPER!$F$8:$G$48,2,FALSE),""))</f>
        <v/>
      </c>
      <c r="AE66" s="135"/>
      <c r="AF66" s="90"/>
    </row>
    <row r="67" spans="1:32" ht="15" customHeight="1" thickBot="1" x14ac:dyDescent="0.3">
      <c r="A67" s="135"/>
      <c r="B67" s="66">
        <v>50</v>
      </c>
      <c r="C67" s="204" t="str">
        <f>IF('INPUT DATA'!K60="","",'INPUT DATA'!K60)</f>
        <v/>
      </c>
      <c r="D67" s="205"/>
      <c r="E67" s="205"/>
      <c r="F67" s="125"/>
      <c r="G67" s="126"/>
      <c r="H67" s="126"/>
      <c r="I67" s="126"/>
      <c r="J67" s="127"/>
      <c r="K67" s="144" t="str">
        <f t="shared" si="0"/>
        <v/>
      </c>
      <c r="L67" s="144" t="str">
        <f t="shared" si="1"/>
        <v/>
      </c>
      <c r="M67" s="147" t="str">
        <f t="shared" si="2"/>
        <v/>
      </c>
      <c r="N67" s="125"/>
      <c r="O67" s="126"/>
      <c r="P67" s="127"/>
      <c r="Q67" s="144" t="str">
        <f t="shared" si="3"/>
        <v/>
      </c>
      <c r="R67" s="144" t="str">
        <f t="shared" si="4"/>
        <v/>
      </c>
      <c r="S67" s="144" t="str">
        <f t="shared" si="5"/>
        <v/>
      </c>
      <c r="T67" s="125"/>
      <c r="U67" s="126"/>
      <c r="V67" s="127"/>
      <c r="W67" s="144" t="str">
        <f t="shared" si="6"/>
        <v/>
      </c>
      <c r="X67" s="144" t="str">
        <f t="shared" si="7"/>
        <v/>
      </c>
      <c r="Y67" s="144" t="str">
        <f t="shared" si="8"/>
        <v/>
      </c>
      <c r="Z67" s="148" t="str">
        <f t="shared" si="9"/>
        <v/>
      </c>
      <c r="AA67" s="144" t="str">
        <f t="shared" si="10"/>
        <v/>
      </c>
      <c r="AB67" s="153" t="str">
        <f t="shared" si="11"/>
        <v/>
      </c>
      <c r="AC67" s="159" t="str">
        <f>IF(AB67="","",IFERROR(INDEX(HELPER!$D$8:$D$48,IF(AB67&gt;=HELPER!$B$8,1,MATCH(AB67,HELPER!$B$8:$B$48,-1)+1)),""))</f>
        <v/>
      </c>
      <c r="AD67" s="156" t="str">
        <f>IF(AC67="","",IFERROR(VLOOKUP(AC67,HELPER!$F$8:$G$48,2,FALSE),""))</f>
        <v/>
      </c>
      <c r="AE67" s="135"/>
      <c r="AF67" s="90"/>
    </row>
    <row r="68" spans="1:32" ht="14.4" customHeight="1" thickBot="1" x14ac:dyDescent="0.3">
      <c r="A68" s="135"/>
      <c r="B68" s="245" t="s">
        <v>6</v>
      </c>
      <c r="C68" s="242"/>
      <c r="D68" s="242"/>
      <c r="E68" s="242"/>
      <c r="F68" s="246"/>
      <c r="G68" s="246"/>
      <c r="H68" s="246"/>
      <c r="I68" s="246"/>
      <c r="J68" s="246"/>
      <c r="K68" s="246"/>
      <c r="L68" s="246"/>
      <c r="M68" s="246"/>
      <c r="N68" s="246"/>
      <c r="O68" s="246"/>
      <c r="P68" s="246"/>
      <c r="Q68" s="246"/>
      <c r="R68" s="246"/>
      <c r="S68" s="246"/>
      <c r="T68" s="246"/>
      <c r="U68" s="246"/>
      <c r="V68" s="246"/>
      <c r="W68" s="246"/>
      <c r="X68" s="246"/>
      <c r="Y68" s="246"/>
      <c r="Z68" s="246"/>
      <c r="AA68" s="246"/>
      <c r="AB68" s="246"/>
      <c r="AC68" s="246"/>
      <c r="AD68" s="247"/>
      <c r="AE68" s="135"/>
      <c r="AF68" s="90"/>
    </row>
    <row r="69" spans="1:32" ht="15" customHeight="1" x14ac:dyDescent="0.25">
      <c r="A69" s="135"/>
      <c r="B69" s="110">
        <v>1</v>
      </c>
      <c r="C69" s="236" t="str">
        <f>IF('INPUT DATA'!N11="","",'INPUT DATA'!N11)</f>
        <v/>
      </c>
      <c r="D69" s="237"/>
      <c r="E69" s="237"/>
      <c r="F69" s="120"/>
      <c r="G69" s="121"/>
      <c r="H69" s="121"/>
      <c r="I69" s="121"/>
      <c r="J69" s="122"/>
      <c r="K69" s="142" t="str">
        <f t="shared" si="0"/>
        <v/>
      </c>
      <c r="L69" s="142" t="str">
        <f t="shared" ref="L69:L118" si="12">IF(COUNT(F69:J69)=0,"",IFERROR(K69/$K$15*$L$15,""))</f>
        <v/>
      </c>
      <c r="M69" s="145" t="str">
        <f t="shared" ref="M69:M118" si="13">IF(L69="","",L69*$M$15)</f>
        <v/>
      </c>
      <c r="N69" s="120"/>
      <c r="O69" s="121"/>
      <c r="P69" s="122"/>
      <c r="Q69" s="142" t="str">
        <f t="shared" ref="Q69:Q118" si="14">IF(COUNT(N69:P69)=0,"",SUM(N69:P69))</f>
        <v/>
      </c>
      <c r="R69" s="142" t="str">
        <f t="shared" ref="R69:R118" si="15">IF(COUNT(N69:P69)=0,"",IFERROR(Q69/$Q$15*$R$15,""))</f>
        <v/>
      </c>
      <c r="S69" s="142" t="str">
        <f t="shared" ref="S69:S118" si="16">IF(R69="","",R69*$S$15)</f>
        <v/>
      </c>
      <c r="T69" s="120"/>
      <c r="U69" s="121"/>
      <c r="V69" s="122"/>
      <c r="W69" s="142" t="str">
        <f t="shared" ref="W69:W118" si="17">IF(T69="","",IFERROR(T69/$T$15*$W$15,""))</f>
        <v/>
      </c>
      <c r="X69" s="142" t="str">
        <f t="shared" ref="X69:X118" si="18">IF(U69="","",IFERROR(U69/$U$15*$X$15,""))</f>
        <v/>
      </c>
      <c r="Y69" s="142" t="str">
        <f t="shared" ref="Y69:Y118" si="19">IF(V69="","",IFERROR(V69/$V$15*$Y$15,""))</f>
        <v/>
      </c>
      <c r="Z69" s="149" t="str">
        <f t="shared" ref="Z69:Z118" si="20">IF(COUNT(T69:V69)=0,"",SUM(W69:Y69))</f>
        <v/>
      </c>
      <c r="AA69" s="142" t="str">
        <f t="shared" ref="AA69:AA118" si="21">IF(Z69="","",Z69*$AA$15)</f>
        <v/>
      </c>
      <c r="AB69" s="151" t="str">
        <f t="shared" ref="AB69:AB118" si="22">IF(COUNT(F69:J69,N69:P69,T69:V69)=0,"",SUM(M69,S69,AA69))</f>
        <v/>
      </c>
      <c r="AC69" s="157" t="str">
        <f>IF(AB69="","",IFERROR(INDEX(HELPER!$D$8:$D$48,IF(AB69&gt;=HELPER!$B$8,1,MATCH(AB69,HELPER!$B$8:$B$48,-1)+1)),""))</f>
        <v/>
      </c>
      <c r="AD69" s="154" t="str">
        <f>IF(AC69="","",IFERROR(VLOOKUP(AC69,HELPER!$F$8:$G$48,2,FALSE),""))</f>
        <v/>
      </c>
      <c r="AE69" s="135"/>
      <c r="AF69" s="90"/>
    </row>
    <row r="70" spans="1:32" ht="15" customHeight="1" x14ac:dyDescent="0.25">
      <c r="A70" s="135"/>
      <c r="B70" s="111">
        <v>2</v>
      </c>
      <c r="C70" s="209" t="str">
        <f>IF('INPUT DATA'!N12="","",'INPUT DATA'!N12)</f>
        <v/>
      </c>
      <c r="D70" s="210"/>
      <c r="E70" s="210"/>
      <c r="F70" s="123"/>
      <c r="G70" s="119"/>
      <c r="H70" s="119"/>
      <c r="I70" s="119"/>
      <c r="J70" s="124"/>
      <c r="K70" s="143" t="str">
        <f t="shared" si="0"/>
        <v/>
      </c>
      <c r="L70" s="143" t="str">
        <f t="shared" si="12"/>
        <v/>
      </c>
      <c r="M70" s="146" t="str">
        <f t="shared" si="13"/>
        <v/>
      </c>
      <c r="N70" s="123"/>
      <c r="O70" s="119"/>
      <c r="P70" s="124"/>
      <c r="Q70" s="143" t="str">
        <f t="shared" si="14"/>
        <v/>
      </c>
      <c r="R70" s="143" t="str">
        <f t="shared" si="15"/>
        <v/>
      </c>
      <c r="S70" s="143" t="str">
        <f t="shared" si="16"/>
        <v/>
      </c>
      <c r="T70" s="123"/>
      <c r="U70" s="119"/>
      <c r="V70" s="124"/>
      <c r="W70" s="143" t="str">
        <f t="shared" si="17"/>
        <v/>
      </c>
      <c r="X70" s="143" t="str">
        <f t="shared" si="18"/>
        <v/>
      </c>
      <c r="Y70" s="143" t="str">
        <f t="shared" si="19"/>
        <v/>
      </c>
      <c r="Z70" s="150" t="str">
        <f t="shared" si="20"/>
        <v/>
      </c>
      <c r="AA70" s="143" t="str">
        <f t="shared" si="21"/>
        <v/>
      </c>
      <c r="AB70" s="152" t="str">
        <f t="shared" si="22"/>
        <v/>
      </c>
      <c r="AC70" s="158" t="str">
        <f>IF(AB70="","",IFERROR(INDEX(HELPER!$D$8:$D$48,IF(AB70&gt;=HELPER!$B$8,1,MATCH(AB70,HELPER!$B$8:$B$48,-1)+1)),""))</f>
        <v/>
      </c>
      <c r="AD70" s="155" t="str">
        <f>IF(AC70="","",IFERROR(VLOOKUP(AC70,HELPER!$F$8:$G$48,2,FALSE),""))</f>
        <v/>
      </c>
      <c r="AE70" s="135"/>
      <c r="AF70" s="90"/>
    </row>
    <row r="71" spans="1:32" ht="15" customHeight="1" x14ac:dyDescent="0.25">
      <c r="A71" s="135"/>
      <c r="B71" s="111">
        <v>3</v>
      </c>
      <c r="C71" s="209" t="str">
        <f>IF('INPUT DATA'!N13="","",'INPUT DATA'!N13)</f>
        <v/>
      </c>
      <c r="D71" s="210"/>
      <c r="E71" s="210"/>
      <c r="F71" s="123"/>
      <c r="G71" s="119"/>
      <c r="H71" s="119"/>
      <c r="I71" s="119"/>
      <c r="J71" s="124"/>
      <c r="K71" s="143" t="str">
        <f t="shared" si="0"/>
        <v/>
      </c>
      <c r="L71" s="143" t="str">
        <f t="shared" si="12"/>
        <v/>
      </c>
      <c r="M71" s="146" t="str">
        <f t="shared" si="13"/>
        <v/>
      </c>
      <c r="N71" s="123"/>
      <c r="O71" s="119"/>
      <c r="P71" s="124"/>
      <c r="Q71" s="143" t="str">
        <f t="shared" si="14"/>
        <v/>
      </c>
      <c r="R71" s="143" t="str">
        <f t="shared" si="15"/>
        <v/>
      </c>
      <c r="S71" s="143" t="str">
        <f t="shared" si="16"/>
        <v/>
      </c>
      <c r="T71" s="123"/>
      <c r="U71" s="119"/>
      <c r="V71" s="124"/>
      <c r="W71" s="143" t="str">
        <f t="shared" si="17"/>
        <v/>
      </c>
      <c r="X71" s="143" t="str">
        <f t="shared" si="18"/>
        <v/>
      </c>
      <c r="Y71" s="143" t="str">
        <f t="shared" si="19"/>
        <v/>
      </c>
      <c r="Z71" s="150" t="str">
        <f t="shared" si="20"/>
        <v/>
      </c>
      <c r="AA71" s="143" t="str">
        <f t="shared" si="21"/>
        <v/>
      </c>
      <c r="AB71" s="152" t="str">
        <f t="shared" si="22"/>
        <v/>
      </c>
      <c r="AC71" s="158" t="str">
        <f>IF(AB71="","",IFERROR(INDEX(HELPER!$D$8:$D$48,IF(AB71&gt;=HELPER!$B$8,1,MATCH(AB71,HELPER!$B$8:$B$48,-1)+1)),""))</f>
        <v/>
      </c>
      <c r="AD71" s="155" t="str">
        <f>IF(AC71="","",IFERROR(VLOOKUP(AC71,HELPER!$F$8:$G$48,2,FALSE),""))</f>
        <v/>
      </c>
      <c r="AE71" s="135"/>
      <c r="AF71" s="90"/>
    </row>
    <row r="72" spans="1:32" ht="15" customHeight="1" x14ac:dyDescent="0.25">
      <c r="A72" s="135"/>
      <c r="B72" s="111">
        <v>4</v>
      </c>
      <c r="C72" s="209" t="str">
        <f>IF('INPUT DATA'!N14="","",'INPUT DATA'!N14)</f>
        <v/>
      </c>
      <c r="D72" s="210"/>
      <c r="E72" s="210"/>
      <c r="F72" s="123"/>
      <c r="G72" s="119"/>
      <c r="H72" s="119"/>
      <c r="I72" s="119"/>
      <c r="J72" s="124"/>
      <c r="K72" s="143" t="str">
        <f t="shared" si="0"/>
        <v/>
      </c>
      <c r="L72" s="143" t="str">
        <f t="shared" si="12"/>
        <v/>
      </c>
      <c r="M72" s="146" t="str">
        <f t="shared" si="13"/>
        <v/>
      </c>
      <c r="N72" s="123"/>
      <c r="O72" s="119"/>
      <c r="P72" s="124"/>
      <c r="Q72" s="143" t="str">
        <f t="shared" si="14"/>
        <v/>
      </c>
      <c r="R72" s="143" t="str">
        <f t="shared" si="15"/>
        <v/>
      </c>
      <c r="S72" s="143" t="str">
        <f t="shared" si="16"/>
        <v/>
      </c>
      <c r="T72" s="123"/>
      <c r="U72" s="119"/>
      <c r="V72" s="124"/>
      <c r="W72" s="143" t="str">
        <f t="shared" si="17"/>
        <v/>
      </c>
      <c r="X72" s="143" t="str">
        <f t="shared" si="18"/>
        <v/>
      </c>
      <c r="Y72" s="143" t="str">
        <f t="shared" si="19"/>
        <v/>
      </c>
      <c r="Z72" s="150" t="str">
        <f t="shared" si="20"/>
        <v/>
      </c>
      <c r="AA72" s="143" t="str">
        <f t="shared" si="21"/>
        <v/>
      </c>
      <c r="AB72" s="152" t="str">
        <f t="shared" si="22"/>
        <v/>
      </c>
      <c r="AC72" s="158" t="str">
        <f>IF(AB72="","",IFERROR(INDEX(HELPER!$D$8:$D$48,IF(AB72&gt;=HELPER!$B$8,1,MATCH(AB72,HELPER!$B$8:$B$48,-1)+1)),""))</f>
        <v/>
      </c>
      <c r="AD72" s="155" t="str">
        <f>IF(AC72="","",IFERROR(VLOOKUP(AC72,HELPER!$F$8:$G$48,2,FALSE),""))</f>
        <v/>
      </c>
      <c r="AE72" s="135"/>
      <c r="AF72" s="90"/>
    </row>
    <row r="73" spans="1:32" ht="15" customHeight="1" x14ac:dyDescent="0.25">
      <c r="A73" s="135"/>
      <c r="B73" s="111">
        <v>5</v>
      </c>
      <c r="C73" s="209" t="str">
        <f>IF('INPUT DATA'!N15="","",'INPUT DATA'!N15)</f>
        <v/>
      </c>
      <c r="D73" s="210"/>
      <c r="E73" s="210"/>
      <c r="F73" s="123"/>
      <c r="G73" s="119"/>
      <c r="H73" s="119"/>
      <c r="I73" s="119"/>
      <c r="J73" s="124"/>
      <c r="K73" s="143" t="str">
        <f t="shared" si="0"/>
        <v/>
      </c>
      <c r="L73" s="143" t="str">
        <f t="shared" si="12"/>
        <v/>
      </c>
      <c r="M73" s="146" t="str">
        <f t="shared" si="13"/>
        <v/>
      </c>
      <c r="N73" s="123"/>
      <c r="O73" s="119"/>
      <c r="P73" s="124"/>
      <c r="Q73" s="143" t="str">
        <f t="shared" si="14"/>
        <v/>
      </c>
      <c r="R73" s="143" t="str">
        <f t="shared" si="15"/>
        <v/>
      </c>
      <c r="S73" s="143" t="str">
        <f t="shared" si="16"/>
        <v/>
      </c>
      <c r="T73" s="123"/>
      <c r="U73" s="119"/>
      <c r="V73" s="124"/>
      <c r="W73" s="143" t="str">
        <f t="shared" si="17"/>
        <v/>
      </c>
      <c r="X73" s="143" t="str">
        <f t="shared" si="18"/>
        <v/>
      </c>
      <c r="Y73" s="143" t="str">
        <f t="shared" si="19"/>
        <v/>
      </c>
      <c r="Z73" s="150" t="str">
        <f t="shared" si="20"/>
        <v/>
      </c>
      <c r="AA73" s="143" t="str">
        <f t="shared" si="21"/>
        <v/>
      </c>
      <c r="AB73" s="152" t="str">
        <f t="shared" si="22"/>
        <v/>
      </c>
      <c r="AC73" s="158" t="str">
        <f>IF(AB73="","",IFERROR(INDEX(HELPER!$D$8:$D$48,IF(AB73&gt;=HELPER!$B$8,1,MATCH(AB73,HELPER!$B$8:$B$48,-1)+1)),""))</f>
        <v/>
      </c>
      <c r="AD73" s="155" t="str">
        <f>IF(AC73="","",IFERROR(VLOOKUP(AC73,HELPER!$F$8:$G$48,2,FALSE),""))</f>
        <v/>
      </c>
      <c r="AE73" s="135"/>
      <c r="AF73" s="90"/>
    </row>
    <row r="74" spans="1:32" ht="15" customHeight="1" x14ac:dyDescent="0.25">
      <c r="A74" s="135"/>
      <c r="B74" s="111">
        <v>6</v>
      </c>
      <c r="C74" s="209" t="str">
        <f>IF('INPUT DATA'!N16="","",'INPUT DATA'!N16)</f>
        <v/>
      </c>
      <c r="D74" s="210"/>
      <c r="E74" s="210"/>
      <c r="F74" s="123"/>
      <c r="G74" s="119"/>
      <c r="H74" s="119"/>
      <c r="I74" s="119"/>
      <c r="J74" s="124"/>
      <c r="K74" s="143" t="str">
        <f t="shared" si="0"/>
        <v/>
      </c>
      <c r="L74" s="143" t="str">
        <f t="shared" si="12"/>
        <v/>
      </c>
      <c r="M74" s="146" t="str">
        <f t="shared" si="13"/>
        <v/>
      </c>
      <c r="N74" s="123"/>
      <c r="O74" s="119"/>
      <c r="P74" s="124"/>
      <c r="Q74" s="143" t="str">
        <f t="shared" si="14"/>
        <v/>
      </c>
      <c r="R74" s="143" t="str">
        <f t="shared" si="15"/>
        <v/>
      </c>
      <c r="S74" s="143" t="str">
        <f t="shared" si="16"/>
        <v/>
      </c>
      <c r="T74" s="123"/>
      <c r="U74" s="119"/>
      <c r="V74" s="124"/>
      <c r="W74" s="143" t="str">
        <f t="shared" si="17"/>
        <v/>
      </c>
      <c r="X74" s="143" t="str">
        <f t="shared" si="18"/>
        <v/>
      </c>
      <c r="Y74" s="143" t="str">
        <f t="shared" si="19"/>
        <v/>
      </c>
      <c r="Z74" s="150" t="str">
        <f t="shared" si="20"/>
        <v/>
      </c>
      <c r="AA74" s="143" t="str">
        <f t="shared" si="21"/>
        <v/>
      </c>
      <c r="AB74" s="152" t="str">
        <f t="shared" si="22"/>
        <v/>
      </c>
      <c r="AC74" s="158" t="str">
        <f>IF(AB74="","",IFERROR(INDEX(HELPER!$D$8:$D$48,IF(AB74&gt;=HELPER!$B$8,1,MATCH(AB74,HELPER!$B$8:$B$48,-1)+1)),""))</f>
        <v/>
      </c>
      <c r="AD74" s="155" t="str">
        <f>IF(AC74="","",IFERROR(VLOOKUP(AC74,HELPER!$F$8:$G$48,2,FALSE),""))</f>
        <v/>
      </c>
      <c r="AE74" s="135"/>
      <c r="AF74" s="90"/>
    </row>
    <row r="75" spans="1:32" ht="15" customHeight="1" x14ac:dyDescent="0.25">
      <c r="A75" s="135"/>
      <c r="B75" s="111">
        <v>7</v>
      </c>
      <c r="C75" s="209" t="str">
        <f>IF('INPUT DATA'!N17="","",'INPUT DATA'!N17)</f>
        <v/>
      </c>
      <c r="D75" s="210"/>
      <c r="E75" s="210"/>
      <c r="F75" s="123"/>
      <c r="G75" s="119"/>
      <c r="H75" s="119"/>
      <c r="I75" s="119"/>
      <c r="J75" s="124"/>
      <c r="K75" s="143" t="str">
        <f t="shared" si="0"/>
        <v/>
      </c>
      <c r="L75" s="143" t="str">
        <f t="shared" si="12"/>
        <v/>
      </c>
      <c r="M75" s="146" t="str">
        <f t="shared" si="13"/>
        <v/>
      </c>
      <c r="N75" s="123"/>
      <c r="O75" s="119"/>
      <c r="P75" s="124"/>
      <c r="Q75" s="143" t="str">
        <f t="shared" si="14"/>
        <v/>
      </c>
      <c r="R75" s="143" t="str">
        <f t="shared" si="15"/>
        <v/>
      </c>
      <c r="S75" s="143" t="str">
        <f t="shared" si="16"/>
        <v/>
      </c>
      <c r="T75" s="123"/>
      <c r="U75" s="119"/>
      <c r="V75" s="124"/>
      <c r="W75" s="143" t="str">
        <f t="shared" si="17"/>
        <v/>
      </c>
      <c r="X75" s="143" t="str">
        <f t="shared" si="18"/>
        <v/>
      </c>
      <c r="Y75" s="143" t="str">
        <f t="shared" si="19"/>
        <v/>
      </c>
      <c r="Z75" s="150" t="str">
        <f t="shared" si="20"/>
        <v/>
      </c>
      <c r="AA75" s="143" t="str">
        <f t="shared" si="21"/>
        <v/>
      </c>
      <c r="AB75" s="152" t="str">
        <f t="shared" si="22"/>
        <v/>
      </c>
      <c r="AC75" s="158" t="str">
        <f>IF(AB75="","",IFERROR(INDEX(HELPER!$D$8:$D$48,IF(AB75&gt;=HELPER!$B$8,1,MATCH(AB75,HELPER!$B$8:$B$48,-1)+1)),""))</f>
        <v/>
      </c>
      <c r="AD75" s="155" t="str">
        <f>IF(AC75="","",IFERROR(VLOOKUP(AC75,HELPER!$F$8:$G$48,2,FALSE),""))</f>
        <v/>
      </c>
      <c r="AE75" s="135"/>
      <c r="AF75" s="90"/>
    </row>
    <row r="76" spans="1:32" ht="15" customHeight="1" x14ac:dyDescent="0.25">
      <c r="A76" s="135"/>
      <c r="B76" s="111">
        <v>8</v>
      </c>
      <c r="C76" s="209" t="str">
        <f>IF('INPUT DATA'!N18="","",'INPUT DATA'!N18)</f>
        <v/>
      </c>
      <c r="D76" s="210"/>
      <c r="E76" s="210"/>
      <c r="F76" s="123"/>
      <c r="G76" s="119"/>
      <c r="H76" s="119"/>
      <c r="I76" s="119"/>
      <c r="J76" s="124"/>
      <c r="K76" s="143" t="str">
        <f t="shared" si="0"/>
        <v/>
      </c>
      <c r="L76" s="143" t="str">
        <f t="shared" si="12"/>
        <v/>
      </c>
      <c r="M76" s="146" t="str">
        <f t="shared" si="13"/>
        <v/>
      </c>
      <c r="N76" s="123"/>
      <c r="O76" s="119"/>
      <c r="P76" s="124"/>
      <c r="Q76" s="143" t="str">
        <f t="shared" si="14"/>
        <v/>
      </c>
      <c r="R76" s="143" t="str">
        <f t="shared" si="15"/>
        <v/>
      </c>
      <c r="S76" s="143" t="str">
        <f t="shared" si="16"/>
        <v/>
      </c>
      <c r="T76" s="123"/>
      <c r="U76" s="119"/>
      <c r="V76" s="124"/>
      <c r="W76" s="143" t="str">
        <f t="shared" si="17"/>
        <v/>
      </c>
      <c r="X76" s="143" t="str">
        <f t="shared" si="18"/>
        <v/>
      </c>
      <c r="Y76" s="143" t="str">
        <f t="shared" si="19"/>
        <v/>
      </c>
      <c r="Z76" s="150" t="str">
        <f t="shared" si="20"/>
        <v/>
      </c>
      <c r="AA76" s="143" t="str">
        <f t="shared" si="21"/>
        <v/>
      </c>
      <c r="AB76" s="152" t="str">
        <f t="shared" si="22"/>
        <v/>
      </c>
      <c r="AC76" s="158" t="str">
        <f>IF(AB76="","",IFERROR(INDEX(HELPER!$D$8:$D$48,IF(AB76&gt;=HELPER!$B$8,1,MATCH(AB76,HELPER!$B$8:$B$48,-1)+1)),""))</f>
        <v/>
      </c>
      <c r="AD76" s="155" t="str">
        <f>IF(AC76="","",IFERROR(VLOOKUP(AC76,HELPER!$F$8:$G$48,2,FALSE),""))</f>
        <v/>
      </c>
      <c r="AE76" s="135"/>
      <c r="AF76" s="90"/>
    </row>
    <row r="77" spans="1:32" ht="15" customHeight="1" x14ac:dyDescent="0.25">
      <c r="A77" s="135"/>
      <c r="B77" s="111">
        <v>9</v>
      </c>
      <c r="C77" s="209" t="str">
        <f>IF('INPUT DATA'!N19="","",'INPUT DATA'!N19)</f>
        <v/>
      </c>
      <c r="D77" s="210"/>
      <c r="E77" s="210"/>
      <c r="F77" s="123"/>
      <c r="G77" s="119"/>
      <c r="H77" s="119"/>
      <c r="I77" s="119"/>
      <c r="J77" s="124"/>
      <c r="K77" s="143" t="str">
        <f t="shared" si="0"/>
        <v/>
      </c>
      <c r="L77" s="143" t="str">
        <f t="shared" si="12"/>
        <v/>
      </c>
      <c r="M77" s="146" t="str">
        <f t="shared" si="13"/>
        <v/>
      </c>
      <c r="N77" s="123"/>
      <c r="O77" s="119"/>
      <c r="P77" s="124"/>
      <c r="Q77" s="143" t="str">
        <f t="shared" si="14"/>
        <v/>
      </c>
      <c r="R77" s="143" t="str">
        <f t="shared" si="15"/>
        <v/>
      </c>
      <c r="S77" s="143" t="str">
        <f t="shared" si="16"/>
        <v/>
      </c>
      <c r="T77" s="123"/>
      <c r="U77" s="119"/>
      <c r="V77" s="124"/>
      <c r="W77" s="143" t="str">
        <f t="shared" si="17"/>
        <v/>
      </c>
      <c r="X77" s="143" t="str">
        <f t="shared" si="18"/>
        <v/>
      </c>
      <c r="Y77" s="143" t="str">
        <f t="shared" si="19"/>
        <v/>
      </c>
      <c r="Z77" s="150" t="str">
        <f t="shared" si="20"/>
        <v/>
      </c>
      <c r="AA77" s="143" t="str">
        <f t="shared" si="21"/>
        <v/>
      </c>
      <c r="AB77" s="152" t="str">
        <f t="shared" si="22"/>
        <v/>
      </c>
      <c r="AC77" s="158" t="str">
        <f>IF(AB77="","",IFERROR(INDEX(HELPER!$D$8:$D$48,IF(AB77&gt;=HELPER!$B$8,1,MATCH(AB77,HELPER!$B$8:$B$48,-1)+1)),""))</f>
        <v/>
      </c>
      <c r="AD77" s="155" t="str">
        <f>IF(AC77="","",IFERROR(VLOOKUP(AC77,HELPER!$F$8:$G$48,2,FALSE),""))</f>
        <v/>
      </c>
      <c r="AE77" s="135"/>
      <c r="AF77" s="90"/>
    </row>
    <row r="78" spans="1:32" ht="15" customHeight="1" x14ac:dyDescent="0.25">
      <c r="A78" s="135"/>
      <c r="B78" s="111">
        <v>10</v>
      </c>
      <c r="C78" s="209" t="str">
        <f>IF('INPUT DATA'!N20="","",'INPUT DATA'!N20)</f>
        <v/>
      </c>
      <c r="D78" s="210"/>
      <c r="E78" s="210"/>
      <c r="F78" s="123"/>
      <c r="G78" s="119"/>
      <c r="H78" s="119"/>
      <c r="I78" s="119"/>
      <c r="J78" s="124"/>
      <c r="K78" s="143" t="str">
        <f t="shared" si="0"/>
        <v/>
      </c>
      <c r="L78" s="143" t="str">
        <f t="shared" si="12"/>
        <v/>
      </c>
      <c r="M78" s="146" t="str">
        <f t="shared" si="13"/>
        <v/>
      </c>
      <c r="N78" s="123"/>
      <c r="O78" s="119"/>
      <c r="P78" s="124"/>
      <c r="Q78" s="143" t="str">
        <f t="shared" si="14"/>
        <v/>
      </c>
      <c r="R78" s="143" t="str">
        <f t="shared" si="15"/>
        <v/>
      </c>
      <c r="S78" s="143" t="str">
        <f t="shared" si="16"/>
        <v/>
      </c>
      <c r="T78" s="123"/>
      <c r="U78" s="119"/>
      <c r="V78" s="124"/>
      <c r="W78" s="143" t="str">
        <f t="shared" si="17"/>
        <v/>
      </c>
      <c r="X78" s="143" t="str">
        <f t="shared" si="18"/>
        <v/>
      </c>
      <c r="Y78" s="143" t="str">
        <f t="shared" si="19"/>
        <v/>
      </c>
      <c r="Z78" s="150" t="str">
        <f t="shared" si="20"/>
        <v/>
      </c>
      <c r="AA78" s="143" t="str">
        <f t="shared" si="21"/>
        <v/>
      </c>
      <c r="AB78" s="152" t="str">
        <f t="shared" si="22"/>
        <v/>
      </c>
      <c r="AC78" s="158" t="str">
        <f>IF(AB78="","",IFERROR(INDEX(HELPER!$D$8:$D$48,IF(AB78&gt;=HELPER!$B$8,1,MATCH(AB78,HELPER!$B$8:$B$48,-1)+1)),""))</f>
        <v/>
      </c>
      <c r="AD78" s="155" t="str">
        <f>IF(AC78="","",IFERROR(VLOOKUP(AC78,HELPER!$F$8:$G$48,2,FALSE),""))</f>
        <v/>
      </c>
      <c r="AE78" s="135"/>
      <c r="AF78" s="90"/>
    </row>
    <row r="79" spans="1:32" ht="15" customHeight="1" x14ac:dyDescent="0.25">
      <c r="A79" s="135"/>
      <c r="B79" s="111">
        <v>11</v>
      </c>
      <c r="C79" s="209" t="str">
        <f>IF('INPUT DATA'!N21="","",'INPUT DATA'!N21)</f>
        <v/>
      </c>
      <c r="D79" s="210"/>
      <c r="E79" s="210"/>
      <c r="F79" s="123"/>
      <c r="G79" s="119"/>
      <c r="H79" s="119"/>
      <c r="I79" s="119"/>
      <c r="J79" s="124"/>
      <c r="K79" s="143" t="str">
        <f t="shared" si="0"/>
        <v/>
      </c>
      <c r="L79" s="143" t="str">
        <f t="shared" si="12"/>
        <v/>
      </c>
      <c r="M79" s="146" t="str">
        <f t="shared" si="13"/>
        <v/>
      </c>
      <c r="N79" s="123"/>
      <c r="O79" s="119"/>
      <c r="P79" s="124"/>
      <c r="Q79" s="143" t="str">
        <f t="shared" si="14"/>
        <v/>
      </c>
      <c r="R79" s="143" t="str">
        <f t="shared" si="15"/>
        <v/>
      </c>
      <c r="S79" s="143" t="str">
        <f t="shared" si="16"/>
        <v/>
      </c>
      <c r="T79" s="123"/>
      <c r="U79" s="119"/>
      <c r="V79" s="124"/>
      <c r="W79" s="143" t="str">
        <f t="shared" si="17"/>
        <v/>
      </c>
      <c r="X79" s="143" t="str">
        <f t="shared" si="18"/>
        <v/>
      </c>
      <c r="Y79" s="143" t="str">
        <f t="shared" si="19"/>
        <v/>
      </c>
      <c r="Z79" s="150" t="str">
        <f t="shared" si="20"/>
        <v/>
      </c>
      <c r="AA79" s="143" t="str">
        <f t="shared" si="21"/>
        <v/>
      </c>
      <c r="AB79" s="152" t="str">
        <f t="shared" si="22"/>
        <v/>
      </c>
      <c r="AC79" s="158" t="str">
        <f>IF(AB79="","",IFERROR(INDEX(HELPER!$D$8:$D$48,IF(AB79&gt;=HELPER!$B$8,1,MATCH(AB79,HELPER!$B$8:$B$48,-1)+1)),""))</f>
        <v/>
      </c>
      <c r="AD79" s="155" t="str">
        <f>IF(AC79="","",IFERROR(VLOOKUP(AC79,HELPER!$F$8:$G$48,2,FALSE),""))</f>
        <v/>
      </c>
      <c r="AE79" s="135"/>
      <c r="AF79" s="90"/>
    </row>
    <row r="80" spans="1:32" ht="15" customHeight="1" x14ac:dyDescent="0.25">
      <c r="A80" s="135"/>
      <c r="B80" s="111">
        <v>12</v>
      </c>
      <c r="C80" s="209" t="str">
        <f>IF('INPUT DATA'!N22="","",'INPUT DATA'!N22)</f>
        <v/>
      </c>
      <c r="D80" s="210"/>
      <c r="E80" s="210"/>
      <c r="F80" s="123"/>
      <c r="G80" s="119"/>
      <c r="H80" s="119"/>
      <c r="I80" s="119"/>
      <c r="J80" s="124"/>
      <c r="K80" s="143" t="str">
        <f t="shared" si="0"/>
        <v/>
      </c>
      <c r="L80" s="143" t="str">
        <f t="shared" si="12"/>
        <v/>
      </c>
      <c r="M80" s="146" t="str">
        <f t="shared" si="13"/>
        <v/>
      </c>
      <c r="N80" s="123"/>
      <c r="O80" s="119"/>
      <c r="P80" s="124"/>
      <c r="Q80" s="143" t="str">
        <f t="shared" si="14"/>
        <v/>
      </c>
      <c r="R80" s="143" t="str">
        <f t="shared" si="15"/>
        <v/>
      </c>
      <c r="S80" s="143" t="str">
        <f t="shared" si="16"/>
        <v/>
      </c>
      <c r="T80" s="123"/>
      <c r="U80" s="119"/>
      <c r="V80" s="124"/>
      <c r="W80" s="143" t="str">
        <f t="shared" si="17"/>
        <v/>
      </c>
      <c r="X80" s="143" t="str">
        <f t="shared" si="18"/>
        <v/>
      </c>
      <c r="Y80" s="143" t="str">
        <f t="shared" si="19"/>
        <v/>
      </c>
      <c r="Z80" s="150" t="str">
        <f t="shared" si="20"/>
        <v/>
      </c>
      <c r="AA80" s="143" t="str">
        <f t="shared" si="21"/>
        <v/>
      </c>
      <c r="AB80" s="152" t="str">
        <f t="shared" si="22"/>
        <v/>
      </c>
      <c r="AC80" s="158" t="str">
        <f>IF(AB80="","",IFERROR(INDEX(HELPER!$D$8:$D$48,IF(AB80&gt;=HELPER!$B$8,1,MATCH(AB80,HELPER!$B$8:$B$48,-1)+1)),""))</f>
        <v/>
      </c>
      <c r="AD80" s="155" t="str">
        <f>IF(AC80="","",IFERROR(VLOOKUP(AC80,HELPER!$F$8:$G$48,2,FALSE),""))</f>
        <v/>
      </c>
      <c r="AE80" s="135"/>
      <c r="AF80" s="90"/>
    </row>
    <row r="81" spans="1:32" ht="15" customHeight="1" x14ac:dyDescent="0.25">
      <c r="A81" s="135"/>
      <c r="B81" s="111">
        <v>13</v>
      </c>
      <c r="C81" s="209" t="str">
        <f>IF('INPUT DATA'!N23="","",'INPUT DATA'!N23)</f>
        <v/>
      </c>
      <c r="D81" s="210"/>
      <c r="E81" s="210"/>
      <c r="F81" s="123"/>
      <c r="G81" s="119"/>
      <c r="H81" s="119"/>
      <c r="I81" s="119"/>
      <c r="J81" s="124"/>
      <c r="K81" s="143" t="str">
        <f t="shared" si="0"/>
        <v/>
      </c>
      <c r="L81" s="143" t="str">
        <f t="shared" si="12"/>
        <v/>
      </c>
      <c r="M81" s="146" t="str">
        <f t="shared" si="13"/>
        <v/>
      </c>
      <c r="N81" s="123"/>
      <c r="O81" s="119"/>
      <c r="P81" s="124"/>
      <c r="Q81" s="143" t="str">
        <f t="shared" si="14"/>
        <v/>
      </c>
      <c r="R81" s="143" t="str">
        <f t="shared" si="15"/>
        <v/>
      </c>
      <c r="S81" s="143" t="str">
        <f t="shared" si="16"/>
        <v/>
      </c>
      <c r="T81" s="123"/>
      <c r="U81" s="119"/>
      <c r="V81" s="124"/>
      <c r="W81" s="143" t="str">
        <f t="shared" si="17"/>
        <v/>
      </c>
      <c r="X81" s="143" t="str">
        <f t="shared" si="18"/>
        <v/>
      </c>
      <c r="Y81" s="143" t="str">
        <f t="shared" si="19"/>
        <v/>
      </c>
      <c r="Z81" s="150" t="str">
        <f t="shared" si="20"/>
        <v/>
      </c>
      <c r="AA81" s="143" t="str">
        <f t="shared" si="21"/>
        <v/>
      </c>
      <c r="AB81" s="152" t="str">
        <f t="shared" si="22"/>
        <v/>
      </c>
      <c r="AC81" s="158" t="str">
        <f>IF(AB81="","",IFERROR(INDEX(HELPER!$D$8:$D$48,IF(AB81&gt;=HELPER!$B$8,1,MATCH(AB81,HELPER!$B$8:$B$48,-1)+1)),""))</f>
        <v/>
      </c>
      <c r="AD81" s="155" t="str">
        <f>IF(AC81="","",IFERROR(VLOOKUP(AC81,HELPER!$F$8:$G$48,2,FALSE),""))</f>
        <v/>
      </c>
      <c r="AE81" s="135"/>
      <c r="AF81" s="90"/>
    </row>
    <row r="82" spans="1:32" ht="15" customHeight="1" x14ac:dyDescent="0.25">
      <c r="A82" s="135"/>
      <c r="B82" s="111">
        <v>14</v>
      </c>
      <c r="C82" s="209" t="str">
        <f>IF('INPUT DATA'!N24="","",'INPUT DATA'!N24)</f>
        <v/>
      </c>
      <c r="D82" s="210"/>
      <c r="E82" s="210"/>
      <c r="F82" s="123"/>
      <c r="G82" s="119"/>
      <c r="H82" s="119"/>
      <c r="I82" s="119"/>
      <c r="J82" s="124"/>
      <c r="K82" s="143" t="str">
        <f t="shared" ref="K82:K118" si="23">IF(COUNT($F82:$J82)=0,"",SUM($F82:$J82))</f>
        <v/>
      </c>
      <c r="L82" s="143" t="str">
        <f t="shared" si="12"/>
        <v/>
      </c>
      <c r="M82" s="146" t="str">
        <f t="shared" si="13"/>
        <v/>
      </c>
      <c r="N82" s="123"/>
      <c r="O82" s="119"/>
      <c r="P82" s="124"/>
      <c r="Q82" s="143" t="str">
        <f t="shared" si="14"/>
        <v/>
      </c>
      <c r="R82" s="143" t="str">
        <f t="shared" si="15"/>
        <v/>
      </c>
      <c r="S82" s="143" t="str">
        <f t="shared" si="16"/>
        <v/>
      </c>
      <c r="T82" s="123"/>
      <c r="U82" s="119"/>
      <c r="V82" s="124"/>
      <c r="W82" s="143" t="str">
        <f t="shared" si="17"/>
        <v/>
      </c>
      <c r="X82" s="143" t="str">
        <f t="shared" si="18"/>
        <v/>
      </c>
      <c r="Y82" s="143" t="str">
        <f t="shared" si="19"/>
        <v/>
      </c>
      <c r="Z82" s="150" t="str">
        <f t="shared" si="20"/>
        <v/>
      </c>
      <c r="AA82" s="143" t="str">
        <f t="shared" si="21"/>
        <v/>
      </c>
      <c r="AB82" s="152" t="str">
        <f t="shared" si="22"/>
        <v/>
      </c>
      <c r="AC82" s="158" t="str">
        <f>IF(AB82="","",IFERROR(INDEX(HELPER!$D$8:$D$48,IF(AB82&gt;=HELPER!$B$8,1,MATCH(AB82,HELPER!$B$8:$B$48,-1)+1)),""))</f>
        <v/>
      </c>
      <c r="AD82" s="155" t="str">
        <f>IF(AC82="","",IFERROR(VLOOKUP(AC82,HELPER!$F$8:$G$48,2,FALSE),""))</f>
        <v/>
      </c>
      <c r="AE82" s="135"/>
      <c r="AF82" s="90"/>
    </row>
    <row r="83" spans="1:32" ht="15" customHeight="1" x14ac:dyDescent="0.25">
      <c r="A83" s="135"/>
      <c r="B83" s="111">
        <v>15</v>
      </c>
      <c r="C83" s="209" t="str">
        <f>IF('INPUT DATA'!N25="","",'INPUT DATA'!N25)</f>
        <v/>
      </c>
      <c r="D83" s="210"/>
      <c r="E83" s="210"/>
      <c r="F83" s="123"/>
      <c r="G83" s="119"/>
      <c r="H83" s="119"/>
      <c r="I83" s="119"/>
      <c r="J83" s="124"/>
      <c r="K83" s="143" t="str">
        <f t="shared" si="23"/>
        <v/>
      </c>
      <c r="L83" s="143" t="str">
        <f t="shared" si="12"/>
        <v/>
      </c>
      <c r="M83" s="146" t="str">
        <f t="shared" si="13"/>
        <v/>
      </c>
      <c r="N83" s="123"/>
      <c r="O83" s="119"/>
      <c r="P83" s="124"/>
      <c r="Q83" s="143" t="str">
        <f t="shared" si="14"/>
        <v/>
      </c>
      <c r="R83" s="143" t="str">
        <f t="shared" si="15"/>
        <v/>
      </c>
      <c r="S83" s="143" t="str">
        <f t="shared" si="16"/>
        <v/>
      </c>
      <c r="T83" s="123"/>
      <c r="U83" s="119"/>
      <c r="V83" s="124"/>
      <c r="W83" s="143" t="str">
        <f t="shared" si="17"/>
        <v/>
      </c>
      <c r="X83" s="143" t="str">
        <f t="shared" si="18"/>
        <v/>
      </c>
      <c r="Y83" s="143" t="str">
        <f t="shared" si="19"/>
        <v/>
      </c>
      <c r="Z83" s="150" t="str">
        <f t="shared" si="20"/>
        <v/>
      </c>
      <c r="AA83" s="143" t="str">
        <f t="shared" si="21"/>
        <v/>
      </c>
      <c r="AB83" s="152" t="str">
        <f t="shared" si="22"/>
        <v/>
      </c>
      <c r="AC83" s="158" t="str">
        <f>IF(AB83="","",IFERROR(INDEX(HELPER!$D$8:$D$48,IF(AB83&gt;=HELPER!$B$8,1,MATCH(AB83,HELPER!$B$8:$B$48,-1)+1)),""))</f>
        <v/>
      </c>
      <c r="AD83" s="155" t="str">
        <f>IF(AC83="","",IFERROR(VLOOKUP(AC83,HELPER!$F$8:$G$48,2,FALSE),""))</f>
        <v/>
      </c>
      <c r="AE83" s="135"/>
      <c r="AF83" s="90"/>
    </row>
    <row r="84" spans="1:32" ht="15" customHeight="1" x14ac:dyDescent="0.25">
      <c r="A84" s="135"/>
      <c r="B84" s="111">
        <v>16</v>
      </c>
      <c r="C84" s="209" t="str">
        <f>IF('INPUT DATA'!N26="","",'INPUT DATA'!N26)</f>
        <v/>
      </c>
      <c r="D84" s="210"/>
      <c r="E84" s="210"/>
      <c r="F84" s="123"/>
      <c r="G84" s="119"/>
      <c r="H84" s="119"/>
      <c r="I84" s="119"/>
      <c r="J84" s="124"/>
      <c r="K84" s="143" t="str">
        <f t="shared" si="23"/>
        <v/>
      </c>
      <c r="L84" s="143" t="str">
        <f t="shared" si="12"/>
        <v/>
      </c>
      <c r="M84" s="146" t="str">
        <f t="shared" si="13"/>
        <v/>
      </c>
      <c r="N84" s="123"/>
      <c r="O84" s="119"/>
      <c r="P84" s="124"/>
      <c r="Q84" s="143" t="str">
        <f t="shared" si="14"/>
        <v/>
      </c>
      <c r="R84" s="143" t="str">
        <f t="shared" si="15"/>
        <v/>
      </c>
      <c r="S84" s="143" t="str">
        <f t="shared" si="16"/>
        <v/>
      </c>
      <c r="T84" s="123"/>
      <c r="U84" s="119"/>
      <c r="V84" s="124"/>
      <c r="W84" s="143" t="str">
        <f t="shared" si="17"/>
        <v/>
      </c>
      <c r="X84" s="143" t="str">
        <f t="shared" si="18"/>
        <v/>
      </c>
      <c r="Y84" s="143" t="str">
        <f t="shared" si="19"/>
        <v/>
      </c>
      <c r="Z84" s="150" t="str">
        <f t="shared" si="20"/>
        <v/>
      </c>
      <c r="AA84" s="143" t="str">
        <f t="shared" si="21"/>
        <v/>
      </c>
      <c r="AB84" s="152" t="str">
        <f t="shared" si="22"/>
        <v/>
      </c>
      <c r="AC84" s="158" t="str">
        <f>IF(AB84="","",IFERROR(INDEX(HELPER!$D$8:$D$48,IF(AB84&gt;=HELPER!$B$8,1,MATCH(AB84,HELPER!$B$8:$B$48,-1)+1)),""))</f>
        <v/>
      </c>
      <c r="AD84" s="155" t="str">
        <f>IF(AC84="","",IFERROR(VLOOKUP(AC84,HELPER!$F$8:$G$48,2,FALSE),""))</f>
        <v/>
      </c>
      <c r="AE84" s="135"/>
      <c r="AF84" s="90"/>
    </row>
    <row r="85" spans="1:32" ht="15" customHeight="1" x14ac:dyDescent="0.25">
      <c r="A85" s="135"/>
      <c r="B85" s="111">
        <v>17</v>
      </c>
      <c r="C85" s="209" t="str">
        <f>IF('INPUT DATA'!N27="","",'INPUT DATA'!N27)</f>
        <v/>
      </c>
      <c r="D85" s="210"/>
      <c r="E85" s="210"/>
      <c r="F85" s="123"/>
      <c r="G85" s="119"/>
      <c r="H85" s="119"/>
      <c r="I85" s="119"/>
      <c r="J85" s="124"/>
      <c r="K85" s="143" t="str">
        <f t="shared" si="23"/>
        <v/>
      </c>
      <c r="L85" s="143" t="str">
        <f t="shared" si="12"/>
        <v/>
      </c>
      <c r="M85" s="146" t="str">
        <f t="shared" si="13"/>
        <v/>
      </c>
      <c r="N85" s="123"/>
      <c r="O85" s="119"/>
      <c r="P85" s="124"/>
      <c r="Q85" s="143" t="str">
        <f t="shared" si="14"/>
        <v/>
      </c>
      <c r="R85" s="143" t="str">
        <f t="shared" si="15"/>
        <v/>
      </c>
      <c r="S85" s="143" t="str">
        <f t="shared" si="16"/>
        <v/>
      </c>
      <c r="T85" s="123"/>
      <c r="U85" s="119"/>
      <c r="V85" s="124"/>
      <c r="W85" s="143" t="str">
        <f t="shared" si="17"/>
        <v/>
      </c>
      <c r="X85" s="143" t="str">
        <f t="shared" si="18"/>
        <v/>
      </c>
      <c r="Y85" s="143" t="str">
        <f t="shared" si="19"/>
        <v/>
      </c>
      <c r="Z85" s="150" t="str">
        <f t="shared" si="20"/>
        <v/>
      </c>
      <c r="AA85" s="143" t="str">
        <f t="shared" si="21"/>
        <v/>
      </c>
      <c r="AB85" s="152" t="str">
        <f t="shared" si="22"/>
        <v/>
      </c>
      <c r="AC85" s="158" t="str">
        <f>IF(AB85="","",IFERROR(INDEX(HELPER!$D$8:$D$48,IF(AB85&gt;=HELPER!$B$8,1,MATCH(AB85,HELPER!$B$8:$B$48,-1)+1)),""))</f>
        <v/>
      </c>
      <c r="AD85" s="155" t="str">
        <f>IF(AC85="","",IFERROR(VLOOKUP(AC85,HELPER!$F$8:$G$48,2,FALSE),""))</f>
        <v/>
      </c>
      <c r="AE85" s="135"/>
      <c r="AF85" s="90"/>
    </row>
    <row r="86" spans="1:32" ht="15" customHeight="1" x14ac:dyDescent="0.25">
      <c r="A86" s="135"/>
      <c r="B86" s="111">
        <v>18</v>
      </c>
      <c r="C86" s="209" t="str">
        <f>IF('INPUT DATA'!N28="","",'INPUT DATA'!N28)</f>
        <v/>
      </c>
      <c r="D86" s="210"/>
      <c r="E86" s="210"/>
      <c r="F86" s="123"/>
      <c r="G86" s="119"/>
      <c r="H86" s="119"/>
      <c r="I86" s="119"/>
      <c r="J86" s="124"/>
      <c r="K86" s="143" t="str">
        <f t="shared" si="23"/>
        <v/>
      </c>
      <c r="L86" s="143" t="str">
        <f t="shared" si="12"/>
        <v/>
      </c>
      <c r="M86" s="146" t="str">
        <f t="shared" si="13"/>
        <v/>
      </c>
      <c r="N86" s="123"/>
      <c r="O86" s="119"/>
      <c r="P86" s="124"/>
      <c r="Q86" s="143" t="str">
        <f t="shared" si="14"/>
        <v/>
      </c>
      <c r="R86" s="143" t="str">
        <f t="shared" si="15"/>
        <v/>
      </c>
      <c r="S86" s="143" t="str">
        <f t="shared" si="16"/>
        <v/>
      </c>
      <c r="T86" s="123"/>
      <c r="U86" s="119"/>
      <c r="V86" s="124"/>
      <c r="W86" s="143" t="str">
        <f t="shared" si="17"/>
        <v/>
      </c>
      <c r="X86" s="143" t="str">
        <f t="shared" si="18"/>
        <v/>
      </c>
      <c r="Y86" s="143" t="str">
        <f t="shared" si="19"/>
        <v/>
      </c>
      <c r="Z86" s="150" t="str">
        <f t="shared" si="20"/>
        <v/>
      </c>
      <c r="AA86" s="143" t="str">
        <f t="shared" si="21"/>
        <v/>
      </c>
      <c r="AB86" s="152" t="str">
        <f t="shared" si="22"/>
        <v/>
      </c>
      <c r="AC86" s="158" t="str">
        <f>IF(AB86="","",IFERROR(INDEX(HELPER!$D$8:$D$48,IF(AB86&gt;=HELPER!$B$8,1,MATCH(AB86,HELPER!$B$8:$B$48,-1)+1)),""))</f>
        <v/>
      </c>
      <c r="AD86" s="155" t="str">
        <f>IF(AC86="","",IFERROR(VLOOKUP(AC86,HELPER!$F$8:$G$48,2,FALSE),""))</f>
        <v/>
      </c>
      <c r="AE86" s="135"/>
      <c r="AF86" s="90"/>
    </row>
    <row r="87" spans="1:32" ht="15" customHeight="1" x14ac:dyDescent="0.25">
      <c r="A87" s="135"/>
      <c r="B87" s="111">
        <v>19</v>
      </c>
      <c r="C87" s="209" t="str">
        <f>IF('INPUT DATA'!N29="","",'INPUT DATA'!N29)</f>
        <v/>
      </c>
      <c r="D87" s="210"/>
      <c r="E87" s="210"/>
      <c r="F87" s="123"/>
      <c r="G87" s="119"/>
      <c r="H87" s="119"/>
      <c r="I87" s="119"/>
      <c r="J87" s="124"/>
      <c r="K87" s="143" t="str">
        <f t="shared" si="23"/>
        <v/>
      </c>
      <c r="L87" s="143" t="str">
        <f t="shared" si="12"/>
        <v/>
      </c>
      <c r="M87" s="146" t="str">
        <f t="shared" si="13"/>
        <v/>
      </c>
      <c r="N87" s="123"/>
      <c r="O87" s="119"/>
      <c r="P87" s="124"/>
      <c r="Q87" s="143" t="str">
        <f t="shared" si="14"/>
        <v/>
      </c>
      <c r="R87" s="143" t="str">
        <f t="shared" si="15"/>
        <v/>
      </c>
      <c r="S87" s="143" t="str">
        <f t="shared" si="16"/>
        <v/>
      </c>
      <c r="T87" s="123"/>
      <c r="U87" s="119"/>
      <c r="V87" s="124"/>
      <c r="W87" s="143" t="str">
        <f t="shared" si="17"/>
        <v/>
      </c>
      <c r="X87" s="143" t="str">
        <f t="shared" si="18"/>
        <v/>
      </c>
      <c r="Y87" s="143" t="str">
        <f t="shared" si="19"/>
        <v/>
      </c>
      <c r="Z87" s="150" t="str">
        <f t="shared" si="20"/>
        <v/>
      </c>
      <c r="AA87" s="143" t="str">
        <f t="shared" si="21"/>
        <v/>
      </c>
      <c r="AB87" s="152" t="str">
        <f t="shared" si="22"/>
        <v/>
      </c>
      <c r="AC87" s="158" t="str">
        <f>IF(AB87="","",IFERROR(INDEX(HELPER!$D$8:$D$48,IF(AB87&gt;=HELPER!$B$8,1,MATCH(AB87,HELPER!$B$8:$B$48,-1)+1)),""))</f>
        <v/>
      </c>
      <c r="AD87" s="155" t="str">
        <f>IF(AC87="","",IFERROR(VLOOKUP(AC87,HELPER!$F$8:$G$48,2,FALSE),""))</f>
        <v/>
      </c>
      <c r="AE87" s="135"/>
      <c r="AF87" s="90"/>
    </row>
    <row r="88" spans="1:32" ht="15" customHeight="1" x14ac:dyDescent="0.25">
      <c r="A88" s="135"/>
      <c r="B88" s="112">
        <v>20</v>
      </c>
      <c r="C88" s="209" t="str">
        <f>IF('INPUT DATA'!N30="","",'INPUT DATA'!N30)</f>
        <v/>
      </c>
      <c r="D88" s="210"/>
      <c r="E88" s="210"/>
      <c r="F88" s="123"/>
      <c r="G88" s="119"/>
      <c r="H88" s="119"/>
      <c r="I88" s="119"/>
      <c r="J88" s="124"/>
      <c r="K88" s="143" t="str">
        <f t="shared" si="23"/>
        <v/>
      </c>
      <c r="L88" s="143" t="str">
        <f t="shared" si="12"/>
        <v/>
      </c>
      <c r="M88" s="146" t="str">
        <f t="shared" si="13"/>
        <v/>
      </c>
      <c r="N88" s="123"/>
      <c r="O88" s="119"/>
      <c r="P88" s="124"/>
      <c r="Q88" s="143" t="str">
        <f t="shared" si="14"/>
        <v/>
      </c>
      <c r="R88" s="143" t="str">
        <f t="shared" si="15"/>
        <v/>
      </c>
      <c r="S88" s="143" t="str">
        <f t="shared" si="16"/>
        <v/>
      </c>
      <c r="T88" s="123"/>
      <c r="U88" s="119"/>
      <c r="V88" s="124"/>
      <c r="W88" s="143" t="str">
        <f t="shared" si="17"/>
        <v/>
      </c>
      <c r="X88" s="143" t="str">
        <f t="shared" si="18"/>
        <v/>
      </c>
      <c r="Y88" s="143" t="str">
        <f t="shared" si="19"/>
        <v/>
      </c>
      <c r="Z88" s="150" t="str">
        <f t="shared" si="20"/>
        <v/>
      </c>
      <c r="AA88" s="143" t="str">
        <f t="shared" si="21"/>
        <v/>
      </c>
      <c r="AB88" s="152" t="str">
        <f t="shared" si="22"/>
        <v/>
      </c>
      <c r="AC88" s="158" t="str">
        <f>IF(AB88="","",IFERROR(INDEX(HELPER!$D$8:$D$48,IF(AB88&gt;=HELPER!$B$8,1,MATCH(AB88,HELPER!$B$8:$B$48,-1)+1)),""))</f>
        <v/>
      </c>
      <c r="AD88" s="155" t="str">
        <f>IF(AC88="","",IFERROR(VLOOKUP(AC88,HELPER!$F$8:$G$48,2,FALSE),""))</f>
        <v/>
      </c>
      <c r="AE88" s="135"/>
      <c r="AF88" s="90"/>
    </row>
    <row r="89" spans="1:32" ht="15" customHeight="1" x14ac:dyDescent="0.25">
      <c r="A89" s="135"/>
      <c r="B89" s="112">
        <v>21</v>
      </c>
      <c r="C89" s="209" t="str">
        <f>IF('INPUT DATA'!N31="","",'INPUT DATA'!N31)</f>
        <v/>
      </c>
      <c r="D89" s="210"/>
      <c r="E89" s="210"/>
      <c r="F89" s="123"/>
      <c r="G89" s="119"/>
      <c r="H89" s="119"/>
      <c r="I89" s="119"/>
      <c r="J89" s="124"/>
      <c r="K89" s="143" t="str">
        <f t="shared" si="23"/>
        <v/>
      </c>
      <c r="L89" s="143" t="str">
        <f t="shared" si="12"/>
        <v/>
      </c>
      <c r="M89" s="146" t="str">
        <f t="shared" si="13"/>
        <v/>
      </c>
      <c r="N89" s="123"/>
      <c r="O89" s="119"/>
      <c r="P89" s="124"/>
      <c r="Q89" s="143" t="str">
        <f t="shared" si="14"/>
        <v/>
      </c>
      <c r="R89" s="143" t="str">
        <f t="shared" si="15"/>
        <v/>
      </c>
      <c r="S89" s="143" t="str">
        <f t="shared" si="16"/>
        <v/>
      </c>
      <c r="T89" s="123"/>
      <c r="U89" s="119"/>
      <c r="V89" s="124"/>
      <c r="W89" s="143" t="str">
        <f t="shared" si="17"/>
        <v/>
      </c>
      <c r="X89" s="143" t="str">
        <f t="shared" si="18"/>
        <v/>
      </c>
      <c r="Y89" s="143" t="str">
        <f t="shared" si="19"/>
        <v/>
      </c>
      <c r="Z89" s="150" t="str">
        <f t="shared" si="20"/>
        <v/>
      </c>
      <c r="AA89" s="143" t="str">
        <f t="shared" si="21"/>
        <v/>
      </c>
      <c r="AB89" s="152" t="str">
        <f t="shared" si="22"/>
        <v/>
      </c>
      <c r="AC89" s="158" t="str">
        <f>IF(AB89="","",IFERROR(INDEX(HELPER!$D$8:$D$48,IF(AB89&gt;=HELPER!$B$8,1,MATCH(AB89,HELPER!$B$8:$B$48,-1)+1)),""))</f>
        <v/>
      </c>
      <c r="AD89" s="155" t="str">
        <f>IF(AC89="","",IFERROR(VLOOKUP(AC89,HELPER!$F$8:$G$48,2,FALSE),""))</f>
        <v/>
      </c>
      <c r="AE89" s="135"/>
      <c r="AF89" s="90"/>
    </row>
    <row r="90" spans="1:32" ht="15" customHeight="1" x14ac:dyDescent="0.25">
      <c r="A90" s="135"/>
      <c r="B90" s="112">
        <v>22</v>
      </c>
      <c r="C90" s="209" t="str">
        <f>IF('INPUT DATA'!N32="","",'INPUT DATA'!N32)</f>
        <v/>
      </c>
      <c r="D90" s="210"/>
      <c r="E90" s="210"/>
      <c r="F90" s="123"/>
      <c r="G90" s="119"/>
      <c r="H90" s="119"/>
      <c r="I90" s="119"/>
      <c r="J90" s="124"/>
      <c r="K90" s="143" t="str">
        <f t="shared" si="23"/>
        <v/>
      </c>
      <c r="L90" s="143" t="str">
        <f t="shared" si="12"/>
        <v/>
      </c>
      <c r="M90" s="146" t="str">
        <f t="shared" si="13"/>
        <v/>
      </c>
      <c r="N90" s="123"/>
      <c r="O90" s="119"/>
      <c r="P90" s="124"/>
      <c r="Q90" s="143" t="str">
        <f t="shared" si="14"/>
        <v/>
      </c>
      <c r="R90" s="143" t="str">
        <f t="shared" si="15"/>
        <v/>
      </c>
      <c r="S90" s="143" t="str">
        <f t="shared" si="16"/>
        <v/>
      </c>
      <c r="T90" s="123"/>
      <c r="U90" s="119"/>
      <c r="V90" s="124"/>
      <c r="W90" s="143" t="str">
        <f t="shared" si="17"/>
        <v/>
      </c>
      <c r="X90" s="143" t="str">
        <f t="shared" si="18"/>
        <v/>
      </c>
      <c r="Y90" s="143" t="str">
        <f t="shared" si="19"/>
        <v/>
      </c>
      <c r="Z90" s="150" t="str">
        <f t="shared" si="20"/>
        <v/>
      </c>
      <c r="AA90" s="143" t="str">
        <f t="shared" si="21"/>
        <v/>
      </c>
      <c r="AB90" s="152" t="str">
        <f t="shared" si="22"/>
        <v/>
      </c>
      <c r="AC90" s="158" t="str">
        <f>IF(AB90="","",IFERROR(INDEX(HELPER!$D$8:$D$48,IF(AB90&gt;=HELPER!$B$8,1,MATCH(AB90,HELPER!$B$8:$B$48,-1)+1)),""))</f>
        <v/>
      </c>
      <c r="AD90" s="155" t="str">
        <f>IF(AC90="","",IFERROR(VLOOKUP(AC90,HELPER!$F$8:$G$48,2,FALSE),""))</f>
        <v/>
      </c>
      <c r="AE90" s="135"/>
      <c r="AF90" s="90"/>
    </row>
    <row r="91" spans="1:32" ht="15" customHeight="1" x14ac:dyDescent="0.25">
      <c r="A91" s="135"/>
      <c r="B91" s="112">
        <v>23</v>
      </c>
      <c r="C91" s="209" t="str">
        <f>IF('INPUT DATA'!N33="","",'INPUT DATA'!N33)</f>
        <v/>
      </c>
      <c r="D91" s="210"/>
      <c r="E91" s="210"/>
      <c r="F91" s="123"/>
      <c r="G91" s="119"/>
      <c r="H91" s="119"/>
      <c r="I91" s="119"/>
      <c r="J91" s="124"/>
      <c r="K91" s="143" t="str">
        <f t="shared" si="23"/>
        <v/>
      </c>
      <c r="L91" s="143" t="str">
        <f t="shared" si="12"/>
        <v/>
      </c>
      <c r="M91" s="146" t="str">
        <f t="shared" si="13"/>
        <v/>
      </c>
      <c r="N91" s="123"/>
      <c r="O91" s="119"/>
      <c r="P91" s="124"/>
      <c r="Q91" s="143" t="str">
        <f t="shared" si="14"/>
        <v/>
      </c>
      <c r="R91" s="143" t="str">
        <f t="shared" si="15"/>
        <v/>
      </c>
      <c r="S91" s="143" t="str">
        <f t="shared" si="16"/>
        <v/>
      </c>
      <c r="T91" s="123"/>
      <c r="U91" s="119"/>
      <c r="V91" s="124"/>
      <c r="W91" s="143" t="str">
        <f t="shared" si="17"/>
        <v/>
      </c>
      <c r="X91" s="143" t="str">
        <f t="shared" si="18"/>
        <v/>
      </c>
      <c r="Y91" s="143" t="str">
        <f t="shared" si="19"/>
        <v/>
      </c>
      <c r="Z91" s="150" t="str">
        <f t="shared" si="20"/>
        <v/>
      </c>
      <c r="AA91" s="143" t="str">
        <f t="shared" si="21"/>
        <v/>
      </c>
      <c r="AB91" s="152" t="str">
        <f t="shared" si="22"/>
        <v/>
      </c>
      <c r="AC91" s="158" t="str">
        <f>IF(AB91="","",IFERROR(INDEX(HELPER!$D$8:$D$48,IF(AB91&gt;=HELPER!$B$8,1,MATCH(AB91,HELPER!$B$8:$B$48,-1)+1)),""))</f>
        <v/>
      </c>
      <c r="AD91" s="155" t="str">
        <f>IF(AC91="","",IFERROR(VLOOKUP(AC91,HELPER!$F$8:$G$48,2,FALSE),""))</f>
        <v/>
      </c>
      <c r="AE91" s="135"/>
      <c r="AF91" s="90"/>
    </row>
    <row r="92" spans="1:32" ht="15" customHeight="1" x14ac:dyDescent="0.25">
      <c r="A92" s="135"/>
      <c r="B92" s="112">
        <v>24</v>
      </c>
      <c r="C92" s="209" t="str">
        <f>IF('INPUT DATA'!N34="","",'INPUT DATA'!N34)</f>
        <v/>
      </c>
      <c r="D92" s="210"/>
      <c r="E92" s="210"/>
      <c r="F92" s="123"/>
      <c r="G92" s="119"/>
      <c r="H92" s="119"/>
      <c r="I92" s="119"/>
      <c r="J92" s="124"/>
      <c r="K92" s="143" t="str">
        <f t="shared" si="23"/>
        <v/>
      </c>
      <c r="L92" s="143" t="str">
        <f t="shared" si="12"/>
        <v/>
      </c>
      <c r="M92" s="146" t="str">
        <f t="shared" si="13"/>
        <v/>
      </c>
      <c r="N92" s="123"/>
      <c r="O92" s="119"/>
      <c r="P92" s="124"/>
      <c r="Q92" s="143" t="str">
        <f t="shared" si="14"/>
        <v/>
      </c>
      <c r="R92" s="143" t="str">
        <f t="shared" si="15"/>
        <v/>
      </c>
      <c r="S92" s="143" t="str">
        <f t="shared" si="16"/>
        <v/>
      </c>
      <c r="T92" s="123"/>
      <c r="U92" s="119"/>
      <c r="V92" s="124"/>
      <c r="W92" s="143" t="str">
        <f t="shared" si="17"/>
        <v/>
      </c>
      <c r="X92" s="143" t="str">
        <f t="shared" si="18"/>
        <v/>
      </c>
      <c r="Y92" s="143" t="str">
        <f t="shared" si="19"/>
        <v/>
      </c>
      <c r="Z92" s="150" t="str">
        <f t="shared" si="20"/>
        <v/>
      </c>
      <c r="AA92" s="143" t="str">
        <f t="shared" si="21"/>
        <v/>
      </c>
      <c r="AB92" s="152" t="str">
        <f t="shared" si="22"/>
        <v/>
      </c>
      <c r="AC92" s="158" t="str">
        <f>IF(AB92="","",IFERROR(INDEX(HELPER!$D$8:$D$48,IF(AB92&gt;=HELPER!$B$8,1,MATCH(AB92,HELPER!$B$8:$B$48,-1)+1)),""))</f>
        <v/>
      </c>
      <c r="AD92" s="155" t="str">
        <f>IF(AC92="","",IFERROR(VLOOKUP(AC92,HELPER!$F$8:$G$48,2,FALSE),""))</f>
        <v/>
      </c>
      <c r="AE92" s="135"/>
      <c r="AF92" s="90"/>
    </row>
    <row r="93" spans="1:32" ht="15" customHeight="1" x14ac:dyDescent="0.25">
      <c r="A93" s="135"/>
      <c r="B93" s="112">
        <v>25</v>
      </c>
      <c r="C93" s="209" t="str">
        <f>IF('INPUT DATA'!N35="","",'INPUT DATA'!N35)</f>
        <v/>
      </c>
      <c r="D93" s="210"/>
      <c r="E93" s="210"/>
      <c r="F93" s="123"/>
      <c r="G93" s="119"/>
      <c r="H93" s="119"/>
      <c r="I93" s="119"/>
      <c r="J93" s="124"/>
      <c r="K93" s="143" t="str">
        <f t="shared" si="23"/>
        <v/>
      </c>
      <c r="L93" s="143" t="str">
        <f t="shared" si="12"/>
        <v/>
      </c>
      <c r="M93" s="146" t="str">
        <f t="shared" si="13"/>
        <v/>
      </c>
      <c r="N93" s="123"/>
      <c r="O93" s="119"/>
      <c r="P93" s="124"/>
      <c r="Q93" s="143" t="str">
        <f t="shared" si="14"/>
        <v/>
      </c>
      <c r="R93" s="143" t="str">
        <f t="shared" si="15"/>
        <v/>
      </c>
      <c r="S93" s="143" t="str">
        <f t="shared" si="16"/>
        <v/>
      </c>
      <c r="T93" s="123"/>
      <c r="U93" s="119"/>
      <c r="V93" s="124"/>
      <c r="W93" s="143" t="str">
        <f t="shared" si="17"/>
        <v/>
      </c>
      <c r="X93" s="143" t="str">
        <f t="shared" si="18"/>
        <v/>
      </c>
      <c r="Y93" s="143" t="str">
        <f t="shared" si="19"/>
        <v/>
      </c>
      <c r="Z93" s="150" t="str">
        <f t="shared" si="20"/>
        <v/>
      </c>
      <c r="AA93" s="143" t="str">
        <f t="shared" si="21"/>
        <v/>
      </c>
      <c r="AB93" s="152" t="str">
        <f t="shared" si="22"/>
        <v/>
      </c>
      <c r="AC93" s="158" t="str">
        <f>IF(AB93="","",IFERROR(INDEX(HELPER!$D$8:$D$48,IF(AB93&gt;=HELPER!$B$8,1,MATCH(AB93,HELPER!$B$8:$B$48,-1)+1)),""))</f>
        <v/>
      </c>
      <c r="AD93" s="155" t="str">
        <f>IF(AC93="","",IFERROR(VLOOKUP(AC93,HELPER!$F$8:$G$48,2,FALSE),""))</f>
        <v/>
      </c>
      <c r="AE93" s="135"/>
      <c r="AF93" s="90"/>
    </row>
    <row r="94" spans="1:32" ht="15" customHeight="1" x14ac:dyDescent="0.25">
      <c r="A94" s="135"/>
      <c r="B94" s="112">
        <v>26</v>
      </c>
      <c r="C94" s="209" t="str">
        <f>IF('INPUT DATA'!N36="","",'INPUT DATA'!N36)</f>
        <v/>
      </c>
      <c r="D94" s="210"/>
      <c r="E94" s="210"/>
      <c r="F94" s="123"/>
      <c r="G94" s="119"/>
      <c r="H94" s="119"/>
      <c r="I94" s="119"/>
      <c r="J94" s="124"/>
      <c r="K94" s="143" t="str">
        <f t="shared" si="23"/>
        <v/>
      </c>
      <c r="L94" s="143" t="str">
        <f t="shared" si="12"/>
        <v/>
      </c>
      <c r="M94" s="146" t="str">
        <f t="shared" si="13"/>
        <v/>
      </c>
      <c r="N94" s="123"/>
      <c r="O94" s="119"/>
      <c r="P94" s="124"/>
      <c r="Q94" s="143" t="str">
        <f t="shared" si="14"/>
        <v/>
      </c>
      <c r="R94" s="143" t="str">
        <f t="shared" si="15"/>
        <v/>
      </c>
      <c r="S94" s="143" t="str">
        <f t="shared" si="16"/>
        <v/>
      </c>
      <c r="T94" s="123"/>
      <c r="U94" s="119"/>
      <c r="V94" s="124"/>
      <c r="W94" s="143" t="str">
        <f t="shared" si="17"/>
        <v/>
      </c>
      <c r="X94" s="143" t="str">
        <f t="shared" si="18"/>
        <v/>
      </c>
      <c r="Y94" s="143" t="str">
        <f t="shared" si="19"/>
        <v/>
      </c>
      <c r="Z94" s="150" t="str">
        <f t="shared" si="20"/>
        <v/>
      </c>
      <c r="AA94" s="143" t="str">
        <f t="shared" si="21"/>
        <v/>
      </c>
      <c r="AB94" s="152" t="str">
        <f t="shared" si="22"/>
        <v/>
      </c>
      <c r="AC94" s="158" t="str">
        <f>IF(AB94="","",IFERROR(INDEX(HELPER!$D$8:$D$48,IF(AB94&gt;=HELPER!$B$8,1,MATCH(AB94,HELPER!$B$8:$B$48,-1)+1)),""))</f>
        <v/>
      </c>
      <c r="AD94" s="155" t="str">
        <f>IF(AC94="","",IFERROR(VLOOKUP(AC94,HELPER!$F$8:$G$48,2,FALSE),""))</f>
        <v/>
      </c>
      <c r="AE94" s="135"/>
      <c r="AF94" s="90"/>
    </row>
    <row r="95" spans="1:32" ht="15" customHeight="1" x14ac:dyDescent="0.25">
      <c r="A95" s="135"/>
      <c r="B95" s="112">
        <v>27</v>
      </c>
      <c r="C95" s="209" t="str">
        <f>IF('INPUT DATA'!N37="","",'INPUT DATA'!N37)</f>
        <v/>
      </c>
      <c r="D95" s="210"/>
      <c r="E95" s="210"/>
      <c r="F95" s="123"/>
      <c r="G95" s="119"/>
      <c r="H95" s="119"/>
      <c r="I95" s="119"/>
      <c r="J95" s="124"/>
      <c r="K95" s="143" t="str">
        <f t="shared" si="23"/>
        <v/>
      </c>
      <c r="L95" s="143" t="str">
        <f t="shared" si="12"/>
        <v/>
      </c>
      <c r="M95" s="146" t="str">
        <f t="shared" si="13"/>
        <v/>
      </c>
      <c r="N95" s="123"/>
      <c r="O95" s="119"/>
      <c r="P95" s="124"/>
      <c r="Q95" s="143" t="str">
        <f t="shared" si="14"/>
        <v/>
      </c>
      <c r="R95" s="143" t="str">
        <f t="shared" si="15"/>
        <v/>
      </c>
      <c r="S95" s="143" t="str">
        <f t="shared" si="16"/>
        <v/>
      </c>
      <c r="T95" s="123"/>
      <c r="U95" s="119"/>
      <c r="V95" s="124"/>
      <c r="W95" s="143" t="str">
        <f t="shared" si="17"/>
        <v/>
      </c>
      <c r="X95" s="143" t="str">
        <f t="shared" si="18"/>
        <v/>
      </c>
      <c r="Y95" s="143" t="str">
        <f t="shared" si="19"/>
        <v/>
      </c>
      <c r="Z95" s="150" t="str">
        <f t="shared" si="20"/>
        <v/>
      </c>
      <c r="AA95" s="143" t="str">
        <f t="shared" si="21"/>
        <v/>
      </c>
      <c r="AB95" s="152" t="str">
        <f t="shared" si="22"/>
        <v/>
      </c>
      <c r="AC95" s="158" t="str">
        <f>IF(AB95="","",IFERROR(INDEX(HELPER!$D$8:$D$48,IF(AB95&gt;=HELPER!$B$8,1,MATCH(AB95,HELPER!$B$8:$B$48,-1)+1)),""))</f>
        <v/>
      </c>
      <c r="AD95" s="155" t="str">
        <f>IF(AC95="","",IFERROR(VLOOKUP(AC95,HELPER!$F$8:$G$48,2,FALSE),""))</f>
        <v/>
      </c>
      <c r="AE95" s="135"/>
      <c r="AF95" s="90"/>
    </row>
    <row r="96" spans="1:32" ht="15" customHeight="1" x14ac:dyDescent="0.25">
      <c r="A96" s="135"/>
      <c r="B96" s="112">
        <v>28</v>
      </c>
      <c r="C96" s="209" t="str">
        <f>IF('INPUT DATA'!N38="","",'INPUT DATA'!N38)</f>
        <v/>
      </c>
      <c r="D96" s="210"/>
      <c r="E96" s="210"/>
      <c r="F96" s="123"/>
      <c r="G96" s="119"/>
      <c r="H96" s="119"/>
      <c r="I96" s="119"/>
      <c r="J96" s="124"/>
      <c r="K96" s="143" t="str">
        <f t="shared" si="23"/>
        <v/>
      </c>
      <c r="L96" s="143" t="str">
        <f t="shared" si="12"/>
        <v/>
      </c>
      <c r="M96" s="146" t="str">
        <f t="shared" si="13"/>
        <v/>
      </c>
      <c r="N96" s="123"/>
      <c r="O96" s="119"/>
      <c r="P96" s="124"/>
      <c r="Q96" s="143" t="str">
        <f t="shared" si="14"/>
        <v/>
      </c>
      <c r="R96" s="143" t="str">
        <f t="shared" si="15"/>
        <v/>
      </c>
      <c r="S96" s="143" t="str">
        <f t="shared" si="16"/>
        <v/>
      </c>
      <c r="T96" s="123"/>
      <c r="U96" s="119"/>
      <c r="V96" s="124"/>
      <c r="W96" s="143" t="str">
        <f t="shared" si="17"/>
        <v/>
      </c>
      <c r="X96" s="143" t="str">
        <f t="shared" si="18"/>
        <v/>
      </c>
      <c r="Y96" s="143" t="str">
        <f t="shared" si="19"/>
        <v/>
      </c>
      <c r="Z96" s="150" t="str">
        <f t="shared" si="20"/>
        <v/>
      </c>
      <c r="AA96" s="143" t="str">
        <f t="shared" si="21"/>
        <v/>
      </c>
      <c r="AB96" s="152" t="str">
        <f t="shared" si="22"/>
        <v/>
      </c>
      <c r="AC96" s="158" t="str">
        <f>IF(AB96="","",IFERROR(INDEX(HELPER!$D$8:$D$48,IF(AB96&gt;=HELPER!$B$8,1,MATCH(AB96,HELPER!$B$8:$B$48,-1)+1)),""))</f>
        <v/>
      </c>
      <c r="AD96" s="155" t="str">
        <f>IF(AC96="","",IFERROR(VLOOKUP(AC96,HELPER!$F$8:$G$48,2,FALSE),""))</f>
        <v/>
      </c>
      <c r="AE96" s="135"/>
      <c r="AF96" s="90"/>
    </row>
    <row r="97" spans="1:32" ht="15" customHeight="1" x14ac:dyDescent="0.25">
      <c r="A97" s="135"/>
      <c r="B97" s="112">
        <v>29</v>
      </c>
      <c r="C97" s="209" t="str">
        <f>IF('INPUT DATA'!N39="","",'INPUT DATA'!N39)</f>
        <v/>
      </c>
      <c r="D97" s="210"/>
      <c r="E97" s="210"/>
      <c r="F97" s="123"/>
      <c r="G97" s="119"/>
      <c r="H97" s="119"/>
      <c r="I97" s="119"/>
      <c r="J97" s="124"/>
      <c r="K97" s="143" t="str">
        <f t="shared" si="23"/>
        <v/>
      </c>
      <c r="L97" s="143" t="str">
        <f t="shared" si="12"/>
        <v/>
      </c>
      <c r="M97" s="146" t="str">
        <f t="shared" si="13"/>
        <v/>
      </c>
      <c r="N97" s="123"/>
      <c r="O97" s="119"/>
      <c r="P97" s="124"/>
      <c r="Q97" s="143" t="str">
        <f t="shared" si="14"/>
        <v/>
      </c>
      <c r="R97" s="143" t="str">
        <f t="shared" si="15"/>
        <v/>
      </c>
      <c r="S97" s="143" t="str">
        <f t="shared" si="16"/>
        <v/>
      </c>
      <c r="T97" s="123"/>
      <c r="U97" s="119"/>
      <c r="V97" s="124"/>
      <c r="W97" s="143" t="str">
        <f t="shared" si="17"/>
        <v/>
      </c>
      <c r="X97" s="143" t="str">
        <f t="shared" si="18"/>
        <v/>
      </c>
      <c r="Y97" s="143" t="str">
        <f t="shared" si="19"/>
        <v/>
      </c>
      <c r="Z97" s="150" t="str">
        <f t="shared" si="20"/>
        <v/>
      </c>
      <c r="AA97" s="143" t="str">
        <f t="shared" si="21"/>
        <v/>
      </c>
      <c r="AB97" s="152" t="str">
        <f t="shared" si="22"/>
        <v/>
      </c>
      <c r="AC97" s="158" t="str">
        <f>IF(AB97="","",IFERROR(INDEX(HELPER!$D$8:$D$48,IF(AB97&gt;=HELPER!$B$8,1,MATCH(AB97,HELPER!$B$8:$B$48,-1)+1)),""))</f>
        <v/>
      </c>
      <c r="AD97" s="155" t="str">
        <f>IF(AC97="","",IFERROR(VLOOKUP(AC97,HELPER!$F$8:$G$48,2,FALSE),""))</f>
        <v/>
      </c>
      <c r="AE97" s="135"/>
      <c r="AF97" s="90"/>
    </row>
    <row r="98" spans="1:32" ht="15" customHeight="1" x14ac:dyDescent="0.25">
      <c r="A98" s="135"/>
      <c r="B98" s="112">
        <v>30</v>
      </c>
      <c r="C98" s="209" t="str">
        <f>IF('INPUT DATA'!N40="","",'INPUT DATA'!N40)</f>
        <v/>
      </c>
      <c r="D98" s="210"/>
      <c r="E98" s="210"/>
      <c r="F98" s="123"/>
      <c r="G98" s="119"/>
      <c r="H98" s="119"/>
      <c r="I98" s="119"/>
      <c r="J98" s="124"/>
      <c r="K98" s="143" t="str">
        <f t="shared" si="23"/>
        <v/>
      </c>
      <c r="L98" s="143" t="str">
        <f t="shared" si="12"/>
        <v/>
      </c>
      <c r="M98" s="146" t="str">
        <f t="shared" si="13"/>
        <v/>
      </c>
      <c r="N98" s="123"/>
      <c r="O98" s="119"/>
      <c r="P98" s="124"/>
      <c r="Q98" s="143" t="str">
        <f t="shared" si="14"/>
        <v/>
      </c>
      <c r="R98" s="143" t="str">
        <f t="shared" si="15"/>
        <v/>
      </c>
      <c r="S98" s="143" t="str">
        <f t="shared" si="16"/>
        <v/>
      </c>
      <c r="T98" s="123"/>
      <c r="U98" s="119"/>
      <c r="V98" s="124"/>
      <c r="W98" s="143" t="str">
        <f t="shared" si="17"/>
        <v/>
      </c>
      <c r="X98" s="143" t="str">
        <f t="shared" si="18"/>
        <v/>
      </c>
      <c r="Y98" s="143" t="str">
        <f t="shared" si="19"/>
        <v/>
      </c>
      <c r="Z98" s="150" t="str">
        <f t="shared" si="20"/>
        <v/>
      </c>
      <c r="AA98" s="143" t="str">
        <f t="shared" si="21"/>
        <v/>
      </c>
      <c r="AB98" s="152" t="str">
        <f t="shared" si="22"/>
        <v/>
      </c>
      <c r="AC98" s="158" t="str">
        <f>IF(AB98="","",IFERROR(INDEX(HELPER!$D$8:$D$48,IF(AB98&gt;=HELPER!$B$8,1,MATCH(AB98,HELPER!$B$8:$B$48,-1)+1)),""))</f>
        <v/>
      </c>
      <c r="AD98" s="155" t="str">
        <f>IF(AC98="","",IFERROR(VLOOKUP(AC98,HELPER!$F$8:$G$48,2,FALSE),""))</f>
        <v/>
      </c>
      <c r="AE98" s="135"/>
      <c r="AF98" s="90"/>
    </row>
    <row r="99" spans="1:32" ht="15" customHeight="1" x14ac:dyDescent="0.25">
      <c r="A99" s="135"/>
      <c r="B99" s="112">
        <v>31</v>
      </c>
      <c r="C99" s="209" t="str">
        <f>IF('INPUT DATA'!N41="","",'INPUT DATA'!N41)</f>
        <v/>
      </c>
      <c r="D99" s="210"/>
      <c r="E99" s="210"/>
      <c r="F99" s="123"/>
      <c r="G99" s="119"/>
      <c r="H99" s="119"/>
      <c r="I99" s="119"/>
      <c r="J99" s="124"/>
      <c r="K99" s="143" t="str">
        <f t="shared" si="23"/>
        <v/>
      </c>
      <c r="L99" s="143" t="str">
        <f t="shared" si="12"/>
        <v/>
      </c>
      <c r="M99" s="146" t="str">
        <f t="shared" si="13"/>
        <v/>
      </c>
      <c r="N99" s="123"/>
      <c r="O99" s="119"/>
      <c r="P99" s="124"/>
      <c r="Q99" s="143" t="str">
        <f t="shared" si="14"/>
        <v/>
      </c>
      <c r="R99" s="143" t="str">
        <f t="shared" si="15"/>
        <v/>
      </c>
      <c r="S99" s="143" t="str">
        <f t="shared" si="16"/>
        <v/>
      </c>
      <c r="T99" s="123"/>
      <c r="U99" s="119"/>
      <c r="V99" s="124"/>
      <c r="W99" s="143" t="str">
        <f t="shared" si="17"/>
        <v/>
      </c>
      <c r="X99" s="143" t="str">
        <f t="shared" si="18"/>
        <v/>
      </c>
      <c r="Y99" s="143" t="str">
        <f t="shared" si="19"/>
        <v/>
      </c>
      <c r="Z99" s="150" t="str">
        <f t="shared" si="20"/>
        <v/>
      </c>
      <c r="AA99" s="143" t="str">
        <f t="shared" si="21"/>
        <v/>
      </c>
      <c r="AB99" s="152" t="str">
        <f t="shared" si="22"/>
        <v/>
      </c>
      <c r="AC99" s="158" t="str">
        <f>IF(AB99="","",IFERROR(INDEX(HELPER!$D$8:$D$48,IF(AB99&gt;=HELPER!$B$8,1,MATCH(AB99,HELPER!$B$8:$B$48,-1)+1)),""))</f>
        <v/>
      </c>
      <c r="AD99" s="155" t="str">
        <f>IF(AC99="","",IFERROR(VLOOKUP(AC99,HELPER!$F$8:$G$48,2,FALSE),""))</f>
        <v/>
      </c>
      <c r="AE99" s="135"/>
      <c r="AF99" s="90"/>
    </row>
    <row r="100" spans="1:32" ht="15" customHeight="1" x14ac:dyDescent="0.25">
      <c r="A100" s="135"/>
      <c r="B100" s="112">
        <v>32</v>
      </c>
      <c r="C100" s="209" t="str">
        <f>IF('INPUT DATA'!N42="","",'INPUT DATA'!N42)</f>
        <v/>
      </c>
      <c r="D100" s="210"/>
      <c r="E100" s="210"/>
      <c r="F100" s="123"/>
      <c r="G100" s="119"/>
      <c r="H100" s="119"/>
      <c r="I100" s="119"/>
      <c r="J100" s="124"/>
      <c r="K100" s="143" t="str">
        <f t="shared" si="23"/>
        <v/>
      </c>
      <c r="L100" s="143" t="str">
        <f t="shared" si="12"/>
        <v/>
      </c>
      <c r="M100" s="146" t="str">
        <f t="shared" si="13"/>
        <v/>
      </c>
      <c r="N100" s="123"/>
      <c r="O100" s="119"/>
      <c r="P100" s="124"/>
      <c r="Q100" s="143" t="str">
        <f t="shared" si="14"/>
        <v/>
      </c>
      <c r="R100" s="143" t="str">
        <f t="shared" si="15"/>
        <v/>
      </c>
      <c r="S100" s="143" t="str">
        <f t="shared" si="16"/>
        <v/>
      </c>
      <c r="T100" s="123"/>
      <c r="U100" s="119"/>
      <c r="V100" s="124"/>
      <c r="W100" s="143" t="str">
        <f t="shared" si="17"/>
        <v/>
      </c>
      <c r="X100" s="143" t="str">
        <f t="shared" si="18"/>
        <v/>
      </c>
      <c r="Y100" s="143" t="str">
        <f t="shared" si="19"/>
        <v/>
      </c>
      <c r="Z100" s="150" t="str">
        <f t="shared" si="20"/>
        <v/>
      </c>
      <c r="AA100" s="143" t="str">
        <f t="shared" si="21"/>
        <v/>
      </c>
      <c r="AB100" s="152" t="str">
        <f t="shared" si="22"/>
        <v/>
      </c>
      <c r="AC100" s="158" t="str">
        <f>IF(AB100="","",IFERROR(INDEX(HELPER!$D$8:$D$48,IF(AB100&gt;=HELPER!$B$8,1,MATCH(AB100,HELPER!$B$8:$B$48,-1)+1)),""))</f>
        <v/>
      </c>
      <c r="AD100" s="155" t="str">
        <f>IF(AC100="","",IFERROR(VLOOKUP(AC100,HELPER!$F$8:$G$48,2,FALSE),""))</f>
        <v/>
      </c>
      <c r="AE100" s="135"/>
      <c r="AF100" s="90"/>
    </row>
    <row r="101" spans="1:32" ht="15" customHeight="1" x14ac:dyDescent="0.25">
      <c r="A101" s="135"/>
      <c r="B101" s="112">
        <v>33</v>
      </c>
      <c r="C101" s="209" t="str">
        <f>IF('INPUT DATA'!N43="","",'INPUT DATA'!N43)</f>
        <v/>
      </c>
      <c r="D101" s="210"/>
      <c r="E101" s="210"/>
      <c r="F101" s="123"/>
      <c r="G101" s="119"/>
      <c r="H101" s="119"/>
      <c r="I101" s="119"/>
      <c r="J101" s="124"/>
      <c r="K101" s="143" t="str">
        <f t="shared" si="23"/>
        <v/>
      </c>
      <c r="L101" s="143" t="str">
        <f t="shared" si="12"/>
        <v/>
      </c>
      <c r="M101" s="146" t="str">
        <f t="shared" si="13"/>
        <v/>
      </c>
      <c r="N101" s="123"/>
      <c r="O101" s="119"/>
      <c r="P101" s="124"/>
      <c r="Q101" s="143" t="str">
        <f t="shared" si="14"/>
        <v/>
      </c>
      <c r="R101" s="143" t="str">
        <f t="shared" si="15"/>
        <v/>
      </c>
      <c r="S101" s="143" t="str">
        <f t="shared" si="16"/>
        <v/>
      </c>
      <c r="T101" s="123"/>
      <c r="U101" s="119"/>
      <c r="V101" s="124"/>
      <c r="W101" s="143" t="str">
        <f t="shared" si="17"/>
        <v/>
      </c>
      <c r="X101" s="143" t="str">
        <f t="shared" si="18"/>
        <v/>
      </c>
      <c r="Y101" s="143" t="str">
        <f t="shared" si="19"/>
        <v/>
      </c>
      <c r="Z101" s="150" t="str">
        <f t="shared" si="20"/>
        <v/>
      </c>
      <c r="AA101" s="143" t="str">
        <f t="shared" si="21"/>
        <v/>
      </c>
      <c r="AB101" s="152" t="str">
        <f t="shared" si="22"/>
        <v/>
      </c>
      <c r="AC101" s="158" t="str">
        <f>IF(AB101="","",IFERROR(INDEX(HELPER!$D$8:$D$48,IF(AB101&gt;=HELPER!$B$8,1,MATCH(AB101,HELPER!$B$8:$B$48,-1)+1)),""))</f>
        <v/>
      </c>
      <c r="AD101" s="155" t="str">
        <f>IF(AC101="","",IFERROR(VLOOKUP(AC101,HELPER!$F$8:$G$48,2,FALSE),""))</f>
        <v/>
      </c>
      <c r="AE101" s="135"/>
      <c r="AF101" s="90"/>
    </row>
    <row r="102" spans="1:32" ht="15" customHeight="1" x14ac:dyDescent="0.25">
      <c r="A102" s="135"/>
      <c r="B102" s="112">
        <v>34</v>
      </c>
      <c r="C102" s="209" t="str">
        <f>IF('INPUT DATA'!N44="","",'INPUT DATA'!N44)</f>
        <v/>
      </c>
      <c r="D102" s="210"/>
      <c r="E102" s="210"/>
      <c r="F102" s="123"/>
      <c r="G102" s="119"/>
      <c r="H102" s="119"/>
      <c r="I102" s="119"/>
      <c r="J102" s="124"/>
      <c r="K102" s="143" t="str">
        <f t="shared" si="23"/>
        <v/>
      </c>
      <c r="L102" s="143" t="str">
        <f t="shared" si="12"/>
        <v/>
      </c>
      <c r="M102" s="146" t="str">
        <f t="shared" si="13"/>
        <v/>
      </c>
      <c r="N102" s="123"/>
      <c r="O102" s="119"/>
      <c r="P102" s="124"/>
      <c r="Q102" s="143" t="str">
        <f t="shared" si="14"/>
        <v/>
      </c>
      <c r="R102" s="143" t="str">
        <f t="shared" si="15"/>
        <v/>
      </c>
      <c r="S102" s="143" t="str">
        <f t="shared" si="16"/>
        <v/>
      </c>
      <c r="T102" s="123"/>
      <c r="U102" s="119"/>
      <c r="V102" s="124"/>
      <c r="W102" s="143" t="str">
        <f t="shared" si="17"/>
        <v/>
      </c>
      <c r="X102" s="143" t="str">
        <f t="shared" si="18"/>
        <v/>
      </c>
      <c r="Y102" s="143" t="str">
        <f t="shared" si="19"/>
        <v/>
      </c>
      <c r="Z102" s="150" t="str">
        <f t="shared" si="20"/>
        <v/>
      </c>
      <c r="AA102" s="143" t="str">
        <f t="shared" si="21"/>
        <v/>
      </c>
      <c r="AB102" s="152" t="str">
        <f t="shared" si="22"/>
        <v/>
      </c>
      <c r="AC102" s="158" t="str">
        <f>IF(AB102="","",IFERROR(INDEX(HELPER!$D$8:$D$48,IF(AB102&gt;=HELPER!$B$8,1,MATCH(AB102,HELPER!$B$8:$B$48,-1)+1)),""))</f>
        <v/>
      </c>
      <c r="AD102" s="155" t="str">
        <f>IF(AC102="","",IFERROR(VLOOKUP(AC102,HELPER!$F$8:$G$48,2,FALSE),""))</f>
        <v/>
      </c>
      <c r="AE102" s="135"/>
      <c r="AF102" s="90"/>
    </row>
    <row r="103" spans="1:32" ht="15" customHeight="1" x14ac:dyDescent="0.25">
      <c r="A103" s="135"/>
      <c r="B103" s="112">
        <v>35</v>
      </c>
      <c r="C103" s="209" t="str">
        <f>IF('INPUT DATA'!N45="","",'INPUT DATA'!N45)</f>
        <v/>
      </c>
      <c r="D103" s="210"/>
      <c r="E103" s="210"/>
      <c r="F103" s="123"/>
      <c r="G103" s="119"/>
      <c r="H103" s="119"/>
      <c r="I103" s="119"/>
      <c r="J103" s="124"/>
      <c r="K103" s="143" t="str">
        <f t="shared" si="23"/>
        <v/>
      </c>
      <c r="L103" s="143" t="str">
        <f t="shared" si="12"/>
        <v/>
      </c>
      <c r="M103" s="146" t="str">
        <f t="shared" si="13"/>
        <v/>
      </c>
      <c r="N103" s="123"/>
      <c r="O103" s="119"/>
      <c r="P103" s="124"/>
      <c r="Q103" s="143" t="str">
        <f t="shared" si="14"/>
        <v/>
      </c>
      <c r="R103" s="143" t="str">
        <f t="shared" si="15"/>
        <v/>
      </c>
      <c r="S103" s="143" t="str">
        <f t="shared" si="16"/>
        <v/>
      </c>
      <c r="T103" s="123"/>
      <c r="U103" s="119"/>
      <c r="V103" s="124"/>
      <c r="W103" s="143" t="str">
        <f t="shared" si="17"/>
        <v/>
      </c>
      <c r="X103" s="143" t="str">
        <f t="shared" si="18"/>
        <v/>
      </c>
      <c r="Y103" s="143" t="str">
        <f t="shared" si="19"/>
        <v/>
      </c>
      <c r="Z103" s="150" t="str">
        <f t="shared" si="20"/>
        <v/>
      </c>
      <c r="AA103" s="143" t="str">
        <f t="shared" si="21"/>
        <v/>
      </c>
      <c r="AB103" s="152" t="str">
        <f t="shared" si="22"/>
        <v/>
      </c>
      <c r="AC103" s="158" t="str">
        <f>IF(AB103="","",IFERROR(INDEX(HELPER!$D$8:$D$48,IF(AB103&gt;=HELPER!$B$8,1,MATCH(AB103,HELPER!$B$8:$B$48,-1)+1)),""))</f>
        <v/>
      </c>
      <c r="AD103" s="155" t="str">
        <f>IF(AC103="","",IFERROR(VLOOKUP(AC103,HELPER!$F$8:$G$48,2,FALSE),""))</f>
        <v/>
      </c>
      <c r="AE103" s="135"/>
      <c r="AF103" s="90"/>
    </row>
    <row r="104" spans="1:32" ht="15" customHeight="1" x14ac:dyDescent="0.25">
      <c r="A104" s="135"/>
      <c r="B104" s="112">
        <v>36</v>
      </c>
      <c r="C104" s="209" t="str">
        <f>IF('INPUT DATA'!N46="","",'INPUT DATA'!N46)</f>
        <v/>
      </c>
      <c r="D104" s="210"/>
      <c r="E104" s="210"/>
      <c r="F104" s="123"/>
      <c r="G104" s="119"/>
      <c r="H104" s="119"/>
      <c r="I104" s="119"/>
      <c r="J104" s="124"/>
      <c r="K104" s="143" t="str">
        <f t="shared" si="23"/>
        <v/>
      </c>
      <c r="L104" s="143" t="str">
        <f t="shared" si="12"/>
        <v/>
      </c>
      <c r="M104" s="146" t="str">
        <f t="shared" si="13"/>
        <v/>
      </c>
      <c r="N104" s="123"/>
      <c r="O104" s="119"/>
      <c r="P104" s="124"/>
      <c r="Q104" s="143" t="str">
        <f t="shared" si="14"/>
        <v/>
      </c>
      <c r="R104" s="143" t="str">
        <f t="shared" si="15"/>
        <v/>
      </c>
      <c r="S104" s="143" t="str">
        <f t="shared" si="16"/>
        <v/>
      </c>
      <c r="T104" s="123"/>
      <c r="U104" s="119"/>
      <c r="V104" s="124"/>
      <c r="W104" s="143" t="str">
        <f t="shared" si="17"/>
        <v/>
      </c>
      <c r="X104" s="143" t="str">
        <f t="shared" si="18"/>
        <v/>
      </c>
      <c r="Y104" s="143" t="str">
        <f t="shared" si="19"/>
        <v/>
      </c>
      <c r="Z104" s="150" t="str">
        <f t="shared" si="20"/>
        <v/>
      </c>
      <c r="AA104" s="143" t="str">
        <f t="shared" si="21"/>
        <v/>
      </c>
      <c r="AB104" s="152" t="str">
        <f t="shared" si="22"/>
        <v/>
      </c>
      <c r="AC104" s="158" t="str">
        <f>IF(AB104="","",IFERROR(INDEX(HELPER!$D$8:$D$48,IF(AB104&gt;=HELPER!$B$8,1,MATCH(AB104,HELPER!$B$8:$B$48,-1)+1)),""))</f>
        <v/>
      </c>
      <c r="AD104" s="155" t="str">
        <f>IF(AC104="","",IFERROR(VLOOKUP(AC104,HELPER!$F$8:$G$48,2,FALSE),""))</f>
        <v/>
      </c>
      <c r="AE104" s="135"/>
      <c r="AF104" s="90"/>
    </row>
    <row r="105" spans="1:32" ht="15" customHeight="1" x14ac:dyDescent="0.25">
      <c r="A105" s="135"/>
      <c r="B105" s="112">
        <v>37</v>
      </c>
      <c r="C105" s="209" t="str">
        <f>IF('INPUT DATA'!N47="","",'INPUT DATA'!N47)</f>
        <v/>
      </c>
      <c r="D105" s="210"/>
      <c r="E105" s="210"/>
      <c r="F105" s="123"/>
      <c r="G105" s="119"/>
      <c r="H105" s="119"/>
      <c r="I105" s="119"/>
      <c r="J105" s="124"/>
      <c r="K105" s="143" t="str">
        <f t="shared" si="23"/>
        <v/>
      </c>
      <c r="L105" s="143" t="str">
        <f t="shared" si="12"/>
        <v/>
      </c>
      <c r="M105" s="146" t="str">
        <f t="shared" si="13"/>
        <v/>
      </c>
      <c r="N105" s="123"/>
      <c r="O105" s="119"/>
      <c r="P105" s="124"/>
      <c r="Q105" s="143" t="str">
        <f t="shared" si="14"/>
        <v/>
      </c>
      <c r="R105" s="143" t="str">
        <f t="shared" si="15"/>
        <v/>
      </c>
      <c r="S105" s="143" t="str">
        <f t="shared" si="16"/>
        <v/>
      </c>
      <c r="T105" s="123"/>
      <c r="U105" s="119"/>
      <c r="V105" s="124"/>
      <c r="W105" s="143" t="str">
        <f t="shared" si="17"/>
        <v/>
      </c>
      <c r="X105" s="143" t="str">
        <f t="shared" si="18"/>
        <v/>
      </c>
      <c r="Y105" s="143" t="str">
        <f t="shared" si="19"/>
        <v/>
      </c>
      <c r="Z105" s="150" t="str">
        <f t="shared" si="20"/>
        <v/>
      </c>
      <c r="AA105" s="143" t="str">
        <f t="shared" si="21"/>
        <v/>
      </c>
      <c r="AB105" s="152" t="str">
        <f t="shared" si="22"/>
        <v/>
      </c>
      <c r="AC105" s="158" t="str">
        <f>IF(AB105="","",IFERROR(INDEX(HELPER!$D$8:$D$48,IF(AB105&gt;=HELPER!$B$8,1,MATCH(AB105,HELPER!$B$8:$B$48,-1)+1)),""))</f>
        <v/>
      </c>
      <c r="AD105" s="155" t="str">
        <f>IF(AC105="","",IFERROR(VLOOKUP(AC105,HELPER!$F$8:$G$48,2,FALSE),""))</f>
        <v/>
      </c>
      <c r="AE105" s="135"/>
      <c r="AF105" s="90"/>
    </row>
    <row r="106" spans="1:32" ht="15" customHeight="1" x14ac:dyDescent="0.25">
      <c r="A106" s="135"/>
      <c r="B106" s="112">
        <v>38</v>
      </c>
      <c r="C106" s="209" t="str">
        <f>IF('INPUT DATA'!N48="","",'INPUT DATA'!N48)</f>
        <v/>
      </c>
      <c r="D106" s="210"/>
      <c r="E106" s="210"/>
      <c r="F106" s="123"/>
      <c r="G106" s="119"/>
      <c r="H106" s="119"/>
      <c r="I106" s="119"/>
      <c r="J106" s="124"/>
      <c r="K106" s="143" t="str">
        <f t="shared" si="23"/>
        <v/>
      </c>
      <c r="L106" s="143" t="str">
        <f t="shared" si="12"/>
        <v/>
      </c>
      <c r="M106" s="146" t="str">
        <f t="shared" si="13"/>
        <v/>
      </c>
      <c r="N106" s="123"/>
      <c r="O106" s="119"/>
      <c r="P106" s="124"/>
      <c r="Q106" s="143" t="str">
        <f t="shared" si="14"/>
        <v/>
      </c>
      <c r="R106" s="143" t="str">
        <f t="shared" si="15"/>
        <v/>
      </c>
      <c r="S106" s="143" t="str">
        <f t="shared" si="16"/>
        <v/>
      </c>
      <c r="T106" s="123"/>
      <c r="U106" s="119"/>
      <c r="V106" s="124"/>
      <c r="W106" s="143" t="str">
        <f t="shared" si="17"/>
        <v/>
      </c>
      <c r="X106" s="143" t="str">
        <f t="shared" si="18"/>
        <v/>
      </c>
      <c r="Y106" s="143" t="str">
        <f t="shared" si="19"/>
        <v/>
      </c>
      <c r="Z106" s="150" t="str">
        <f t="shared" si="20"/>
        <v/>
      </c>
      <c r="AA106" s="143" t="str">
        <f t="shared" si="21"/>
        <v/>
      </c>
      <c r="AB106" s="152" t="str">
        <f t="shared" si="22"/>
        <v/>
      </c>
      <c r="AC106" s="158" t="str">
        <f>IF(AB106="","",IFERROR(INDEX(HELPER!$D$8:$D$48,IF(AB106&gt;=HELPER!$B$8,1,MATCH(AB106,HELPER!$B$8:$B$48,-1)+1)),""))</f>
        <v/>
      </c>
      <c r="AD106" s="155" t="str">
        <f>IF(AC106="","",IFERROR(VLOOKUP(AC106,HELPER!$F$8:$G$48,2,FALSE),""))</f>
        <v/>
      </c>
      <c r="AE106" s="135"/>
      <c r="AF106" s="90"/>
    </row>
    <row r="107" spans="1:32" ht="15" customHeight="1" x14ac:dyDescent="0.25">
      <c r="A107" s="135"/>
      <c r="B107" s="112">
        <v>39</v>
      </c>
      <c r="C107" s="209" t="str">
        <f>IF('INPUT DATA'!N49="","",'INPUT DATA'!N49)</f>
        <v/>
      </c>
      <c r="D107" s="210"/>
      <c r="E107" s="210"/>
      <c r="F107" s="123"/>
      <c r="G107" s="119"/>
      <c r="H107" s="119"/>
      <c r="I107" s="119"/>
      <c r="J107" s="124"/>
      <c r="K107" s="143" t="str">
        <f t="shared" si="23"/>
        <v/>
      </c>
      <c r="L107" s="143" t="str">
        <f t="shared" si="12"/>
        <v/>
      </c>
      <c r="M107" s="146" t="str">
        <f t="shared" si="13"/>
        <v/>
      </c>
      <c r="N107" s="123"/>
      <c r="O107" s="119"/>
      <c r="P107" s="124"/>
      <c r="Q107" s="143" t="str">
        <f t="shared" si="14"/>
        <v/>
      </c>
      <c r="R107" s="143" t="str">
        <f t="shared" si="15"/>
        <v/>
      </c>
      <c r="S107" s="143" t="str">
        <f t="shared" si="16"/>
        <v/>
      </c>
      <c r="T107" s="123"/>
      <c r="U107" s="119"/>
      <c r="V107" s="124"/>
      <c r="W107" s="143" t="str">
        <f t="shared" si="17"/>
        <v/>
      </c>
      <c r="X107" s="143" t="str">
        <f t="shared" si="18"/>
        <v/>
      </c>
      <c r="Y107" s="143" t="str">
        <f t="shared" si="19"/>
        <v/>
      </c>
      <c r="Z107" s="150" t="str">
        <f t="shared" si="20"/>
        <v/>
      </c>
      <c r="AA107" s="143" t="str">
        <f t="shared" si="21"/>
        <v/>
      </c>
      <c r="AB107" s="152" t="str">
        <f t="shared" si="22"/>
        <v/>
      </c>
      <c r="AC107" s="158" t="str">
        <f>IF(AB107="","",IFERROR(INDEX(HELPER!$D$8:$D$48,IF(AB107&gt;=HELPER!$B$8,1,MATCH(AB107,HELPER!$B$8:$B$48,-1)+1)),""))</f>
        <v/>
      </c>
      <c r="AD107" s="155" t="str">
        <f>IF(AC107="","",IFERROR(VLOOKUP(AC107,HELPER!$F$8:$G$48,2,FALSE),""))</f>
        <v/>
      </c>
      <c r="AE107" s="135"/>
      <c r="AF107" s="90"/>
    </row>
    <row r="108" spans="1:32" ht="15" customHeight="1" x14ac:dyDescent="0.25">
      <c r="A108" s="135"/>
      <c r="B108" s="112">
        <v>40</v>
      </c>
      <c r="C108" s="209" t="str">
        <f>IF('INPUT DATA'!N50="","",'INPUT DATA'!N50)</f>
        <v/>
      </c>
      <c r="D108" s="210"/>
      <c r="E108" s="210"/>
      <c r="F108" s="123"/>
      <c r="G108" s="119"/>
      <c r="H108" s="119"/>
      <c r="I108" s="119"/>
      <c r="J108" s="124"/>
      <c r="K108" s="143" t="str">
        <f t="shared" si="23"/>
        <v/>
      </c>
      <c r="L108" s="143" t="str">
        <f t="shared" si="12"/>
        <v/>
      </c>
      <c r="M108" s="146" t="str">
        <f t="shared" si="13"/>
        <v/>
      </c>
      <c r="N108" s="123"/>
      <c r="O108" s="119"/>
      <c r="P108" s="124"/>
      <c r="Q108" s="143" t="str">
        <f t="shared" si="14"/>
        <v/>
      </c>
      <c r="R108" s="143" t="str">
        <f t="shared" si="15"/>
        <v/>
      </c>
      <c r="S108" s="143" t="str">
        <f t="shared" si="16"/>
        <v/>
      </c>
      <c r="T108" s="123"/>
      <c r="U108" s="119"/>
      <c r="V108" s="124"/>
      <c r="W108" s="143" t="str">
        <f t="shared" si="17"/>
        <v/>
      </c>
      <c r="X108" s="143" t="str">
        <f t="shared" si="18"/>
        <v/>
      </c>
      <c r="Y108" s="143" t="str">
        <f t="shared" si="19"/>
        <v/>
      </c>
      <c r="Z108" s="150" t="str">
        <f t="shared" si="20"/>
        <v/>
      </c>
      <c r="AA108" s="143" t="str">
        <f t="shared" si="21"/>
        <v/>
      </c>
      <c r="AB108" s="152" t="str">
        <f t="shared" si="22"/>
        <v/>
      </c>
      <c r="AC108" s="158" t="str">
        <f>IF(AB108="","",IFERROR(INDEX(HELPER!$D$8:$D$48,IF(AB108&gt;=HELPER!$B$8,1,MATCH(AB108,HELPER!$B$8:$B$48,-1)+1)),""))</f>
        <v/>
      </c>
      <c r="AD108" s="155" t="str">
        <f>IF(AC108="","",IFERROR(VLOOKUP(AC108,HELPER!$F$8:$G$48,2,FALSE),""))</f>
        <v/>
      </c>
      <c r="AE108" s="135"/>
      <c r="AF108" s="90"/>
    </row>
    <row r="109" spans="1:32" ht="15" customHeight="1" x14ac:dyDescent="0.25">
      <c r="A109" s="135"/>
      <c r="B109" s="112">
        <v>41</v>
      </c>
      <c r="C109" s="209" t="str">
        <f>IF('INPUT DATA'!N51="","",'INPUT DATA'!N51)</f>
        <v/>
      </c>
      <c r="D109" s="210"/>
      <c r="E109" s="210"/>
      <c r="F109" s="123"/>
      <c r="G109" s="119"/>
      <c r="H109" s="119"/>
      <c r="I109" s="119"/>
      <c r="J109" s="124"/>
      <c r="K109" s="143" t="str">
        <f t="shared" si="23"/>
        <v/>
      </c>
      <c r="L109" s="143" t="str">
        <f t="shared" si="12"/>
        <v/>
      </c>
      <c r="M109" s="146" t="str">
        <f t="shared" si="13"/>
        <v/>
      </c>
      <c r="N109" s="123"/>
      <c r="O109" s="119"/>
      <c r="P109" s="124"/>
      <c r="Q109" s="143" t="str">
        <f t="shared" si="14"/>
        <v/>
      </c>
      <c r="R109" s="143" t="str">
        <f t="shared" si="15"/>
        <v/>
      </c>
      <c r="S109" s="143" t="str">
        <f t="shared" si="16"/>
        <v/>
      </c>
      <c r="T109" s="123"/>
      <c r="U109" s="119"/>
      <c r="V109" s="124"/>
      <c r="W109" s="143" t="str">
        <f t="shared" si="17"/>
        <v/>
      </c>
      <c r="X109" s="143" t="str">
        <f t="shared" si="18"/>
        <v/>
      </c>
      <c r="Y109" s="143" t="str">
        <f t="shared" si="19"/>
        <v/>
      </c>
      <c r="Z109" s="150" t="str">
        <f t="shared" si="20"/>
        <v/>
      </c>
      <c r="AA109" s="143" t="str">
        <f t="shared" si="21"/>
        <v/>
      </c>
      <c r="AB109" s="152" t="str">
        <f t="shared" si="22"/>
        <v/>
      </c>
      <c r="AC109" s="158" t="str">
        <f>IF(AB109="","",IFERROR(INDEX(HELPER!$D$8:$D$48,IF(AB109&gt;=HELPER!$B$8,1,MATCH(AB109,HELPER!$B$8:$B$48,-1)+1)),""))</f>
        <v/>
      </c>
      <c r="AD109" s="155" t="str">
        <f>IF(AC109="","",IFERROR(VLOOKUP(AC109,HELPER!$F$8:$G$48,2,FALSE),""))</f>
        <v/>
      </c>
      <c r="AE109" s="135"/>
      <c r="AF109" s="90"/>
    </row>
    <row r="110" spans="1:32" ht="15" customHeight="1" x14ac:dyDescent="0.25">
      <c r="A110" s="135"/>
      <c r="B110" s="112">
        <v>42</v>
      </c>
      <c r="C110" s="209" t="str">
        <f>IF('INPUT DATA'!N52="","",'INPUT DATA'!N52)</f>
        <v/>
      </c>
      <c r="D110" s="210"/>
      <c r="E110" s="210"/>
      <c r="F110" s="123"/>
      <c r="G110" s="119"/>
      <c r="H110" s="119"/>
      <c r="I110" s="119"/>
      <c r="J110" s="124"/>
      <c r="K110" s="143" t="str">
        <f t="shared" si="23"/>
        <v/>
      </c>
      <c r="L110" s="143" t="str">
        <f t="shared" si="12"/>
        <v/>
      </c>
      <c r="M110" s="146" t="str">
        <f t="shared" si="13"/>
        <v/>
      </c>
      <c r="N110" s="123"/>
      <c r="O110" s="119"/>
      <c r="P110" s="124"/>
      <c r="Q110" s="143" t="str">
        <f t="shared" si="14"/>
        <v/>
      </c>
      <c r="R110" s="143" t="str">
        <f t="shared" si="15"/>
        <v/>
      </c>
      <c r="S110" s="143" t="str">
        <f t="shared" si="16"/>
        <v/>
      </c>
      <c r="T110" s="123"/>
      <c r="U110" s="119"/>
      <c r="V110" s="124"/>
      <c r="W110" s="143" t="str">
        <f t="shared" si="17"/>
        <v/>
      </c>
      <c r="X110" s="143" t="str">
        <f t="shared" si="18"/>
        <v/>
      </c>
      <c r="Y110" s="143" t="str">
        <f t="shared" si="19"/>
        <v/>
      </c>
      <c r="Z110" s="150" t="str">
        <f t="shared" si="20"/>
        <v/>
      </c>
      <c r="AA110" s="143" t="str">
        <f t="shared" si="21"/>
        <v/>
      </c>
      <c r="AB110" s="152" t="str">
        <f t="shared" si="22"/>
        <v/>
      </c>
      <c r="AC110" s="158" t="str">
        <f>IF(AB110="","",IFERROR(INDEX(HELPER!$D$8:$D$48,IF(AB110&gt;=HELPER!$B$8,1,MATCH(AB110,HELPER!$B$8:$B$48,-1)+1)),""))</f>
        <v/>
      </c>
      <c r="AD110" s="155" t="str">
        <f>IF(AC110="","",IFERROR(VLOOKUP(AC110,HELPER!$F$8:$G$48,2,FALSE),""))</f>
        <v/>
      </c>
      <c r="AE110" s="135"/>
      <c r="AF110" s="90"/>
    </row>
    <row r="111" spans="1:32" ht="15" customHeight="1" x14ac:dyDescent="0.25">
      <c r="A111" s="135"/>
      <c r="B111" s="112">
        <v>43</v>
      </c>
      <c r="C111" s="209" t="str">
        <f>IF('INPUT DATA'!N53="","",'INPUT DATA'!N53)</f>
        <v/>
      </c>
      <c r="D111" s="210"/>
      <c r="E111" s="210"/>
      <c r="F111" s="123"/>
      <c r="G111" s="119"/>
      <c r="H111" s="119"/>
      <c r="I111" s="119"/>
      <c r="J111" s="124"/>
      <c r="K111" s="143" t="str">
        <f t="shared" si="23"/>
        <v/>
      </c>
      <c r="L111" s="143" t="str">
        <f t="shared" si="12"/>
        <v/>
      </c>
      <c r="M111" s="146" t="str">
        <f t="shared" si="13"/>
        <v/>
      </c>
      <c r="N111" s="123"/>
      <c r="O111" s="119"/>
      <c r="P111" s="124"/>
      <c r="Q111" s="143" t="str">
        <f t="shared" si="14"/>
        <v/>
      </c>
      <c r="R111" s="143" t="str">
        <f t="shared" si="15"/>
        <v/>
      </c>
      <c r="S111" s="143" t="str">
        <f t="shared" si="16"/>
        <v/>
      </c>
      <c r="T111" s="123"/>
      <c r="U111" s="119"/>
      <c r="V111" s="124"/>
      <c r="W111" s="143" t="str">
        <f t="shared" si="17"/>
        <v/>
      </c>
      <c r="X111" s="143" t="str">
        <f t="shared" si="18"/>
        <v/>
      </c>
      <c r="Y111" s="143" t="str">
        <f t="shared" si="19"/>
        <v/>
      </c>
      <c r="Z111" s="150" t="str">
        <f t="shared" si="20"/>
        <v/>
      </c>
      <c r="AA111" s="143" t="str">
        <f t="shared" si="21"/>
        <v/>
      </c>
      <c r="AB111" s="152" t="str">
        <f t="shared" si="22"/>
        <v/>
      </c>
      <c r="AC111" s="158" t="str">
        <f>IF(AB111="","",IFERROR(INDEX(HELPER!$D$8:$D$48,IF(AB111&gt;=HELPER!$B$8,1,MATCH(AB111,HELPER!$B$8:$B$48,-1)+1)),""))</f>
        <v/>
      </c>
      <c r="AD111" s="155" t="str">
        <f>IF(AC111="","",IFERROR(VLOOKUP(AC111,HELPER!$F$8:$G$48,2,FALSE),""))</f>
        <v/>
      </c>
      <c r="AE111" s="135"/>
      <c r="AF111" s="90"/>
    </row>
    <row r="112" spans="1:32" ht="15" customHeight="1" x14ac:dyDescent="0.25">
      <c r="A112" s="135"/>
      <c r="B112" s="112">
        <v>44</v>
      </c>
      <c r="C112" s="209" t="str">
        <f>IF('INPUT DATA'!N54="","",'INPUT DATA'!N54)</f>
        <v/>
      </c>
      <c r="D112" s="210"/>
      <c r="E112" s="210"/>
      <c r="F112" s="123"/>
      <c r="G112" s="119"/>
      <c r="H112" s="119"/>
      <c r="I112" s="119"/>
      <c r="J112" s="124"/>
      <c r="K112" s="143" t="str">
        <f t="shared" si="23"/>
        <v/>
      </c>
      <c r="L112" s="143" t="str">
        <f t="shared" si="12"/>
        <v/>
      </c>
      <c r="M112" s="146" t="str">
        <f t="shared" si="13"/>
        <v/>
      </c>
      <c r="N112" s="123"/>
      <c r="O112" s="119"/>
      <c r="P112" s="124"/>
      <c r="Q112" s="143" t="str">
        <f t="shared" si="14"/>
        <v/>
      </c>
      <c r="R112" s="143" t="str">
        <f t="shared" si="15"/>
        <v/>
      </c>
      <c r="S112" s="143" t="str">
        <f t="shared" si="16"/>
        <v/>
      </c>
      <c r="T112" s="123"/>
      <c r="U112" s="119"/>
      <c r="V112" s="124"/>
      <c r="W112" s="143" t="str">
        <f t="shared" si="17"/>
        <v/>
      </c>
      <c r="X112" s="143" t="str">
        <f t="shared" si="18"/>
        <v/>
      </c>
      <c r="Y112" s="143" t="str">
        <f t="shared" si="19"/>
        <v/>
      </c>
      <c r="Z112" s="150" t="str">
        <f t="shared" si="20"/>
        <v/>
      </c>
      <c r="AA112" s="143" t="str">
        <f t="shared" si="21"/>
        <v/>
      </c>
      <c r="AB112" s="152" t="str">
        <f t="shared" si="22"/>
        <v/>
      </c>
      <c r="AC112" s="158" t="str">
        <f>IF(AB112="","",IFERROR(INDEX(HELPER!$D$8:$D$48,IF(AB112&gt;=HELPER!$B$8,1,MATCH(AB112,HELPER!$B$8:$B$48,-1)+1)),""))</f>
        <v/>
      </c>
      <c r="AD112" s="155" t="str">
        <f>IF(AC112="","",IFERROR(VLOOKUP(AC112,HELPER!$F$8:$G$48,2,FALSE),""))</f>
        <v/>
      </c>
      <c r="AE112" s="135"/>
      <c r="AF112" s="90"/>
    </row>
    <row r="113" spans="1:32" ht="15" customHeight="1" x14ac:dyDescent="0.25">
      <c r="A113" s="135"/>
      <c r="B113" s="112">
        <v>45</v>
      </c>
      <c r="C113" s="209" t="str">
        <f>IF('INPUT DATA'!N55="","",'INPUT DATA'!N55)</f>
        <v/>
      </c>
      <c r="D113" s="210"/>
      <c r="E113" s="210"/>
      <c r="F113" s="123"/>
      <c r="G113" s="119"/>
      <c r="H113" s="119"/>
      <c r="I113" s="119"/>
      <c r="J113" s="124"/>
      <c r="K113" s="143" t="str">
        <f t="shared" si="23"/>
        <v/>
      </c>
      <c r="L113" s="143" t="str">
        <f t="shared" si="12"/>
        <v/>
      </c>
      <c r="M113" s="146" t="str">
        <f t="shared" si="13"/>
        <v/>
      </c>
      <c r="N113" s="123"/>
      <c r="O113" s="119"/>
      <c r="P113" s="124"/>
      <c r="Q113" s="143" t="str">
        <f t="shared" si="14"/>
        <v/>
      </c>
      <c r="R113" s="143" t="str">
        <f t="shared" si="15"/>
        <v/>
      </c>
      <c r="S113" s="143" t="str">
        <f t="shared" si="16"/>
        <v/>
      </c>
      <c r="T113" s="123"/>
      <c r="U113" s="119"/>
      <c r="V113" s="124"/>
      <c r="W113" s="143" t="str">
        <f t="shared" si="17"/>
        <v/>
      </c>
      <c r="X113" s="143" t="str">
        <f t="shared" si="18"/>
        <v/>
      </c>
      <c r="Y113" s="143" t="str">
        <f t="shared" si="19"/>
        <v/>
      </c>
      <c r="Z113" s="150" t="str">
        <f t="shared" si="20"/>
        <v/>
      </c>
      <c r="AA113" s="143" t="str">
        <f t="shared" si="21"/>
        <v/>
      </c>
      <c r="AB113" s="152" t="str">
        <f t="shared" si="22"/>
        <v/>
      </c>
      <c r="AC113" s="158" t="str">
        <f>IF(AB113="","",IFERROR(INDEX(HELPER!$D$8:$D$48,IF(AB113&gt;=HELPER!$B$8,1,MATCH(AB113,HELPER!$B$8:$B$48,-1)+1)),""))</f>
        <v/>
      </c>
      <c r="AD113" s="155" t="str">
        <f>IF(AC113="","",IFERROR(VLOOKUP(AC113,HELPER!$F$8:$G$48,2,FALSE),""))</f>
        <v/>
      </c>
      <c r="AE113" s="135"/>
      <c r="AF113" s="90"/>
    </row>
    <row r="114" spans="1:32" ht="15" customHeight="1" x14ac:dyDescent="0.25">
      <c r="A114" s="135"/>
      <c r="B114" s="112">
        <v>46</v>
      </c>
      <c r="C114" s="209" t="str">
        <f>IF('INPUT DATA'!N56="","",'INPUT DATA'!N56)</f>
        <v/>
      </c>
      <c r="D114" s="210"/>
      <c r="E114" s="210"/>
      <c r="F114" s="123"/>
      <c r="G114" s="119"/>
      <c r="H114" s="119"/>
      <c r="I114" s="119"/>
      <c r="J114" s="124"/>
      <c r="K114" s="143" t="str">
        <f t="shared" si="23"/>
        <v/>
      </c>
      <c r="L114" s="143" t="str">
        <f t="shared" si="12"/>
        <v/>
      </c>
      <c r="M114" s="146" t="str">
        <f t="shared" si="13"/>
        <v/>
      </c>
      <c r="N114" s="123"/>
      <c r="O114" s="119"/>
      <c r="P114" s="124"/>
      <c r="Q114" s="143" t="str">
        <f t="shared" si="14"/>
        <v/>
      </c>
      <c r="R114" s="143" t="str">
        <f t="shared" si="15"/>
        <v/>
      </c>
      <c r="S114" s="143" t="str">
        <f t="shared" si="16"/>
        <v/>
      </c>
      <c r="T114" s="123"/>
      <c r="U114" s="119"/>
      <c r="V114" s="124"/>
      <c r="W114" s="143" t="str">
        <f t="shared" si="17"/>
        <v/>
      </c>
      <c r="X114" s="143" t="str">
        <f t="shared" si="18"/>
        <v/>
      </c>
      <c r="Y114" s="143" t="str">
        <f t="shared" si="19"/>
        <v/>
      </c>
      <c r="Z114" s="150" t="str">
        <f t="shared" si="20"/>
        <v/>
      </c>
      <c r="AA114" s="143" t="str">
        <f t="shared" si="21"/>
        <v/>
      </c>
      <c r="AB114" s="152" t="str">
        <f t="shared" si="22"/>
        <v/>
      </c>
      <c r="AC114" s="158" t="str">
        <f>IF(AB114="","",IFERROR(INDEX(HELPER!$D$8:$D$48,IF(AB114&gt;=HELPER!$B$8,1,MATCH(AB114,HELPER!$B$8:$B$48,-1)+1)),""))</f>
        <v/>
      </c>
      <c r="AD114" s="155" t="str">
        <f>IF(AC114="","",IFERROR(VLOOKUP(AC114,HELPER!$F$8:$G$48,2,FALSE),""))</f>
        <v/>
      </c>
      <c r="AE114" s="135"/>
      <c r="AF114" s="90"/>
    </row>
    <row r="115" spans="1:32" ht="15" customHeight="1" x14ac:dyDescent="0.25">
      <c r="A115" s="135"/>
      <c r="B115" s="112">
        <v>47</v>
      </c>
      <c r="C115" s="209" t="str">
        <f>IF('INPUT DATA'!N57="","",'INPUT DATA'!N57)</f>
        <v/>
      </c>
      <c r="D115" s="210"/>
      <c r="E115" s="210"/>
      <c r="F115" s="123"/>
      <c r="G115" s="119"/>
      <c r="H115" s="119"/>
      <c r="I115" s="119"/>
      <c r="J115" s="124"/>
      <c r="K115" s="143" t="str">
        <f t="shared" si="23"/>
        <v/>
      </c>
      <c r="L115" s="143" t="str">
        <f t="shared" si="12"/>
        <v/>
      </c>
      <c r="M115" s="146" t="str">
        <f t="shared" si="13"/>
        <v/>
      </c>
      <c r="N115" s="123"/>
      <c r="O115" s="119"/>
      <c r="P115" s="124"/>
      <c r="Q115" s="143" t="str">
        <f t="shared" si="14"/>
        <v/>
      </c>
      <c r="R115" s="143" t="str">
        <f t="shared" si="15"/>
        <v/>
      </c>
      <c r="S115" s="143" t="str">
        <f t="shared" si="16"/>
        <v/>
      </c>
      <c r="T115" s="123"/>
      <c r="U115" s="119"/>
      <c r="V115" s="124"/>
      <c r="W115" s="143" t="str">
        <f t="shared" si="17"/>
        <v/>
      </c>
      <c r="X115" s="143" t="str">
        <f t="shared" si="18"/>
        <v/>
      </c>
      <c r="Y115" s="143" t="str">
        <f t="shared" si="19"/>
        <v/>
      </c>
      <c r="Z115" s="150" t="str">
        <f t="shared" si="20"/>
        <v/>
      </c>
      <c r="AA115" s="143" t="str">
        <f t="shared" si="21"/>
        <v/>
      </c>
      <c r="AB115" s="152" t="str">
        <f t="shared" si="22"/>
        <v/>
      </c>
      <c r="AC115" s="158" t="str">
        <f>IF(AB115="","",IFERROR(INDEX(HELPER!$D$8:$D$48,IF(AB115&gt;=HELPER!$B$8,1,MATCH(AB115,HELPER!$B$8:$B$48,-1)+1)),""))</f>
        <v/>
      </c>
      <c r="AD115" s="155" t="str">
        <f>IF(AC115="","",IFERROR(VLOOKUP(AC115,HELPER!$F$8:$G$48,2,FALSE),""))</f>
        <v/>
      </c>
      <c r="AE115" s="135"/>
      <c r="AF115" s="90"/>
    </row>
    <row r="116" spans="1:32" ht="15" customHeight="1" x14ac:dyDescent="0.25">
      <c r="A116" s="135"/>
      <c r="B116" s="112">
        <v>48</v>
      </c>
      <c r="C116" s="209" t="str">
        <f>IF('INPUT DATA'!N58="","",'INPUT DATA'!N58)</f>
        <v/>
      </c>
      <c r="D116" s="210"/>
      <c r="E116" s="210"/>
      <c r="F116" s="123"/>
      <c r="G116" s="119"/>
      <c r="H116" s="119"/>
      <c r="I116" s="119"/>
      <c r="J116" s="124"/>
      <c r="K116" s="143" t="str">
        <f t="shared" si="23"/>
        <v/>
      </c>
      <c r="L116" s="143" t="str">
        <f t="shared" si="12"/>
        <v/>
      </c>
      <c r="M116" s="146" t="str">
        <f t="shared" si="13"/>
        <v/>
      </c>
      <c r="N116" s="123"/>
      <c r="O116" s="119"/>
      <c r="P116" s="124"/>
      <c r="Q116" s="143" t="str">
        <f t="shared" si="14"/>
        <v/>
      </c>
      <c r="R116" s="143" t="str">
        <f t="shared" si="15"/>
        <v/>
      </c>
      <c r="S116" s="143" t="str">
        <f t="shared" si="16"/>
        <v/>
      </c>
      <c r="T116" s="123"/>
      <c r="U116" s="119"/>
      <c r="V116" s="124"/>
      <c r="W116" s="143" t="str">
        <f t="shared" si="17"/>
        <v/>
      </c>
      <c r="X116" s="143" t="str">
        <f t="shared" si="18"/>
        <v/>
      </c>
      <c r="Y116" s="143" t="str">
        <f t="shared" si="19"/>
        <v/>
      </c>
      <c r="Z116" s="150" t="str">
        <f t="shared" si="20"/>
        <v/>
      </c>
      <c r="AA116" s="143" t="str">
        <f t="shared" si="21"/>
        <v/>
      </c>
      <c r="AB116" s="152" t="str">
        <f t="shared" si="22"/>
        <v/>
      </c>
      <c r="AC116" s="158" t="str">
        <f>IF(AB116="","",IFERROR(INDEX(HELPER!$D$8:$D$48,IF(AB116&gt;=HELPER!$B$8,1,MATCH(AB116,HELPER!$B$8:$B$48,-1)+1)),""))</f>
        <v/>
      </c>
      <c r="AD116" s="155" t="str">
        <f>IF(AC116="","",IFERROR(VLOOKUP(AC116,HELPER!$F$8:$G$48,2,FALSE),""))</f>
        <v/>
      </c>
      <c r="AE116" s="135"/>
      <c r="AF116" s="90"/>
    </row>
    <row r="117" spans="1:32" ht="15" customHeight="1" x14ac:dyDescent="0.25">
      <c r="A117" s="135"/>
      <c r="B117" s="112">
        <v>49</v>
      </c>
      <c r="C117" s="209" t="str">
        <f>IF('INPUT DATA'!N59="","",'INPUT DATA'!N59)</f>
        <v/>
      </c>
      <c r="D117" s="210"/>
      <c r="E117" s="210"/>
      <c r="F117" s="123"/>
      <c r="G117" s="119"/>
      <c r="H117" s="119"/>
      <c r="I117" s="119"/>
      <c r="J117" s="124"/>
      <c r="K117" s="143" t="str">
        <f t="shared" si="23"/>
        <v/>
      </c>
      <c r="L117" s="143" t="str">
        <f t="shared" si="12"/>
        <v/>
      </c>
      <c r="M117" s="146" t="str">
        <f t="shared" si="13"/>
        <v/>
      </c>
      <c r="N117" s="123"/>
      <c r="O117" s="119"/>
      <c r="P117" s="124"/>
      <c r="Q117" s="143" t="str">
        <f t="shared" si="14"/>
        <v/>
      </c>
      <c r="R117" s="143" t="str">
        <f t="shared" si="15"/>
        <v/>
      </c>
      <c r="S117" s="143" t="str">
        <f t="shared" si="16"/>
        <v/>
      </c>
      <c r="T117" s="123"/>
      <c r="U117" s="119"/>
      <c r="V117" s="124"/>
      <c r="W117" s="143" t="str">
        <f t="shared" si="17"/>
        <v/>
      </c>
      <c r="X117" s="143" t="str">
        <f t="shared" si="18"/>
        <v/>
      </c>
      <c r="Y117" s="143" t="str">
        <f t="shared" si="19"/>
        <v/>
      </c>
      <c r="Z117" s="150" t="str">
        <f t="shared" si="20"/>
        <v/>
      </c>
      <c r="AA117" s="143" t="str">
        <f t="shared" si="21"/>
        <v/>
      </c>
      <c r="AB117" s="152" t="str">
        <f t="shared" si="22"/>
        <v/>
      </c>
      <c r="AC117" s="158" t="str">
        <f>IF(AB117="","",IFERROR(INDEX(HELPER!$D$8:$D$48,IF(AB117&gt;=HELPER!$B$8,1,MATCH(AB117,HELPER!$B$8:$B$48,-1)+1)),""))</f>
        <v/>
      </c>
      <c r="AD117" s="155" t="str">
        <f>IF(AC117="","",IFERROR(VLOOKUP(AC117,HELPER!$F$8:$G$48,2,FALSE),""))</f>
        <v/>
      </c>
      <c r="AE117" s="135"/>
      <c r="AF117" s="90"/>
    </row>
    <row r="118" spans="1:32" ht="15" customHeight="1" thickBot="1" x14ac:dyDescent="0.3">
      <c r="A118" s="135"/>
      <c r="B118" s="113">
        <v>50</v>
      </c>
      <c r="C118" s="229" t="str">
        <f>IF('INPUT DATA'!N60="","",'INPUT DATA'!N60)</f>
        <v/>
      </c>
      <c r="D118" s="230"/>
      <c r="E118" s="230"/>
      <c r="F118" s="125"/>
      <c r="G118" s="126"/>
      <c r="H118" s="126"/>
      <c r="I118" s="126"/>
      <c r="J118" s="127"/>
      <c r="K118" s="144" t="str">
        <f t="shared" si="23"/>
        <v/>
      </c>
      <c r="L118" s="144" t="str">
        <f t="shared" si="12"/>
        <v/>
      </c>
      <c r="M118" s="147" t="str">
        <f t="shared" si="13"/>
        <v/>
      </c>
      <c r="N118" s="125"/>
      <c r="O118" s="126"/>
      <c r="P118" s="127"/>
      <c r="Q118" s="144" t="str">
        <f t="shared" si="14"/>
        <v/>
      </c>
      <c r="R118" s="144" t="str">
        <f t="shared" si="15"/>
        <v/>
      </c>
      <c r="S118" s="144" t="str">
        <f t="shared" si="16"/>
        <v/>
      </c>
      <c r="T118" s="125"/>
      <c r="U118" s="126"/>
      <c r="V118" s="127"/>
      <c r="W118" s="144" t="str">
        <f t="shared" si="17"/>
        <v/>
      </c>
      <c r="X118" s="144" t="str">
        <f t="shared" si="18"/>
        <v/>
      </c>
      <c r="Y118" s="144" t="str">
        <f t="shared" si="19"/>
        <v/>
      </c>
      <c r="Z118" s="148" t="str">
        <f t="shared" si="20"/>
        <v/>
      </c>
      <c r="AA118" s="144" t="str">
        <f t="shared" si="21"/>
        <v/>
      </c>
      <c r="AB118" s="153" t="str">
        <f t="shared" si="22"/>
        <v/>
      </c>
      <c r="AC118" s="159" t="str">
        <f>IF(AB118="","",IFERROR(INDEX(HELPER!$D$8:$D$48,IF(AB118&gt;=HELPER!$B$8,1,MATCH(AB118,HELPER!$B$8:$B$48,-1)+1)),""))</f>
        <v/>
      </c>
      <c r="AD118" s="156" t="str">
        <f>IF(AC118="","",IFERROR(VLOOKUP(AC118,HELPER!$F$8:$G$48,2,FALSE),""))</f>
        <v/>
      </c>
      <c r="AE118" s="135"/>
      <c r="AF118" s="90"/>
    </row>
    <row r="119" spans="1:32" ht="13.2" customHeight="1" x14ac:dyDescent="0.25">
      <c r="A119" s="135"/>
      <c r="B119" s="135"/>
      <c r="C119" s="239"/>
      <c r="D119" s="226"/>
      <c r="E119" s="226"/>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90"/>
    </row>
    <row r="120" spans="1:32" ht="13.2" customHeight="1" x14ac:dyDescent="0.25">
      <c r="A120" s="135"/>
      <c r="B120" s="135"/>
      <c r="C120" s="239"/>
      <c r="D120" s="226"/>
      <c r="E120" s="226"/>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90"/>
    </row>
  </sheetData>
  <sheetProtection algorithmName="SHA-512" hashValue="iOwAN023cvA3+Vqbplb5HILHObvCvByyNOzH1OjkVWMJ0Sgi1/1DmSd/k+4ocfjEBAPptn/PIAZOu4MjEixLCw==" saltValue="bqiB7/OoVU1Ph9YFKgXECg==" spinCount="100000" sheet="1" objects="1" scenarios="1" formatCells="0" formatColumns="0" formatRows="0"/>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27">
    <dataValidation allowBlank="1" showInputMessage="1" showErrorMessage="1" prompt="Do not type name of learners here. Go to INPUT DATA sheet." sqref="C18:E67 C69:E118" xr:uid="{190DDA98-EB20-46D5-8AFD-58AA781EF207}"/>
    <dataValidation allowBlank="1" showInputMessage="1" showErrorMessage="1" prompt="Written/Oral Works' Highest Possible Score." sqref="K15 K18:K67 K69:K118" xr:uid="{A866A75E-DE90-49A4-9CCC-711DA1D7E670}"/>
    <dataValidation allowBlank="1" showInputMessage="1" showErrorMessage="1" prompt="Products/Performance Tasks' Highest Possible Score." sqref="Q15 Q18:Q67 Q69:Q118" xr:uid="{37A30F7E-4696-4FCE-AF44-639C032E2F80}"/>
    <dataValidation allowBlank="1" showInputMessage="1" showErrorMessage="1" prompt="Written/Oral Works' Percentage Score." sqref="L15 L18:L67 L69:L118" xr:uid="{8E3C8976-E5B2-414E-8115-DE446CEA2631}"/>
    <dataValidation allowBlank="1" showInputMessage="1" showErrorMessage="1" prompt="Written/Oral Works' Weighted Score." sqref="M15 M18:M67 M69:M118" xr:uid="{E512E5E2-FEB8-4A9A-A162-DDD3A675D549}"/>
    <dataValidation allowBlank="1" showInputMessage="1" showErrorMessage="1" prompt="Products/Performance Tasks' Percentage Score." sqref="R15 R18:R67 R69:R118" xr:uid="{A30D6F01-986C-4EF6-81A8-A82EF230E63D}"/>
    <dataValidation allowBlank="1" showInputMessage="1" showErrorMessage="1" prompt="Products/Performance Tasks' Weighted Score." sqref="S15 S18:S67 S69:S118" xr:uid="{6193DD25-F2D6-4ED0-9735-4B35D517C73A}"/>
    <dataValidation allowBlank="1" showInputMessage="1" showErrorMessage="1" prompt="Weighted Score for Summative Test 1" sqref="W15 W18:W67 W69:W118" xr:uid="{1EC8A006-EBA2-49D2-A95E-04B16C88F0DE}"/>
    <dataValidation allowBlank="1" showInputMessage="1" showErrorMessage="1" prompt="Weighted Score for Summative Test 2" sqref="X15 X18:X67 X69:X118" xr:uid="{E0E08182-6F67-492A-85AB-66EEF66A478E}"/>
    <dataValidation allowBlank="1" showInputMessage="1" showErrorMessage="1" prompt="Weighted Score for Term Exam" sqref="Y15 Y18:Y67 Y69:Y118" xr:uid="{0C7BED2A-71E0-4568-877E-E1F39C0B1D0D}"/>
    <dataValidation allowBlank="1" showInputMessage="1" showErrorMessage="1" prompt="Examinations' Percetage Score" sqref="Z15 Z18:Z67 Z69:Z118" xr:uid="{BE9C3E73-E0BF-442D-A0A1-25FF5B6BEEE0}"/>
    <dataValidation allowBlank="1" showInputMessage="1" showErrorMessage="1" prompt="Examinations' Weighted Score" sqref="AA15 AA18:AA67 AA69:AA118" xr:uid="{A9CB5FD1-8369-4E6C-851B-2E1669C7A3E9}"/>
    <dataValidation allowBlank="1" showInputMessage="1" showErrorMessage="1" prompt="INITIAL GRADE" sqref="AB18:AB67 AB69:AB118" xr:uid="{2C698B89-1C5B-40CB-B8C5-93B5B43E91F0}"/>
    <dataValidation allowBlank="1" showInputMessage="1" showErrorMessage="1" prompt="Transmuted Term Grade" sqref="AC18:AC67 AC69:AC118" xr:uid="{180B1DF9-6A56-4309-96E3-B301DC07EF54}"/>
    <dataValidation type="whole" allowBlank="1" showInputMessage="1" showErrorMessage="1" promptTitle="Highest Possible Score" prompt="Enter HPS." sqref="T15:V15" xr:uid="{FFFFBECD-6F81-466C-8538-19588DC9C973}">
      <formula1>0</formula1>
      <formula2>1000</formula2>
    </dataValidation>
    <dataValidation type="custom" allowBlank="1" showInputMessage="1" showErrorMessage="1" errorTitle="Invalid Input" error="The score cannot be greater than the HPS." promptTitle="Score Entry" prompt="Enter learners' raw scores." sqref="F18:F67 F69:F118" xr:uid="{EEE06909-D945-436C-AF98-90E1356E11D3}">
      <formula1>F18&lt;=$F$15</formula1>
    </dataValidation>
    <dataValidation type="custom" allowBlank="1" showInputMessage="1" showErrorMessage="1" errorTitle="Invalid Input" error="The score cannot be greater than the HPS." promptTitle="Score Entry" prompt="Enter learners' raw scores." sqref="G18:G67 G69:G118" xr:uid="{F3577761-C26F-44A6-AE9F-A9D647EA82ED}">
      <formula1>G18&lt;=$G$15</formula1>
    </dataValidation>
    <dataValidation type="custom" allowBlank="1" showInputMessage="1" showErrorMessage="1" errorTitle="Invalid Input" error="The score cannot be greater than the HPS." promptTitle="Score Entry" prompt="Enter learners' raw scores." sqref="H18:H67 H69:H118" xr:uid="{1FD1AB25-6F36-422B-AC25-E82190BD8056}">
      <formula1>H18&lt;=$H$15</formula1>
    </dataValidation>
    <dataValidation type="custom" allowBlank="1" showInputMessage="1" showErrorMessage="1" errorTitle="Invalid Input" error="The score cannot be greater than the HPS." promptTitle="Score Entry" prompt="Enter learners' raw scores." sqref="I18:I67 I69:I118" xr:uid="{C7916C9F-4B0B-4B98-A965-BD0735ED4A70}">
      <formula1>I18&lt;=$I$15</formula1>
    </dataValidation>
    <dataValidation type="custom" allowBlank="1" showInputMessage="1" showErrorMessage="1" errorTitle="Invalid Input" error="The score cannot be greater than the HPS." promptTitle="Score Entry" prompt="Enter learners' raw scores." sqref="J18:J67 J69:J118" xr:uid="{9F444936-0E8A-4943-933A-AD3FECDFC23F}">
      <formula1>J18&lt;=$J$15</formula1>
    </dataValidation>
    <dataValidation type="custom" allowBlank="1" showInputMessage="1" showErrorMessage="1" errorTitle="Invalid Input" error="The score cannot be greater than the HPS." promptTitle="Score Entry" prompt="Enter learners' raw scores." sqref="N18:N67 N69:N118" xr:uid="{A3A46B10-3594-491D-9F84-EBF5CABD433A}">
      <formula1>N18&lt;=$N$15</formula1>
    </dataValidation>
    <dataValidation type="custom" allowBlank="1" showInputMessage="1" showErrorMessage="1" errorTitle="Invalid Input" error="The score cannot be greater than the HPS." promptTitle="Score Entry" prompt="Enter learners' raw scores." sqref="O18:O67 O69:O118" xr:uid="{FCCF9CE7-1CEC-4CC6-BD96-1AF43592AD71}">
      <formula1>O18&lt;=$O$15</formula1>
    </dataValidation>
    <dataValidation type="custom" allowBlank="1" showInputMessage="1" showErrorMessage="1" errorTitle="Invalid Input" error="The score cannot be greater than the HPS." promptTitle="Score Entry" prompt="Enter learners' raw scores." sqref="P18:P67 P69:P118" xr:uid="{308F37DB-6848-489A-A8C6-7130FD89FC48}">
      <formula1>P18&lt;=$P$15</formula1>
    </dataValidation>
    <dataValidation type="custom" allowBlank="1" showInputMessage="1" showErrorMessage="1" errorTitle="Invalid Input" error="The score cannot be greater than the HPS." promptTitle="Score Entry" prompt="Enter learners' raw scores." sqref="T18:T67 T69:T118" xr:uid="{01F3D046-897D-4BAE-BDE9-3045F3308CC7}">
      <formula1>T18&lt;=$T$15</formula1>
    </dataValidation>
    <dataValidation type="custom" allowBlank="1" showInputMessage="1" showErrorMessage="1" errorTitle="Invalid Input" error="The score cannot be greater than the HPS." promptTitle="Score Entry" prompt="Enter learners' raw scores." sqref="U18:U67 U69:U118" xr:uid="{A4F198BD-3E8A-4944-B97D-BF4DB9407D5D}">
      <formula1>U18&lt;=$U$15</formula1>
    </dataValidation>
    <dataValidation type="custom" allowBlank="1" showInputMessage="1" showErrorMessage="1" errorTitle="Invalid Input" error="The score cannot be greater than the HPS." promptTitle="Score Entry" prompt="Enter learners' raw scores." sqref="V18:V67 V69:V118" xr:uid="{32C23626-5A03-4C78-AC7F-CBDF24B9D4D4}">
      <formula1>V18&lt;=$V$15</formula1>
    </dataValidation>
    <dataValidation type="whole" allowBlank="1" showInputMessage="1" showErrorMessage="1" promptTitle="Highest Possible Score" prompt="Enter HPS." sqref="F15:J15 N15:P15" xr:uid="{AF63DF73-3AF4-41C6-8D13-8BEA89E81C79}">
      <formula1>0</formula1>
      <formula2>1000</formula2>
    </dataValidation>
  </dataValidations>
  <pageMargins left="0.23622047244094491" right="0.23622047244094491" top="0.39370078740157483" bottom="0.39370078740157483" header="0.31496062992125978" footer="0.31496062992125978"/>
  <pageSetup paperSize="9" scale="76" fitToHeight="0"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F6292-4F58-4296-99FF-D67FCB63D6F3}">
  <sheetPr>
    <tabColor rgb="FFFFFF00"/>
    <outlinePr summaryBelow="0" summaryRight="0"/>
    <pageSetUpPr fitToPage="1"/>
  </sheetPr>
  <dimension ref="A1:AF120"/>
  <sheetViews>
    <sheetView showGridLines="0" zoomScaleNormal="100" workbookViewId="0">
      <pane ySplit="15" topLeftCell="A16" activePane="bottomLeft" state="frozen"/>
      <selection activeCell="E23" sqref="E23:F23"/>
      <selection pane="bottomLeft" activeCell="T15" sqref="T15"/>
    </sheetView>
  </sheetViews>
  <sheetFormatPr defaultColWidth="12.6640625" defaultRowHeight="15.75" customHeight="1" x14ac:dyDescent="0.25"/>
  <cols>
    <col min="1" max="2" width="3.88671875" style="141" customWidth="1"/>
    <col min="3" max="5" width="12.6640625" style="141" customWidth="1"/>
    <col min="6" max="10" width="3.88671875" style="141" customWidth="1"/>
    <col min="11" max="11" width="5.109375" style="141" customWidth="1"/>
    <col min="12" max="12" width="5.6640625" style="141" customWidth="1"/>
    <col min="13" max="13" width="6.33203125" style="141" customWidth="1"/>
    <col min="14" max="16" width="3.88671875" style="141" customWidth="1"/>
    <col min="17" max="17" width="5.109375" style="141" customWidth="1"/>
    <col min="18" max="18" width="5.6640625" style="141" customWidth="1"/>
    <col min="19" max="19" width="6.33203125" style="141" customWidth="1"/>
    <col min="20" max="22" width="5.6640625" style="141" customWidth="1"/>
    <col min="23" max="25" width="8" style="141" customWidth="1"/>
    <col min="26" max="27" width="5.6640625" style="141" customWidth="1"/>
    <col min="28" max="28" width="7.33203125" style="141" customWidth="1"/>
    <col min="29" max="29" width="10.109375" style="141" customWidth="1"/>
    <col min="30" max="30" width="14.5546875" style="141" customWidth="1"/>
    <col min="31" max="31" width="12.6640625" style="141" customWidth="1"/>
    <col min="32" max="32" width="3.88671875" style="141" customWidth="1"/>
    <col min="33" max="33" width="12.6640625" style="141" customWidth="1"/>
    <col min="34" max="16384" width="12.6640625" style="141"/>
  </cols>
  <sheetData>
    <row r="1" spans="1:32" ht="15.75" customHeight="1" x14ac:dyDescent="0.5">
      <c r="A1" s="88"/>
      <c r="AF1" s="89"/>
    </row>
    <row r="2" spans="1:32" ht="15.75" customHeight="1" x14ac:dyDescent="0.25">
      <c r="B2" s="225" t="s">
        <v>19</v>
      </c>
      <c r="C2" s="226"/>
      <c r="D2" s="226"/>
      <c r="E2" s="226"/>
      <c r="F2" s="226"/>
      <c r="G2" s="226"/>
      <c r="H2" s="226"/>
      <c r="I2" s="226"/>
      <c r="J2" s="226"/>
      <c r="K2" s="226"/>
      <c r="L2" s="226"/>
      <c r="M2" s="226"/>
      <c r="N2" s="226"/>
      <c r="O2" s="226"/>
      <c r="P2" s="226"/>
      <c r="Q2" s="226"/>
      <c r="R2" s="226"/>
      <c r="S2" s="226"/>
      <c r="T2" s="226"/>
      <c r="U2" s="226"/>
      <c r="V2" s="226"/>
      <c r="W2" s="226"/>
      <c r="X2" s="226"/>
      <c r="Y2" s="226"/>
      <c r="Z2" s="226"/>
      <c r="AA2" s="226"/>
      <c r="AB2" s="226"/>
      <c r="AC2" s="226"/>
      <c r="AD2" s="226"/>
      <c r="AF2" s="89"/>
    </row>
    <row r="3" spans="1:32" ht="15.75" customHeight="1" x14ac:dyDescent="0.25">
      <c r="B3" s="226"/>
      <c r="C3" s="226"/>
      <c r="D3" s="226"/>
      <c r="E3" s="226"/>
      <c r="F3" s="226"/>
      <c r="G3" s="226"/>
      <c r="H3" s="226"/>
      <c r="I3" s="226"/>
      <c r="J3" s="226"/>
      <c r="K3" s="226"/>
      <c r="L3" s="226"/>
      <c r="M3" s="226"/>
      <c r="N3" s="226"/>
      <c r="O3" s="226"/>
      <c r="P3" s="226"/>
      <c r="Q3" s="226"/>
      <c r="R3" s="226"/>
      <c r="S3" s="226"/>
      <c r="T3" s="226"/>
      <c r="U3" s="226"/>
      <c r="V3" s="226"/>
      <c r="W3" s="226"/>
      <c r="X3" s="226"/>
      <c r="Y3" s="226"/>
      <c r="Z3" s="226"/>
      <c r="AA3" s="226"/>
      <c r="AB3" s="226"/>
      <c r="AC3" s="226"/>
      <c r="AD3" s="226"/>
      <c r="AF3" s="89"/>
    </row>
    <row r="4" spans="1:32" ht="15.75" customHeight="1" thickBot="1" x14ac:dyDescent="0.3">
      <c r="AF4" s="89"/>
    </row>
    <row r="5" spans="1:32" ht="15.75" customHeight="1" thickBot="1" x14ac:dyDescent="0.35">
      <c r="A5" s="135"/>
      <c r="B5" s="135"/>
      <c r="C5" s="135"/>
      <c r="D5" s="135"/>
      <c r="E5" s="92" t="s">
        <v>3</v>
      </c>
      <c r="F5" s="201" t="str">
        <f>IF('INPUT DATA'!E10="","",'INPUT DATA'!E10)</f>
        <v/>
      </c>
      <c r="G5" s="202"/>
      <c r="H5" s="202"/>
      <c r="I5" s="202"/>
      <c r="J5" s="202"/>
      <c r="K5" s="202"/>
      <c r="L5" s="203"/>
      <c r="M5" s="93"/>
      <c r="N5" s="93"/>
      <c r="O5" s="93"/>
      <c r="P5" s="93"/>
      <c r="Q5" s="92" t="s">
        <v>7</v>
      </c>
      <c r="R5" s="201" t="str">
        <f>IF('INPUT DATA'!E11="","",'INPUT DATA'!E11)</f>
        <v/>
      </c>
      <c r="S5" s="202"/>
      <c r="T5" s="202"/>
      <c r="U5" s="202"/>
      <c r="V5" s="203"/>
      <c r="W5" s="93"/>
      <c r="X5" s="93"/>
      <c r="Y5" s="92" t="s">
        <v>8</v>
      </c>
      <c r="Z5" s="201" t="str">
        <f>IF('INPUT DATA'!E13="","",'INPUT DATA'!E13)</f>
        <v/>
      </c>
      <c r="AA5" s="202"/>
      <c r="AB5" s="203"/>
      <c r="AC5" s="135"/>
      <c r="AD5" s="135"/>
      <c r="AE5" s="135"/>
      <c r="AF5" s="90"/>
    </row>
    <row r="6" spans="1:32" ht="6" customHeight="1" thickBot="1" x14ac:dyDescent="0.35">
      <c r="A6" s="135"/>
      <c r="B6" s="135"/>
      <c r="C6" s="135"/>
      <c r="D6" s="135"/>
      <c r="E6" s="92"/>
      <c r="F6" s="94"/>
      <c r="G6" s="95"/>
      <c r="H6" s="95"/>
      <c r="I6" s="95"/>
      <c r="J6" s="95"/>
      <c r="K6" s="95"/>
      <c r="L6" s="95"/>
      <c r="M6" s="93"/>
      <c r="N6" s="93"/>
      <c r="O6" s="93"/>
      <c r="P6" s="93"/>
      <c r="Q6" s="92"/>
      <c r="R6" s="94"/>
      <c r="S6" s="95"/>
      <c r="T6" s="95"/>
      <c r="U6" s="95"/>
      <c r="V6" s="95"/>
      <c r="W6" s="93"/>
      <c r="X6" s="93"/>
      <c r="Y6" s="92"/>
      <c r="Z6" s="94"/>
      <c r="AA6" s="95"/>
      <c r="AB6" s="95"/>
      <c r="AC6" s="135"/>
      <c r="AD6" s="135"/>
      <c r="AE6" s="135"/>
      <c r="AF6" s="90"/>
    </row>
    <row r="7" spans="1:32" ht="15.75" customHeight="1" thickBot="1" x14ac:dyDescent="0.35">
      <c r="A7" s="135"/>
      <c r="B7" s="135"/>
      <c r="C7" s="135"/>
      <c r="D7" s="135"/>
      <c r="E7" s="92" t="s">
        <v>9</v>
      </c>
      <c r="F7" s="201" t="str">
        <f>IF('INPUT DATA'!E14="","",'INPUT DATA'!E14)</f>
        <v/>
      </c>
      <c r="G7" s="202"/>
      <c r="H7" s="202"/>
      <c r="I7" s="202"/>
      <c r="J7" s="202"/>
      <c r="K7" s="202"/>
      <c r="L7" s="202"/>
      <c r="M7" s="202"/>
      <c r="N7" s="202"/>
      <c r="O7" s="202"/>
      <c r="P7" s="202"/>
      <c r="Q7" s="202"/>
      <c r="R7" s="202"/>
      <c r="S7" s="202"/>
      <c r="T7" s="202"/>
      <c r="U7" s="202"/>
      <c r="V7" s="203"/>
      <c r="W7" s="93"/>
      <c r="X7" s="93"/>
      <c r="Y7" s="92" t="s">
        <v>10</v>
      </c>
      <c r="Z7" s="201" t="str">
        <f>IF('INPUT DATA'!E15="","",'INPUT DATA'!E15)</f>
        <v/>
      </c>
      <c r="AA7" s="202"/>
      <c r="AB7" s="203"/>
      <c r="AC7" s="135"/>
      <c r="AD7" s="135"/>
      <c r="AE7" s="135"/>
      <c r="AF7" s="90"/>
    </row>
    <row r="8" spans="1:32" ht="13.8" customHeight="1" thickBot="1" x14ac:dyDescent="0.3">
      <c r="A8" s="135"/>
      <c r="B8" s="135"/>
      <c r="C8" s="135"/>
      <c r="D8" s="135"/>
      <c r="E8" s="135"/>
      <c r="F8" s="135"/>
      <c r="G8" s="135"/>
      <c r="H8" s="135"/>
      <c r="I8" s="135"/>
      <c r="J8" s="135"/>
      <c r="K8" s="135"/>
      <c r="L8" s="135"/>
      <c r="M8" s="135"/>
      <c r="N8" s="135"/>
      <c r="O8" s="135"/>
      <c r="P8" s="135"/>
      <c r="Q8" s="135"/>
      <c r="R8" s="135"/>
      <c r="S8" s="135"/>
      <c r="T8" s="135"/>
      <c r="U8" s="135"/>
      <c r="V8" s="135"/>
      <c r="W8" s="135"/>
      <c r="X8" s="135"/>
      <c r="Y8" s="135"/>
      <c r="Z8" s="135"/>
      <c r="AA8" s="135"/>
      <c r="AB8" s="135"/>
      <c r="AC8" s="135"/>
      <c r="AD8" s="135"/>
      <c r="AE8" s="135"/>
      <c r="AF8" s="90"/>
    </row>
    <row r="9" spans="1:32" ht="15.75" customHeight="1" thickBot="1" x14ac:dyDescent="0.35">
      <c r="A9" s="135"/>
      <c r="B9" s="217"/>
      <c r="C9" s="218"/>
      <c r="D9" s="218"/>
      <c r="E9" s="218"/>
      <c r="F9" s="218"/>
      <c r="G9" s="218"/>
      <c r="H9" s="218"/>
      <c r="I9" s="218"/>
      <c r="J9" s="218"/>
      <c r="K9" s="218"/>
      <c r="L9" s="218"/>
      <c r="M9" s="218"/>
      <c r="N9" s="218"/>
      <c r="O9" s="218"/>
      <c r="P9" s="218"/>
      <c r="Q9" s="218"/>
      <c r="R9" s="218"/>
      <c r="S9" s="218"/>
      <c r="T9" s="218"/>
      <c r="U9" s="218"/>
      <c r="V9" s="218"/>
      <c r="W9" s="218"/>
      <c r="X9" s="218"/>
      <c r="Y9" s="218"/>
      <c r="Z9" s="218"/>
      <c r="AA9" s="218"/>
      <c r="AB9" s="218"/>
      <c r="AC9" s="218"/>
      <c r="AD9" s="219"/>
      <c r="AE9" s="135"/>
      <c r="AF9" s="91"/>
    </row>
    <row r="10" spans="1:32" ht="14.4" customHeight="1" thickBot="1" x14ac:dyDescent="0.3">
      <c r="A10" s="135"/>
      <c r="B10" s="220" t="s">
        <v>41</v>
      </c>
      <c r="C10" s="221"/>
      <c r="D10" s="221"/>
      <c r="E10" s="222"/>
      <c r="F10" s="235" t="s">
        <v>15</v>
      </c>
      <c r="G10" s="215"/>
      <c r="H10" s="215"/>
      <c r="I10" s="216"/>
      <c r="J10" s="224" t="str">
        <f>IF('INPUT DATA'!E25="","",'INPUT DATA'!E25)</f>
        <v/>
      </c>
      <c r="K10" s="215"/>
      <c r="L10" s="215"/>
      <c r="M10" s="216"/>
      <c r="N10" s="244" t="s">
        <v>21</v>
      </c>
      <c r="O10" s="221"/>
      <c r="P10" s="222"/>
      <c r="Q10" s="224" t="str">
        <f>IF('INPUT DATA'!E23="","",'INPUT DATA'!E23)</f>
        <v/>
      </c>
      <c r="R10" s="221"/>
      <c r="S10" s="221"/>
      <c r="T10" s="221"/>
      <c r="U10" s="221"/>
      <c r="V10" s="221"/>
      <c r="W10" s="221"/>
      <c r="X10" s="222"/>
      <c r="Y10" s="228" t="s">
        <v>14</v>
      </c>
      <c r="Z10" s="221"/>
      <c r="AA10" s="224" t="s">
        <v>70</v>
      </c>
      <c r="AB10" s="221"/>
      <c r="AC10" s="221"/>
      <c r="AD10" s="222"/>
      <c r="AE10" s="135"/>
      <c r="AF10" s="90"/>
    </row>
    <row r="11" spans="1:32" ht="14.4" customHeight="1" thickBot="1" x14ac:dyDescent="0.3">
      <c r="A11" s="135"/>
      <c r="B11" s="223"/>
      <c r="C11" s="221"/>
      <c r="D11" s="221"/>
      <c r="E11" s="222"/>
      <c r="F11" s="240" t="s">
        <v>16</v>
      </c>
      <c r="G11" s="202"/>
      <c r="H11" s="202"/>
      <c r="I11" s="203"/>
      <c r="J11" s="227" t="str">
        <f>IF('INPUT DATA'!E26="","",'INPUT DATA'!E26)</f>
        <v/>
      </c>
      <c r="K11" s="202"/>
      <c r="L11" s="202"/>
      <c r="M11" s="203"/>
      <c r="N11" s="214"/>
      <c r="O11" s="215"/>
      <c r="P11" s="216"/>
      <c r="Q11" s="214"/>
      <c r="R11" s="215"/>
      <c r="S11" s="215"/>
      <c r="T11" s="215"/>
      <c r="U11" s="215"/>
      <c r="V11" s="215"/>
      <c r="W11" s="215"/>
      <c r="X11" s="216"/>
      <c r="Y11" s="214"/>
      <c r="Z11" s="215"/>
      <c r="AA11" s="214"/>
      <c r="AB11" s="215"/>
      <c r="AC11" s="215"/>
      <c r="AD11" s="216"/>
      <c r="AE11" s="135"/>
      <c r="AF11" s="90"/>
    </row>
    <row r="12" spans="1:32" ht="13.2" customHeight="1" thickBot="1" x14ac:dyDescent="0.3">
      <c r="A12" s="135"/>
      <c r="B12" s="223"/>
      <c r="C12" s="221"/>
      <c r="D12" s="221"/>
      <c r="E12" s="222"/>
      <c r="F12" s="238" t="s">
        <v>23</v>
      </c>
      <c r="G12" s="212"/>
      <c r="H12" s="212"/>
      <c r="I12" s="212"/>
      <c r="J12" s="212"/>
      <c r="K12" s="212"/>
      <c r="L12" s="212"/>
      <c r="M12" s="213"/>
      <c r="N12" s="206" t="s">
        <v>24</v>
      </c>
      <c r="O12" s="212"/>
      <c r="P12" s="212"/>
      <c r="Q12" s="212"/>
      <c r="R12" s="212"/>
      <c r="S12" s="213"/>
      <c r="T12" s="206" t="s">
        <v>25</v>
      </c>
      <c r="U12" s="212"/>
      <c r="V12" s="212"/>
      <c r="W12" s="212"/>
      <c r="X12" s="212"/>
      <c r="Y12" s="212"/>
      <c r="Z12" s="212"/>
      <c r="AA12" s="213"/>
      <c r="AB12" s="206" t="s">
        <v>26</v>
      </c>
      <c r="AC12" s="206" t="s">
        <v>27</v>
      </c>
      <c r="AD12" s="206" t="s">
        <v>28</v>
      </c>
      <c r="AE12" s="135"/>
      <c r="AF12" s="90"/>
    </row>
    <row r="13" spans="1:32" ht="13.8" customHeight="1" thickBot="1" x14ac:dyDescent="0.3">
      <c r="A13" s="135"/>
      <c r="B13" s="223"/>
      <c r="C13" s="221"/>
      <c r="D13" s="221"/>
      <c r="E13" s="222"/>
      <c r="F13" s="214"/>
      <c r="G13" s="215"/>
      <c r="H13" s="215"/>
      <c r="I13" s="215"/>
      <c r="J13" s="215"/>
      <c r="K13" s="215"/>
      <c r="L13" s="215"/>
      <c r="M13" s="216"/>
      <c r="N13" s="214"/>
      <c r="O13" s="215"/>
      <c r="P13" s="215"/>
      <c r="Q13" s="215"/>
      <c r="R13" s="215"/>
      <c r="S13" s="216"/>
      <c r="T13" s="214"/>
      <c r="U13" s="215"/>
      <c r="V13" s="215"/>
      <c r="W13" s="215"/>
      <c r="X13" s="215"/>
      <c r="Y13" s="215"/>
      <c r="Z13" s="215"/>
      <c r="AA13" s="216"/>
      <c r="AB13" s="207"/>
      <c r="AC13" s="207"/>
      <c r="AD13" s="207"/>
      <c r="AE13" s="135"/>
      <c r="AF13" s="90"/>
    </row>
    <row r="14" spans="1:32" ht="13.8" customHeight="1" thickBot="1" x14ac:dyDescent="0.3">
      <c r="A14" s="135"/>
      <c r="B14" s="223"/>
      <c r="C14" s="221"/>
      <c r="D14" s="221"/>
      <c r="E14" s="222"/>
      <c r="F14" s="75">
        <v>1</v>
      </c>
      <c r="G14" s="76">
        <v>2</v>
      </c>
      <c r="H14" s="76">
        <v>3</v>
      </c>
      <c r="I14" s="76">
        <v>4</v>
      </c>
      <c r="J14" s="103">
        <v>5</v>
      </c>
      <c r="K14" s="77" t="s">
        <v>29</v>
      </c>
      <c r="L14" s="77" t="s">
        <v>30</v>
      </c>
      <c r="M14" s="77" t="s">
        <v>31</v>
      </c>
      <c r="N14" s="75">
        <v>1</v>
      </c>
      <c r="O14" s="76">
        <v>2</v>
      </c>
      <c r="P14" s="103">
        <v>3</v>
      </c>
      <c r="Q14" s="77" t="s">
        <v>29</v>
      </c>
      <c r="R14" s="77" t="s">
        <v>30</v>
      </c>
      <c r="S14" s="77" t="s">
        <v>31</v>
      </c>
      <c r="T14" s="75" t="s">
        <v>32</v>
      </c>
      <c r="U14" s="76" t="s">
        <v>33</v>
      </c>
      <c r="V14" s="103" t="s">
        <v>34</v>
      </c>
      <c r="W14" s="78" t="s">
        <v>35</v>
      </c>
      <c r="X14" s="79" t="s">
        <v>36</v>
      </c>
      <c r="Y14" s="80" t="s">
        <v>37</v>
      </c>
      <c r="Z14" s="77" t="s">
        <v>30</v>
      </c>
      <c r="AA14" s="77" t="s">
        <v>31</v>
      </c>
      <c r="AB14" s="207"/>
      <c r="AC14" s="207"/>
      <c r="AD14" s="207"/>
      <c r="AE14" s="135"/>
      <c r="AF14" s="90"/>
    </row>
    <row r="15" spans="1:32" ht="14.4" customHeight="1" thickBot="1" x14ac:dyDescent="0.3">
      <c r="A15" s="135"/>
      <c r="B15" s="231" t="s">
        <v>38</v>
      </c>
      <c r="C15" s="202"/>
      <c r="D15" s="202"/>
      <c r="E15" s="203"/>
      <c r="F15" s="175"/>
      <c r="G15" s="176"/>
      <c r="H15" s="176"/>
      <c r="I15" s="176"/>
      <c r="J15" s="177"/>
      <c r="K15" s="63" t="str">
        <f>IF(COUNT(F15:J15)=0,"",SUM(F15:J15))</f>
        <v/>
      </c>
      <c r="L15" s="71">
        <v>100</v>
      </c>
      <c r="M15" s="72">
        <v>0.2</v>
      </c>
      <c r="N15" s="175"/>
      <c r="O15" s="176"/>
      <c r="P15" s="177"/>
      <c r="Q15" s="63" t="str">
        <f>IF(COUNT(N15:P15)=0,"",SUM(N15:P15))</f>
        <v/>
      </c>
      <c r="R15" s="73">
        <v>100</v>
      </c>
      <c r="S15" s="74">
        <v>0.6</v>
      </c>
      <c r="T15" s="175"/>
      <c r="U15" s="176"/>
      <c r="V15" s="177"/>
      <c r="W15" s="84">
        <v>30</v>
      </c>
      <c r="X15" s="85">
        <v>30</v>
      </c>
      <c r="Y15" s="86">
        <v>40</v>
      </c>
      <c r="Z15" s="73">
        <v>100</v>
      </c>
      <c r="AA15" s="74">
        <v>0.2</v>
      </c>
      <c r="AB15" s="208"/>
      <c r="AC15" s="208"/>
      <c r="AD15" s="208"/>
      <c r="AE15" s="135"/>
      <c r="AF15" s="90"/>
    </row>
    <row r="16" spans="1:32" ht="14.4" customHeight="1" thickBot="1" x14ac:dyDescent="0.3">
      <c r="A16" s="135"/>
      <c r="B16" s="232" t="s">
        <v>2</v>
      </c>
      <c r="C16" s="233"/>
      <c r="D16" s="233"/>
      <c r="E16" s="233"/>
      <c r="F16" s="233"/>
      <c r="G16" s="233"/>
      <c r="H16" s="233"/>
      <c r="I16" s="233"/>
      <c r="J16" s="233"/>
      <c r="K16" s="233"/>
      <c r="L16" s="233"/>
      <c r="M16" s="233"/>
      <c r="N16" s="233"/>
      <c r="O16" s="233"/>
      <c r="P16" s="233"/>
      <c r="Q16" s="233"/>
      <c r="R16" s="233"/>
      <c r="S16" s="233"/>
      <c r="T16" s="233"/>
      <c r="U16" s="233"/>
      <c r="V16" s="233"/>
      <c r="W16" s="233"/>
      <c r="X16" s="233"/>
      <c r="Y16" s="233"/>
      <c r="Z16" s="233"/>
      <c r="AA16" s="233"/>
      <c r="AB16" s="233"/>
      <c r="AC16" s="233"/>
      <c r="AD16" s="234"/>
      <c r="AE16" s="135"/>
      <c r="AF16" s="90"/>
    </row>
    <row r="17" spans="1:32" ht="14.4" customHeight="1" thickBot="1" x14ac:dyDescent="0.3">
      <c r="A17" s="135"/>
      <c r="B17" s="241" t="s">
        <v>5</v>
      </c>
      <c r="C17" s="233"/>
      <c r="D17" s="233"/>
      <c r="E17" s="233"/>
      <c r="F17" s="242"/>
      <c r="G17" s="242"/>
      <c r="H17" s="242"/>
      <c r="I17" s="242"/>
      <c r="J17" s="242"/>
      <c r="K17" s="242"/>
      <c r="L17" s="242"/>
      <c r="M17" s="242"/>
      <c r="N17" s="242"/>
      <c r="O17" s="242"/>
      <c r="P17" s="242"/>
      <c r="Q17" s="242"/>
      <c r="R17" s="242"/>
      <c r="S17" s="242"/>
      <c r="T17" s="242"/>
      <c r="U17" s="242"/>
      <c r="V17" s="242"/>
      <c r="W17" s="242"/>
      <c r="X17" s="242"/>
      <c r="Y17" s="242"/>
      <c r="Z17" s="242"/>
      <c r="AA17" s="242"/>
      <c r="AB17" s="242"/>
      <c r="AC17" s="242"/>
      <c r="AD17" s="243"/>
      <c r="AE17" s="135"/>
      <c r="AF17" s="90"/>
    </row>
    <row r="18" spans="1:32" ht="15" customHeight="1" x14ac:dyDescent="0.25">
      <c r="A18" s="135"/>
      <c r="B18" s="64">
        <v>1</v>
      </c>
      <c r="C18" s="211" t="str">
        <f>IF('INPUT DATA'!K11="","",'INPUT DATA'!K11)</f>
        <v/>
      </c>
      <c r="D18" s="205"/>
      <c r="E18" s="205"/>
      <c r="F18" s="120"/>
      <c r="G18" s="121"/>
      <c r="H18" s="121"/>
      <c r="I18" s="121"/>
      <c r="J18" s="122"/>
      <c r="K18" s="142" t="str">
        <f t="shared" ref="K18:K81" si="0">IF(COUNT($F18:$J18)=0,"",SUM($F18:$J18))</f>
        <v/>
      </c>
      <c r="L18" s="142" t="str">
        <f t="shared" ref="L18:L67" si="1">IF(COUNT(F18:J18)=0,"",IFERROR(K18/$K$15*$L$15,""))</f>
        <v/>
      </c>
      <c r="M18" s="145" t="str">
        <f t="shared" ref="M18:M67" si="2">IF(L18="","",L18*$M$15)</f>
        <v/>
      </c>
      <c r="N18" s="120"/>
      <c r="O18" s="121"/>
      <c r="P18" s="122"/>
      <c r="Q18" s="142" t="str">
        <f t="shared" ref="Q18:Q67" si="3">IF(COUNT(N18:P18)=0,"",SUM(N18:P18))</f>
        <v/>
      </c>
      <c r="R18" s="142" t="str">
        <f t="shared" ref="R18:R67" si="4">IF(COUNT(N18:P18)=0,"",IFERROR(Q18/$Q$15*$R$15,""))</f>
        <v/>
      </c>
      <c r="S18" s="142" t="str">
        <f t="shared" ref="S18:S67" si="5">IF(R18="","",R18*$S$15)</f>
        <v/>
      </c>
      <c r="T18" s="120"/>
      <c r="U18" s="121"/>
      <c r="V18" s="122"/>
      <c r="W18" s="142" t="str">
        <f t="shared" ref="W18:W67" si="6">IF(T18="","",IFERROR(T18/$T$15*$W$15,""))</f>
        <v/>
      </c>
      <c r="X18" s="142" t="str">
        <f t="shared" ref="X18:X67" si="7">IF(U18="","",IFERROR(U18/$U$15*$X$15,""))</f>
        <v/>
      </c>
      <c r="Y18" s="142" t="str">
        <f t="shared" ref="Y18:Y67" si="8">IF(V18="","",IFERROR(V18/$V$15*$Y$15,""))</f>
        <v/>
      </c>
      <c r="Z18" s="149" t="str">
        <f t="shared" ref="Z18:Z67" si="9">IF(COUNT(T18:V18)=0,"",SUM(W18:Y18))</f>
        <v/>
      </c>
      <c r="AA18" s="142" t="str">
        <f t="shared" ref="AA18:AA67" si="10">IF(Z18="","",Z18*$AA$15)</f>
        <v/>
      </c>
      <c r="AB18" s="151" t="str">
        <f t="shared" ref="AB18:AB67" si="11">IF(COUNT(F18:J18,N18:P18,T18:V18)=0,"",SUM(M18,S18,AA18))</f>
        <v/>
      </c>
      <c r="AC18" s="157" t="str">
        <f>IF(AB18="","",IFERROR(INDEX(HELPER!$D$8:$D$48,IF(AB18&gt;=HELPER!$B$8,1,MATCH(AB18,HELPER!$B$8:$B$48,-1)+1)),""))</f>
        <v/>
      </c>
      <c r="AD18" s="154" t="str">
        <f>IF(AC18="","",IFERROR(VLOOKUP(AC18,HELPER!$F$8:$G$48,2,FALSE),""))</f>
        <v/>
      </c>
      <c r="AE18" s="135"/>
      <c r="AF18" s="90"/>
    </row>
    <row r="19" spans="1:32" ht="15" customHeight="1" x14ac:dyDescent="0.25">
      <c r="A19" s="135"/>
      <c r="B19" s="65">
        <v>2</v>
      </c>
      <c r="C19" s="211" t="str">
        <f>IF('INPUT DATA'!K12="","",'INPUT DATA'!K12)</f>
        <v/>
      </c>
      <c r="D19" s="205"/>
      <c r="E19" s="205"/>
      <c r="F19" s="123"/>
      <c r="G19" s="119"/>
      <c r="H19" s="119"/>
      <c r="I19" s="119"/>
      <c r="J19" s="124"/>
      <c r="K19" s="143" t="str">
        <f t="shared" si="0"/>
        <v/>
      </c>
      <c r="L19" s="143" t="str">
        <f t="shared" si="1"/>
        <v/>
      </c>
      <c r="M19" s="146" t="str">
        <f t="shared" si="2"/>
        <v/>
      </c>
      <c r="N19" s="123"/>
      <c r="O19" s="119"/>
      <c r="P19" s="124"/>
      <c r="Q19" s="143" t="str">
        <f t="shared" si="3"/>
        <v/>
      </c>
      <c r="R19" s="143" t="str">
        <f t="shared" si="4"/>
        <v/>
      </c>
      <c r="S19" s="143" t="str">
        <f t="shared" si="5"/>
        <v/>
      </c>
      <c r="T19" s="123"/>
      <c r="U19" s="119"/>
      <c r="V19" s="124"/>
      <c r="W19" s="143" t="str">
        <f t="shared" si="6"/>
        <v/>
      </c>
      <c r="X19" s="143" t="str">
        <f t="shared" si="7"/>
        <v/>
      </c>
      <c r="Y19" s="143" t="str">
        <f t="shared" si="8"/>
        <v/>
      </c>
      <c r="Z19" s="150" t="str">
        <f t="shared" si="9"/>
        <v/>
      </c>
      <c r="AA19" s="143" t="str">
        <f t="shared" si="10"/>
        <v/>
      </c>
      <c r="AB19" s="152" t="str">
        <f t="shared" si="11"/>
        <v/>
      </c>
      <c r="AC19" s="158" t="str">
        <f>IF(AB19="","",IFERROR(INDEX(HELPER!$D$8:$D$48,IF(AB19&gt;=HELPER!$B$8,1,MATCH(AB19,HELPER!$B$8:$B$48,-1)+1)),""))</f>
        <v/>
      </c>
      <c r="AD19" s="155" t="str">
        <f>IF(AC19="","",IFERROR(VLOOKUP(AC19,HELPER!$F$8:$G$48,2,FALSE),""))</f>
        <v/>
      </c>
      <c r="AE19" s="135"/>
      <c r="AF19" s="90"/>
    </row>
    <row r="20" spans="1:32" ht="15" customHeight="1" x14ac:dyDescent="0.25">
      <c r="A20" s="135"/>
      <c r="B20" s="65">
        <v>3</v>
      </c>
      <c r="C20" s="211" t="str">
        <f>IF('INPUT DATA'!K13="","",'INPUT DATA'!K13)</f>
        <v/>
      </c>
      <c r="D20" s="205"/>
      <c r="E20" s="205"/>
      <c r="F20" s="123"/>
      <c r="G20" s="119"/>
      <c r="H20" s="119"/>
      <c r="I20" s="119"/>
      <c r="J20" s="124"/>
      <c r="K20" s="143" t="str">
        <f t="shared" si="0"/>
        <v/>
      </c>
      <c r="L20" s="143" t="str">
        <f t="shared" si="1"/>
        <v/>
      </c>
      <c r="M20" s="146" t="str">
        <f t="shared" si="2"/>
        <v/>
      </c>
      <c r="N20" s="123"/>
      <c r="O20" s="119"/>
      <c r="P20" s="124"/>
      <c r="Q20" s="143" t="str">
        <f t="shared" si="3"/>
        <v/>
      </c>
      <c r="R20" s="143" t="str">
        <f t="shared" si="4"/>
        <v/>
      </c>
      <c r="S20" s="143" t="str">
        <f t="shared" si="5"/>
        <v/>
      </c>
      <c r="T20" s="123"/>
      <c r="U20" s="119"/>
      <c r="V20" s="124"/>
      <c r="W20" s="143" t="str">
        <f t="shared" si="6"/>
        <v/>
      </c>
      <c r="X20" s="143" t="str">
        <f t="shared" si="7"/>
        <v/>
      </c>
      <c r="Y20" s="143" t="str">
        <f t="shared" si="8"/>
        <v/>
      </c>
      <c r="Z20" s="150" t="str">
        <f t="shared" si="9"/>
        <v/>
      </c>
      <c r="AA20" s="143" t="str">
        <f t="shared" si="10"/>
        <v/>
      </c>
      <c r="AB20" s="152" t="str">
        <f t="shared" si="11"/>
        <v/>
      </c>
      <c r="AC20" s="158" t="str">
        <f>IF(AB20="","",IFERROR(INDEX(HELPER!$D$8:$D$48,IF(AB20&gt;=HELPER!$B$8,1,MATCH(AB20,HELPER!$B$8:$B$48,-1)+1)),""))</f>
        <v/>
      </c>
      <c r="AD20" s="155" t="str">
        <f>IF(AC20="","",IFERROR(VLOOKUP(AC20,HELPER!$F$8:$G$48,2,FALSE),""))</f>
        <v/>
      </c>
      <c r="AE20" s="135"/>
      <c r="AF20" s="90"/>
    </row>
    <row r="21" spans="1:32" ht="15" customHeight="1" x14ac:dyDescent="0.25">
      <c r="A21" s="135"/>
      <c r="B21" s="65">
        <v>4</v>
      </c>
      <c r="C21" s="211" t="str">
        <f>IF('INPUT DATA'!K14="","",'INPUT DATA'!K14)</f>
        <v/>
      </c>
      <c r="D21" s="205"/>
      <c r="E21" s="205"/>
      <c r="F21" s="123"/>
      <c r="G21" s="119"/>
      <c r="H21" s="119"/>
      <c r="I21" s="119"/>
      <c r="J21" s="124"/>
      <c r="K21" s="143" t="str">
        <f t="shared" si="0"/>
        <v/>
      </c>
      <c r="L21" s="143" t="str">
        <f t="shared" si="1"/>
        <v/>
      </c>
      <c r="M21" s="146" t="str">
        <f t="shared" si="2"/>
        <v/>
      </c>
      <c r="N21" s="123"/>
      <c r="O21" s="119"/>
      <c r="P21" s="124"/>
      <c r="Q21" s="143" t="str">
        <f t="shared" si="3"/>
        <v/>
      </c>
      <c r="R21" s="143" t="str">
        <f t="shared" si="4"/>
        <v/>
      </c>
      <c r="S21" s="143" t="str">
        <f t="shared" si="5"/>
        <v/>
      </c>
      <c r="T21" s="123"/>
      <c r="U21" s="119"/>
      <c r="V21" s="124"/>
      <c r="W21" s="143" t="str">
        <f t="shared" si="6"/>
        <v/>
      </c>
      <c r="X21" s="143" t="str">
        <f t="shared" si="7"/>
        <v/>
      </c>
      <c r="Y21" s="143" t="str">
        <f t="shared" si="8"/>
        <v/>
      </c>
      <c r="Z21" s="150" t="str">
        <f t="shared" si="9"/>
        <v/>
      </c>
      <c r="AA21" s="143" t="str">
        <f t="shared" si="10"/>
        <v/>
      </c>
      <c r="AB21" s="152" t="str">
        <f t="shared" si="11"/>
        <v/>
      </c>
      <c r="AC21" s="158" t="str">
        <f>IF(AB21="","",IFERROR(INDEX(HELPER!$D$8:$D$48,IF(AB21&gt;=HELPER!$B$8,1,MATCH(AB21,HELPER!$B$8:$B$48,-1)+1)),""))</f>
        <v/>
      </c>
      <c r="AD21" s="155" t="str">
        <f>IF(AC21="","",IFERROR(VLOOKUP(AC21,HELPER!$F$8:$G$48,2,FALSE),""))</f>
        <v/>
      </c>
      <c r="AE21" s="135"/>
      <c r="AF21" s="90"/>
    </row>
    <row r="22" spans="1:32" ht="15" customHeight="1" x14ac:dyDescent="0.25">
      <c r="A22" s="135"/>
      <c r="B22" s="65">
        <v>5</v>
      </c>
      <c r="C22" s="204" t="str">
        <f>IF('INPUT DATA'!K15="","",'INPUT DATA'!K15)</f>
        <v/>
      </c>
      <c r="D22" s="205"/>
      <c r="E22" s="205"/>
      <c r="F22" s="123"/>
      <c r="G22" s="119"/>
      <c r="H22" s="119"/>
      <c r="I22" s="119"/>
      <c r="J22" s="124"/>
      <c r="K22" s="143" t="str">
        <f t="shared" si="0"/>
        <v/>
      </c>
      <c r="L22" s="143" t="str">
        <f t="shared" si="1"/>
        <v/>
      </c>
      <c r="M22" s="146" t="str">
        <f t="shared" si="2"/>
        <v/>
      </c>
      <c r="N22" s="123"/>
      <c r="O22" s="119"/>
      <c r="P22" s="124"/>
      <c r="Q22" s="143" t="str">
        <f t="shared" si="3"/>
        <v/>
      </c>
      <c r="R22" s="143" t="str">
        <f t="shared" si="4"/>
        <v/>
      </c>
      <c r="S22" s="143" t="str">
        <f t="shared" si="5"/>
        <v/>
      </c>
      <c r="T22" s="123"/>
      <c r="U22" s="119"/>
      <c r="V22" s="124"/>
      <c r="W22" s="143" t="str">
        <f t="shared" si="6"/>
        <v/>
      </c>
      <c r="X22" s="143" t="str">
        <f t="shared" si="7"/>
        <v/>
      </c>
      <c r="Y22" s="143" t="str">
        <f t="shared" si="8"/>
        <v/>
      </c>
      <c r="Z22" s="150" t="str">
        <f t="shared" si="9"/>
        <v/>
      </c>
      <c r="AA22" s="143" t="str">
        <f t="shared" si="10"/>
        <v/>
      </c>
      <c r="AB22" s="152" t="str">
        <f t="shared" si="11"/>
        <v/>
      </c>
      <c r="AC22" s="158" t="str">
        <f>IF(AB22="","",IFERROR(INDEX(HELPER!$D$8:$D$48,IF(AB22&gt;=HELPER!$B$8,1,MATCH(AB22,HELPER!$B$8:$B$48,-1)+1)),""))</f>
        <v/>
      </c>
      <c r="AD22" s="155" t="str">
        <f>IF(AC22="","",IFERROR(VLOOKUP(AC22,HELPER!$F$8:$G$48,2,FALSE),""))</f>
        <v/>
      </c>
      <c r="AE22" s="135"/>
      <c r="AF22" s="90"/>
    </row>
    <row r="23" spans="1:32" ht="15" customHeight="1" x14ac:dyDescent="0.25">
      <c r="A23" s="135"/>
      <c r="B23" s="65">
        <v>6</v>
      </c>
      <c r="C23" s="204" t="str">
        <f>IF('INPUT DATA'!K16="","",'INPUT DATA'!K16)</f>
        <v/>
      </c>
      <c r="D23" s="205"/>
      <c r="E23" s="205"/>
      <c r="F23" s="123"/>
      <c r="G23" s="119"/>
      <c r="H23" s="119"/>
      <c r="I23" s="119"/>
      <c r="J23" s="124"/>
      <c r="K23" s="143" t="str">
        <f t="shared" si="0"/>
        <v/>
      </c>
      <c r="L23" s="143" t="str">
        <f t="shared" si="1"/>
        <v/>
      </c>
      <c r="M23" s="146" t="str">
        <f t="shared" si="2"/>
        <v/>
      </c>
      <c r="N23" s="123"/>
      <c r="O23" s="119"/>
      <c r="P23" s="124"/>
      <c r="Q23" s="143" t="str">
        <f t="shared" si="3"/>
        <v/>
      </c>
      <c r="R23" s="143" t="str">
        <f t="shared" si="4"/>
        <v/>
      </c>
      <c r="S23" s="143" t="str">
        <f t="shared" si="5"/>
        <v/>
      </c>
      <c r="T23" s="123"/>
      <c r="U23" s="119"/>
      <c r="V23" s="124"/>
      <c r="W23" s="143" t="str">
        <f t="shared" si="6"/>
        <v/>
      </c>
      <c r="X23" s="143" t="str">
        <f t="shared" si="7"/>
        <v/>
      </c>
      <c r="Y23" s="143" t="str">
        <f t="shared" si="8"/>
        <v/>
      </c>
      <c r="Z23" s="150" t="str">
        <f t="shared" si="9"/>
        <v/>
      </c>
      <c r="AA23" s="143" t="str">
        <f t="shared" si="10"/>
        <v/>
      </c>
      <c r="AB23" s="152" t="str">
        <f t="shared" si="11"/>
        <v/>
      </c>
      <c r="AC23" s="158" t="str">
        <f>IF(AB23="","",IFERROR(INDEX(HELPER!$D$8:$D$48,IF(AB23&gt;=HELPER!$B$8,1,MATCH(AB23,HELPER!$B$8:$B$48,-1)+1)),""))</f>
        <v/>
      </c>
      <c r="AD23" s="155" t="str">
        <f>IF(AC23="","",IFERROR(VLOOKUP(AC23,HELPER!$F$8:$G$48,2,FALSE),""))</f>
        <v/>
      </c>
      <c r="AE23" s="135"/>
      <c r="AF23" s="90"/>
    </row>
    <row r="24" spans="1:32" ht="15" customHeight="1" x14ac:dyDescent="0.25">
      <c r="A24" s="135"/>
      <c r="B24" s="65">
        <v>7</v>
      </c>
      <c r="C24" s="204" t="str">
        <f>IF('INPUT DATA'!K17="","",'INPUT DATA'!K17)</f>
        <v/>
      </c>
      <c r="D24" s="205"/>
      <c r="E24" s="205"/>
      <c r="F24" s="123"/>
      <c r="G24" s="119"/>
      <c r="H24" s="119"/>
      <c r="I24" s="119"/>
      <c r="J24" s="124"/>
      <c r="K24" s="143" t="str">
        <f t="shared" si="0"/>
        <v/>
      </c>
      <c r="L24" s="143" t="str">
        <f t="shared" si="1"/>
        <v/>
      </c>
      <c r="M24" s="146" t="str">
        <f t="shared" si="2"/>
        <v/>
      </c>
      <c r="N24" s="123"/>
      <c r="O24" s="119"/>
      <c r="P24" s="124"/>
      <c r="Q24" s="143" t="str">
        <f t="shared" si="3"/>
        <v/>
      </c>
      <c r="R24" s="143" t="str">
        <f t="shared" si="4"/>
        <v/>
      </c>
      <c r="S24" s="143" t="str">
        <f t="shared" si="5"/>
        <v/>
      </c>
      <c r="T24" s="123"/>
      <c r="U24" s="119"/>
      <c r="V24" s="124"/>
      <c r="W24" s="143" t="str">
        <f t="shared" si="6"/>
        <v/>
      </c>
      <c r="X24" s="143" t="str">
        <f t="shared" si="7"/>
        <v/>
      </c>
      <c r="Y24" s="143" t="str">
        <f t="shared" si="8"/>
        <v/>
      </c>
      <c r="Z24" s="150" t="str">
        <f t="shared" si="9"/>
        <v/>
      </c>
      <c r="AA24" s="143" t="str">
        <f t="shared" si="10"/>
        <v/>
      </c>
      <c r="AB24" s="152" t="str">
        <f t="shared" si="11"/>
        <v/>
      </c>
      <c r="AC24" s="158" t="str">
        <f>IF(AB24="","",IFERROR(INDEX(HELPER!$D$8:$D$48,IF(AB24&gt;=HELPER!$B$8,1,MATCH(AB24,HELPER!$B$8:$B$48,-1)+1)),""))</f>
        <v/>
      </c>
      <c r="AD24" s="155" t="str">
        <f>IF(AC24="","",IFERROR(VLOOKUP(AC24,HELPER!$F$8:$G$48,2,FALSE),""))</f>
        <v/>
      </c>
      <c r="AE24" s="135"/>
      <c r="AF24" s="90"/>
    </row>
    <row r="25" spans="1:32" ht="15" customHeight="1" x14ac:dyDescent="0.25">
      <c r="A25" s="135"/>
      <c r="B25" s="65">
        <v>8</v>
      </c>
      <c r="C25" s="204" t="str">
        <f>IF('INPUT DATA'!K18="","",'INPUT DATA'!K18)</f>
        <v/>
      </c>
      <c r="D25" s="205"/>
      <c r="E25" s="205"/>
      <c r="F25" s="123"/>
      <c r="G25" s="119"/>
      <c r="H25" s="119"/>
      <c r="I25" s="119"/>
      <c r="J25" s="124"/>
      <c r="K25" s="143" t="str">
        <f t="shared" si="0"/>
        <v/>
      </c>
      <c r="L25" s="143" t="str">
        <f t="shared" si="1"/>
        <v/>
      </c>
      <c r="M25" s="146" t="str">
        <f t="shared" si="2"/>
        <v/>
      </c>
      <c r="N25" s="123"/>
      <c r="O25" s="119"/>
      <c r="P25" s="124"/>
      <c r="Q25" s="143" t="str">
        <f t="shared" si="3"/>
        <v/>
      </c>
      <c r="R25" s="143" t="str">
        <f t="shared" si="4"/>
        <v/>
      </c>
      <c r="S25" s="143" t="str">
        <f t="shared" si="5"/>
        <v/>
      </c>
      <c r="T25" s="123"/>
      <c r="U25" s="119"/>
      <c r="V25" s="124"/>
      <c r="W25" s="143" t="str">
        <f t="shared" si="6"/>
        <v/>
      </c>
      <c r="X25" s="143" t="str">
        <f t="shared" si="7"/>
        <v/>
      </c>
      <c r="Y25" s="143" t="str">
        <f t="shared" si="8"/>
        <v/>
      </c>
      <c r="Z25" s="150" t="str">
        <f t="shared" si="9"/>
        <v/>
      </c>
      <c r="AA25" s="143" t="str">
        <f t="shared" si="10"/>
        <v/>
      </c>
      <c r="AB25" s="152" t="str">
        <f t="shared" si="11"/>
        <v/>
      </c>
      <c r="AC25" s="158" t="str">
        <f>IF(AB25="","",IFERROR(INDEX(HELPER!$D$8:$D$48,IF(AB25&gt;=HELPER!$B$8,1,MATCH(AB25,HELPER!$B$8:$B$48,-1)+1)),""))</f>
        <v/>
      </c>
      <c r="AD25" s="155" t="str">
        <f>IF(AC25="","",IFERROR(VLOOKUP(AC25,HELPER!$F$8:$G$48,2,FALSE),""))</f>
        <v/>
      </c>
      <c r="AE25" s="135"/>
      <c r="AF25" s="90"/>
    </row>
    <row r="26" spans="1:32" ht="15" customHeight="1" x14ac:dyDescent="0.25">
      <c r="A26" s="135"/>
      <c r="B26" s="65">
        <v>9</v>
      </c>
      <c r="C26" s="204" t="str">
        <f>IF('INPUT DATA'!K19="","",'INPUT DATA'!K19)</f>
        <v/>
      </c>
      <c r="D26" s="205"/>
      <c r="E26" s="205"/>
      <c r="F26" s="123"/>
      <c r="G26" s="119"/>
      <c r="H26" s="119"/>
      <c r="I26" s="119"/>
      <c r="J26" s="124"/>
      <c r="K26" s="143" t="str">
        <f t="shared" si="0"/>
        <v/>
      </c>
      <c r="L26" s="143" t="str">
        <f t="shared" si="1"/>
        <v/>
      </c>
      <c r="M26" s="146" t="str">
        <f t="shared" si="2"/>
        <v/>
      </c>
      <c r="N26" s="123"/>
      <c r="O26" s="119"/>
      <c r="P26" s="124"/>
      <c r="Q26" s="143" t="str">
        <f t="shared" si="3"/>
        <v/>
      </c>
      <c r="R26" s="143" t="str">
        <f t="shared" si="4"/>
        <v/>
      </c>
      <c r="S26" s="143" t="str">
        <f t="shared" si="5"/>
        <v/>
      </c>
      <c r="T26" s="123"/>
      <c r="U26" s="119"/>
      <c r="V26" s="124"/>
      <c r="W26" s="143" t="str">
        <f t="shared" si="6"/>
        <v/>
      </c>
      <c r="X26" s="143" t="str">
        <f t="shared" si="7"/>
        <v/>
      </c>
      <c r="Y26" s="143" t="str">
        <f t="shared" si="8"/>
        <v/>
      </c>
      <c r="Z26" s="150" t="str">
        <f t="shared" si="9"/>
        <v/>
      </c>
      <c r="AA26" s="143" t="str">
        <f t="shared" si="10"/>
        <v/>
      </c>
      <c r="AB26" s="152" t="str">
        <f t="shared" si="11"/>
        <v/>
      </c>
      <c r="AC26" s="158" t="str">
        <f>IF(AB26="","",IFERROR(INDEX(HELPER!$D$8:$D$48,IF(AB26&gt;=HELPER!$B$8,1,MATCH(AB26,HELPER!$B$8:$B$48,-1)+1)),""))</f>
        <v/>
      </c>
      <c r="AD26" s="155" t="str">
        <f>IF(AC26="","",IFERROR(VLOOKUP(AC26,HELPER!$F$8:$G$48,2,FALSE),""))</f>
        <v/>
      </c>
      <c r="AE26" s="135"/>
      <c r="AF26" s="90"/>
    </row>
    <row r="27" spans="1:32" ht="15" customHeight="1" x14ac:dyDescent="0.25">
      <c r="A27" s="135"/>
      <c r="B27" s="65">
        <v>10</v>
      </c>
      <c r="C27" s="204" t="str">
        <f>IF('INPUT DATA'!K20="","",'INPUT DATA'!K20)</f>
        <v/>
      </c>
      <c r="D27" s="205"/>
      <c r="E27" s="205"/>
      <c r="F27" s="123"/>
      <c r="G27" s="119"/>
      <c r="H27" s="119"/>
      <c r="I27" s="119"/>
      <c r="J27" s="124"/>
      <c r="K27" s="143" t="str">
        <f t="shared" si="0"/>
        <v/>
      </c>
      <c r="L27" s="143" t="str">
        <f t="shared" si="1"/>
        <v/>
      </c>
      <c r="M27" s="146" t="str">
        <f t="shared" si="2"/>
        <v/>
      </c>
      <c r="N27" s="123"/>
      <c r="O27" s="119"/>
      <c r="P27" s="124"/>
      <c r="Q27" s="143" t="str">
        <f t="shared" si="3"/>
        <v/>
      </c>
      <c r="R27" s="143" t="str">
        <f t="shared" si="4"/>
        <v/>
      </c>
      <c r="S27" s="143" t="str">
        <f t="shared" si="5"/>
        <v/>
      </c>
      <c r="T27" s="123"/>
      <c r="U27" s="119"/>
      <c r="V27" s="124"/>
      <c r="W27" s="143" t="str">
        <f t="shared" si="6"/>
        <v/>
      </c>
      <c r="X27" s="143" t="str">
        <f t="shared" si="7"/>
        <v/>
      </c>
      <c r="Y27" s="143" t="str">
        <f t="shared" si="8"/>
        <v/>
      </c>
      <c r="Z27" s="150" t="str">
        <f t="shared" si="9"/>
        <v/>
      </c>
      <c r="AA27" s="143" t="str">
        <f t="shared" si="10"/>
        <v/>
      </c>
      <c r="AB27" s="152" t="str">
        <f t="shared" si="11"/>
        <v/>
      </c>
      <c r="AC27" s="158" t="str">
        <f>IF(AB27="","",IFERROR(INDEX(HELPER!$D$8:$D$48,IF(AB27&gt;=HELPER!$B$8,1,MATCH(AB27,HELPER!$B$8:$B$48,-1)+1)),""))</f>
        <v/>
      </c>
      <c r="AD27" s="155" t="str">
        <f>IF(AC27="","",IFERROR(VLOOKUP(AC27,HELPER!$F$8:$G$48,2,FALSE),""))</f>
        <v/>
      </c>
      <c r="AE27" s="135"/>
      <c r="AF27" s="90"/>
    </row>
    <row r="28" spans="1:32" ht="15" customHeight="1" x14ac:dyDescent="0.25">
      <c r="A28" s="135"/>
      <c r="B28" s="65">
        <v>11</v>
      </c>
      <c r="C28" s="204" t="str">
        <f>IF('INPUT DATA'!K21="","",'INPUT DATA'!K21)</f>
        <v/>
      </c>
      <c r="D28" s="205"/>
      <c r="E28" s="205"/>
      <c r="F28" s="123"/>
      <c r="G28" s="119"/>
      <c r="H28" s="119"/>
      <c r="I28" s="119"/>
      <c r="J28" s="124"/>
      <c r="K28" s="143" t="str">
        <f t="shared" si="0"/>
        <v/>
      </c>
      <c r="L28" s="143" t="str">
        <f t="shared" si="1"/>
        <v/>
      </c>
      <c r="M28" s="146" t="str">
        <f t="shared" si="2"/>
        <v/>
      </c>
      <c r="N28" s="123"/>
      <c r="O28" s="119"/>
      <c r="P28" s="124"/>
      <c r="Q28" s="143" t="str">
        <f t="shared" si="3"/>
        <v/>
      </c>
      <c r="R28" s="143" t="str">
        <f t="shared" si="4"/>
        <v/>
      </c>
      <c r="S28" s="143" t="str">
        <f t="shared" si="5"/>
        <v/>
      </c>
      <c r="T28" s="123"/>
      <c r="U28" s="119"/>
      <c r="V28" s="124"/>
      <c r="W28" s="143" t="str">
        <f t="shared" si="6"/>
        <v/>
      </c>
      <c r="X28" s="143" t="str">
        <f t="shared" si="7"/>
        <v/>
      </c>
      <c r="Y28" s="143" t="str">
        <f t="shared" si="8"/>
        <v/>
      </c>
      <c r="Z28" s="150" t="str">
        <f t="shared" si="9"/>
        <v/>
      </c>
      <c r="AA28" s="143" t="str">
        <f t="shared" si="10"/>
        <v/>
      </c>
      <c r="AB28" s="152" t="str">
        <f t="shared" si="11"/>
        <v/>
      </c>
      <c r="AC28" s="158" t="str">
        <f>IF(AB28="","",IFERROR(INDEX(HELPER!$D$8:$D$48,IF(AB28&gt;=HELPER!$B$8,1,MATCH(AB28,HELPER!$B$8:$B$48,-1)+1)),""))</f>
        <v/>
      </c>
      <c r="AD28" s="155" t="str">
        <f>IF(AC28="","",IFERROR(VLOOKUP(AC28,HELPER!$F$8:$G$48,2,FALSE),""))</f>
        <v/>
      </c>
      <c r="AE28" s="135"/>
      <c r="AF28" s="90"/>
    </row>
    <row r="29" spans="1:32" ht="15" customHeight="1" x14ac:dyDescent="0.25">
      <c r="A29" s="135"/>
      <c r="B29" s="65">
        <v>12</v>
      </c>
      <c r="C29" s="204" t="str">
        <f>IF('INPUT DATA'!K22="","",'INPUT DATA'!K22)</f>
        <v/>
      </c>
      <c r="D29" s="205"/>
      <c r="E29" s="205"/>
      <c r="F29" s="123"/>
      <c r="G29" s="119"/>
      <c r="H29" s="119"/>
      <c r="I29" s="119"/>
      <c r="J29" s="124"/>
      <c r="K29" s="143" t="str">
        <f t="shared" si="0"/>
        <v/>
      </c>
      <c r="L29" s="143" t="str">
        <f t="shared" si="1"/>
        <v/>
      </c>
      <c r="M29" s="146" t="str">
        <f t="shared" si="2"/>
        <v/>
      </c>
      <c r="N29" s="123"/>
      <c r="O29" s="119"/>
      <c r="P29" s="124"/>
      <c r="Q29" s="143" t="str">
        <f t="shared" si="3"/>
        <v/>
      </c>
      <c r="R29" s="143" t="str">
        <f t="shared" si="4"/>
        <v/>
      </c>
      <c r="S29" s="143" t="str">
        <f t="shared" si="5"/>
        <v/>
      </c>
      <c r="T29" s="123"/>
      <c r="U29" s="119"/>
      <c r="V29" s="124"/>
      <c r="W29" s="143" t="str">
        <f t="shared" si="6"/>
        <v/>
      </c>
      <c r="X29" s="143" t="str">
        <f t="shared" si="7"/>
        <v/>
      </c>
      <c r="Y29" s="143" t="str">
        <f t="shared" si="8"/>
        <v/>
      </c>
      <c r="Z29" s="150" t="str">
        <f t="shared" si="9"/>
        <v/>
      </c>
      <c r="AA29" s="143" t="str">
        <f t="shared" si="10"/>
        <v/>
      </c>
      <c r="AB29" s="152" t="str">
        <f t="shared" si="11"/>
        <v/>
      </c>
      <c r="AC29" s="158" t="str">
        <f>IF(AB29="","",IFERROR(INDEX(HELPER!$D$8:$D$48,IF(AB29&gt;=HELPER!$B$8,1,MATCH(AB29,HELPER!$B$8:$B$48,-1)+1)),""))</f>
        <v/>
      </c>
      <c r="AD29" s="155" t="str">
        <f>IF(AC29="","",IFERROR(VLOOKUP(AC29,HELPER!$F$8:$G$48,2,FALSE),""))</f>
        <v/>
      </c>
      <c r="AE29" s="135"/>
      <c r="AF29" s="90"/>
    </row>
    <row r="30" spans="1:32" ht="15" customHeight="1" x14ac:dyDescent="0.25">
      <c r="A30" s="135"/>
      <c r="B30" s="65">
        <v>13</v>
      </c>
      <c r="C30" s="204" t="str">
        <f>IF('INPUT DATA'!K23="","",'INPUT DATA'!K23)</f>
        <v/>
      </c>
      <c r="D30" s="205"/>
      <c r="E30" s="205"/>
      <c r="F30" s="123"/>
      <c r="G30" s="119"/>
      <c r="H30" s="119"/>
      <c r="I30" s="119"/>
      <c r="J30" s="124"/>
      <c r="K30" s="143" t="str">
        <f t="shared" si="0"/>
        <v/>
      </c>
      <c r="L30" s="143" t="str">
        <f t="shared" si="1"/>
        <v/>
      </c>
      <c r="M30" s="146" t="str">
        <f t="shared" si="2"/>
        <v/>
      </c>
      <c r="N30" s="123"/>
      <c r="O30" s="119"/>
      <c r="P30" s="124"/>
      <c r="Q30" s="143" t="str">
        <f t="shared" si="3"/>
        <v/>
      </c>
      <c r="R30" s="143" t="str">
        <f t="shared" si="4"/>
        <v/>
      </c>
      <c r="S30" s="143" t="str">
        <f t="shared" si="5"/>
        <v/>
      </c>
      <c r="T30" s="123"/>
      <c r="U30" s="119"/>
      <c r="V30" s="124"/>
      <c r="W30" s="143" t="str">
        <f t="shared" si="6"/>
        <v/>
      </c>
      <c r="X30" s="143" t="str">
        <f t="shared" si="7"/>
        <v/>
      </c>
      <c r="Y30" s="143" t="str">
        <f t="shared" si="8"/>
        <v/>
      </c>
      <c r="Z30" s="150" t="str">
        <f t="shared" si="9"/>
        <v/>
      </c>
      <c r="AA30" s="143" t="str">
        <f t="shared" si="10"/>
        <v/>
      </c>
      <c r="AB30" s="152" t="str">
        <f t="shared" si="11"/>
        <v/>
      </c>
      <c r="AC30" s="158" t="str">
        <f>IF(AB30="","",IFERROR(INDEX(HELPER!$D$8:$D$48,IF(AB30&gt;=HELPER!$B$8,1,MATCH(AB30,HELPER!$B$8:$B$48,-1)+1)),""))</f>
        <v/>
      </c>
      <c r="AD30" s="155" t="str">
        <f>IF(AC30="","",IFERROR(VLOOKUP(AC30,HELPER!$F$8:$G$48,2,FALSE),""))</f>
        <v/>
      </c>
      <c r="AE30" s="135"/>
      <c r="AF30" s="90"/>
    </row>
    <row r="31" spans="1:32" ht="15" customHeight="1" x14ac:dyDescent="0.25">
      <c r="A31" s="135"/>
      <c r="B31" s="65">
        <v>14</v>
      </c>
      <c r="C31" s="204" t="str">
        <f>IF('INPUT DATA'!K24="","",'INPUT DATA'!K24)</f>
        <v/>
      </c>
      <c r="D31" s="205"/>
      <c r="E31" s="205"/>
      <c r="F31" s="123"/>
      <c r="G31" s="119"/>
      <c r="H31" s="119"/>
      <c r="I31" s="119"/>
      <c r="J31" s="124"/>
      <c r="K31" s="143" t="str">
        <f t="shared" si="0"/>
        <v/>
      </c>
      <c r="L31" s="143" t="str">
        <f t="shared" si="1"/>
        <v/>
      </c>
      <c r="M31" s="146" t="str">
        <f t="shared" si="2"/>
        <v/>
      </c>
      <c r="N31" s="123"/>
      <c r="O31" s="119"/>
      <c r="P31" s="124"/>
      <c r="Q31" s="143" t="str">
        <f t="shared" si="3"/>
        <v/>
      </c>
      <c r="R31" s="143" t="str">
        <f t="shared" si="4"/>
        <v/>
      </c>
      <c r="S31" s="143" t="str">
        <f t="shared" si="5"/>
        <v/>
      </c>
      <c r="T31" s="123"/>
      <c r="U31" s="119"/>
      <c r="V31" s="124"/>
      <c r="W31" s="143" t="str">
        <f t="shared" si="6"/>
        <v/>
      </c>
      <c r="X31" s="143" t="str">
        <f t="shared" si="7"/>
        <v/>
      </c>
      <c r="Y31" s="143" t="str">
        <f t="shared" si="8"/>
        <v/>
      </c>
      <c r="Z31" s="150" t="str">
        <f t="shared" si="9"/>
        <v/>
      </c>
      <c r="AA31" s="143" t="str">
        <f t="shared" si="10"/>
        <v/>
      </c>
      <c r="AB31" s="152" t="str">
        <f t="shared" si="11"/>
        <v/>
      </c>
      <c r="AC31" s="158" t="str">
        <f>IF(AB31="","",IFERROR(INDEX(HELPER!$D$8:$D$48,IF(AB31&gt;=HELPER!$B$8,1,MATCH(AB31,HELPER!$B$8:$B$48,-1)+1)),""))</f>
        <v/>
      </c>
      <c r="AD31" s="155" t="str">
        <f>IF(AC31="","",IFERROR(VLOOKUP(AC31,HELPER!$F$8:$G$48,2,FALSE),""))</f>
        <v/>
      </c>
      <c r="AE31" s="135"/>
      <c r="AF31" s="90"/>
    </row>
    <row r="32" spans="1:32" ht="15" customHeight="1" x14ac:dyDescent="0.25">
      <c r="A32" s="135"/>
      <c r="B32" s="65">
        <v>15</v>
      </c>
      <c r="C32" s="204" t="str">
        <f>IF('INPUT DATA'!K25="","",'INPUT DATA'!K25)</f>
        <v/>
      </c>
      <c r="D32" s="205"/>
      <c r="E32" s="205"/>
      <c r="F32" s="123"/>
      <c r="G32" s="119"/>
      <c r="H32" s="119"/>
      <c r="I32" s="119"/>
      <c r="J32" s="124"/>
      <c r="K32" s="143" t="str">
        <f t="shared" si="0"/>
        <v/>
      </c>
      <c r="L32" s="143" t="str">
        <f t="shared" si="1"/>
        <v/>
      </c>
      <c r="M32" s="146" t="str">
        <f t="shared" si="2"/>
        <v/>
      </c>
      <c r="N32" s="123"/>
      <c r="O32" s="119"/>
      <c r="P32" s="124"/>
      <c r="Q32" s="143" t="str">
        <f t="shared" si="3"/>
        <v/>
      </c>
      <c r="R32" s="143" t="str">
        <f t="shared" si="4"/>
        <v/>
      </c>
      <c r="S32" s="143" t="str">
        <f t="shared" si="5"/>
        <v/>
      </c>
      <c r="T32" s="123"/>
      <c r="U32" s="119"/>
      <c r="V32" s="124"/>
      <c r="W32" s="143" t="str">
        <f t="shared" si="6"/>
        <v/>
      </c>
      <c r="X32" s="143" t="str">
        <f t="shared" si="7"/>
        <v/>
      </c>
      <c r="Y32" s="143" t="str">
        <f t="shared" si="8"/>
        <v/>
      </c>
      <c r="Z32" s="150" t="str">
        <f t="shared" si="9"/>
        <v/>
      </c>
      <c r="AA32" s="143" t="str">
        <f t="shared" si="10"/>
        <v/>
      </c>
      <c r="AB32" s="152" t="str">
        <f t="shared" si="11"/>
        <v/>
      </c>
      <c r="AC32" s="158" t="str">
        <f>IF(AB32="","",IFERROR(INDEX(HELPER!$D$8:$D$48,IF(AB32&gt;=HELPER!$B$8,1,MATCH(AB32,HELPER!$B$8:$B$48,-1)+1)),""))</f>
        <v/>
      </c>
      <c r="AD32" s="155" t="str">
        <f>IF(AC32="","",IFERROR(VLOOKUP(AC32,HELPER!$F$8:$G$48,2,FALSE),""))</f>
        <v/>
      </c>
      <c r="AE32" s="135"/>
      <c r="AF32" s="90"/>
    </row>
    <row r="33" spans="1:32" ht="15" customHeight="1" x14ac:dyDescent="0.25">
      <c r="A33" s="135"/>
      <c r="B33" s="65">
        <v>16</v>
      </c>
      <c r="C33" s="204" t="str">
        <f>IF('INPUT DATA'!K26="","",'INPUT DATA'!K26)</f>
        <v/>
      </c>
      <c r="D33" s="205"/>
      <c r="E33" s="205"/>
      <c r="F33" s="123"/>
      <c r="G33" s="119"/>
      <c r="H33" s="119"/>
      <c r="I33" s="119"/>
      <c r="J33" s="124"/>
      <c r="K33" s="143" t="str">
        <f t="shared" si="0"/>
        <v/>
      </c>
      <c r="L33" s="143" t="str">
        <f t="shared" si="1"/>
        <v/>
      </c>
      <c r="M33" s="146" t="str">
        <f t="shared" si="2"/>
        <v/>
      </c>
      <c r="N33" s="123"/>
      <c r="O33" s="119"/>
      <c r="P33" s="124"/>
      <c r="Q33" s="143" t="str">
        <f t="shared" si="3"/>
        <v/>
      </c>
      <c r="R33" s="143" t="str">
        <f t="shared" si="4"/>
        <v/>
      </c>
      <c r="S33" s="143" t="str">
        <f t="shared" si="5"/>
        <v/>
      </c>
      <c r="T33" s="123"/>
      <c r="U33" s="119"/>
      <c r="V33" s="124"/>
      <c r="W33" s="143" t="str">
        <f t="shared" si="6"/>
        <v/>
      </c>
      <c r="X33" s="143" t="str">
        <f t="shared" si="7"/>
        <v/>
      </c>
      <c r="Y33" s="143" t="str">
        <f t="shared" si="8"/>
        <v/>
      </c>
      <c r="Z33" s="150" t="str">
        <f t="shared" si="9"/>
        <v/>
      </c>
      <c r="AA33" s="143" t="str">
        <f t="shared" si="10"/>
        <v/>
      </c>
      <c r="AB33" s="152" t="str">
        <f t="shared" si="11"/>
        <v/>
      </c>
      <c r="AC33" s="158" t="str">
        <f>IF(AB33="","",IFERROR(INDEX(HELPER!$D$8:$D$48,IF(AB33&gt;=HELPER!$B$8,1,MATCH(AB33,HELPER!$B$8:$B$48,-1)+1)),""))</f>
        <v/>
      </c>
      <c r="AD33" s="155" t="str">
        <f>IF(AC33="","",IFERROR(VLOOKUP(AC33,HELPER!$F$8:$G$48,2,FALSE),""))</f>
        <v/>
      </c>
      <c r="AE33" s="135"/>
      <c r="AF33" s="90"/>
    </row>
    <row r="34" spans="1:32" ht="15" customHeight="1" x14ac:dyDescent="0.25">
      <c r="A34" s="135"/>
      <c r="B34" s="65">
        <v>17</v>
      </c>
      <c r="C34" s="204" t="str">
        <f>IF('INPUT DATA'!K27="","",'INPUT DATA'!K27)</f>
        <v/>
      </c>
      <c r="D34" s="205"/>
      <c r="E34" s="205"/>
      <c r="F34" s="123"/>
      <c r="G34" s="119"/>
      <c r="H34" s="119"/>
      <c r="I34" s="119"/>
      <c r="J34" s="124"/>
      <c r="K34" s="143" t="str">
        <f t="shared" si="0"/>
        <v/>
      </c>
      <c r="L34" s="143" t="str">
        <f t="shared" si="1"/>
        <v/>
      </c>
      <c r="M34" s="146" t="str">
        <f t="shared" si="2"/>
        <v/>
      </c>
      <c r="N34" s="123"/>
      <c r="O34" s="119"/>
      <c r="P34" s="124"/>
      <c r="Q34" s="143" t="str">
        <f t="shared" si="3"/>
        <v/>
      </c>
      <c r="R34" s="143" t="str">
        <f t="shared" si="4"/>
        <v/>
      </c>
      <c r="S34" s="143" t="str">
        <f t="shared" si="5"/>
        <v/>
      </c>
      <c r="T34" s="123"/>
      <c r="U34" s="119"/>
      <c r="V34" s="124"/>
      <c r="W34" s="143" t="str">
        <f t="shared" si="6"/>
        <v/>
      </c>
      <c r="X34" s="143" t="str">
        <f t="shared" si="7"/>
        <v/>
      </c>
      <c r="Y34" s="143" t="str">
        <f t="shared" si="8"/>
        <v/>
      </c>
      <c r="Z34" s="150" t="str">
        <f t="shared" si="9"/>
        <v/>
      </c>
      <c r="AA34" s="143" t="str">
        <f t="shared" si="10"/>
        <v/>
      </c>
      <c r="AB34" s="152" t="str">
        <f t="shared" si="11"/>
        <v/>
      </c>
      <c r="AC34" s="158" t="str">
        <f>IF(AB34="","",IFERROR(INDEX(HELPER!$D$8:$D$48,IF(AB34&gt;=HELPER!$B$8,1,MATCH(AB34,HELPER!$B$8:$B$48,-1)+1)),""))</f>
        <v/>
      </c>
      <c r="AD34" s="155" t="str">
        <f>IF(AC34="","",IFERROR(VLOOKUP(AC34,HELPER!$F$8:$G$48,2,FALSE),""))</f>
        <v/>
      </c>
      <c r="AE34" s="135"/>
      <c r="AF34" s="90"/>
    </row>
    <row r="35" spans="1:32" ht="15" customHeight="1" x14ac:dyDescent="0.25">
      <c r="A35" s="135"/>
      <c r="B35" s="65">
        <v>18</v>
      </c>
      <c r="C35" s="204" t="str">
        <f>IF('INPUT DATA'!K28="","",'INPUT DATA'!K28)</f>
        <v/>
      </c>
      <c r="D35" s="205"/>
      <c r="E35" s="205"/>
      <c r="F35" s="123"/>
      <c r="G35" s="119"/>
      <c r="H35" s="119"/>
      <c r="I35" s="119"/>
      <c r="J35" s="124"/>
      <c r="K35" s="143" t="str">
        <f t="shared" si="0"/>
        <v/>
      </c>
      <c r="L35" s="143" t="str">
        <f t="shared" si="1"/>
        <v/>
      </c>
      <c r="M35" s="146" t="str">
        <f t="shared" si="2"/>
        <v/>
      </c>
      <c r="N35" s="123"/>
      <c r="O35" s="119"/>
      <c r="P35" s="124"/>
      <c r="Q35" s="143" t="str">
        <f t="shared" si="3"/>
        <v/>
      </c>
      <c r="R35" s="143" t="str">
        <f t="shared" si="4"/>
        <v/>
      </c>
      <c r="S35" s="143" t="str">
        <f t="shared" si="5"/>
        <v/>
      </c>
      <c r="T35" s="123"/>
      <c r="U35" s="119"/>
      <c r="V35" s="124"/>
      <c r="W35" s="143" t="str">
        <f t="shared" si="6"/>
        <v/>
      </c>
      <c r="X35" s="143" t="str">
        <f t="shared" si="7"/>
        <v/>
      </c>
      <c r="Y35" s="143" t="str">
        <f t="shared" si="8"/>
        <v/>
      </c>
      <c r="Z35" s="150" t="str">
        <f t="shared" si="9"/>
        <v/>
      </c>
      <c r="AA35" s="143" t="str">
        <f t="shared" si="10"/>
        <v/>
      </c>
      <c r="AB35" s="152" t="str">
        <f t="shared" si="11"/>
        <v/>
      </c>
      <c r="AC35" s="158" t="str">
        <f>IF(AB35="","",IFERROR(INDEX(HELPER!$D$8:$D$48,IF(AB35&gt;=HELPER!$B$8,1,MATCH(AB35,HELPER!$B$8:$B$48,-1)+1)),""))</f>
        <v/>
      </c>
      <c r="AD35" s="155" t="str">
        <f>IF(AC35="","",IFERROR(VLOOKUP(AC35,HELPER!$F$8:$G$48,2,FALSE),""))</f>
        <v/>
      </c>
      <c r="AE35" s="135"/>
      <c r="AF35" s="90"/>
    </row>
    <row r="36" spans="1:32" ht="15" customHeight="1" x14ac:dyDescent="0.25">
      <c r="A36" s="135"/>
      <c r="B36" s="65">
        <v>19</v>
      </c>
      <c r="C36" s="204" t="str">
        <f>IF('INPUT DATA'!K29="","",'INPUT DATA'!K29)</f>
        <v/>
      </c>
      <c r="D36" s="205"/>
      <c r="E36" s="205"/>
      <c r="F36" s="123"/>
      <c r="G36" s="119"/>
      <c r="H36" s="119"/>
      <c r="I36" s="119"/>
      <c r="J36" s="124"/>
      <c r="K36" s="143" t="str">
        <f t="shared" si="0"/>
        <v/>
      </c>
      <c r="L36" s="143" t="str">
        <f t="shared" si="1"/>
        <v/>
      </c>
      <c r="M36" s="146" t="str">
        <f t="shared" si="2"/>
        <v/>
      </c>
      <c r="N36" s="123"/>
      <c r="O36" s="119"/>
      <c r="P36" s="124"/>
      <c r="Q36" s="143" t="str">
        <f t="shared" si="3"/>
        <v/>
      </c>
      <c r="R36" s="143" t="str">
        <f t="shared" si="4"/>
        <v/>
      </c>
      <c r="S36" s="143" t="str">
        <f t="shared" si="5"/>
        <v/>
      </c>
      <c r="T36" s="123"/>
      <c r="U36" s="119"/>
      <c r="V36" s="124"/>
      <c r="W36" s="143" t="str">
        <f t="shared" si="6"/>
        <v/>
      </c>
      <c r="X36" s="143" t="str">
        <f t="shared" si="7"/>
        <v/>
      </c>
      <c r="Y36" s="143" t="str">
        <f t="shared" si="8"/>
        <v/>
      </c>
      <c r="Z36" s="150" t="str">
        <f t="shared" si="9"/>
        <v/>
      </c>
      <c r="AA36" s="143" t="str">
        <f t="shared" si="10"/>
        <v/>
      </c>
      <c r="AB36" s="152" t="str">
        <f t="shared" si="11"/>
        <v/>
      </c>
      <c r="AC36" s="158" t="str">
        <f>IF(AB36="","",IFERROR(INDEX(HELPER!$D$8:$D$48,IF(AB36&gt;=HELPER!$B$8,1,MATCH(AB36,HELPER!$B$8:$B$48,-1)+1)),""))</f>
        <v/>
      </c>
      <c r="AD36" s="155" t="str">
        <f>IF(AC36="","",IFERROR(VLOOKUP(AC36,HELPER!$F$8:$G$48,2,FALSE),""))</f>
        <v/>
      </c>
      <c r="AE36" s="135"/>
      <c r="AF36" s="90"/>
    </row>
    <row r="37" spans="1:32" ht="15" customHeight="1" x14ac:dyDescent="0.25">
      <c r="A37" s="135"/>
      <c r="B37" s="66">
        <v>20</v>
      </c>
      <c r="C37" s="204" t="str">
        <f>IF('INPUT DATA'!K30="","",'INPUT DATA'!K30)</f>
        <v/>
      </c>
      <c r="D37" s="205"/>
      <c r="E37" s="205"/>
      <c r="F37" s="123"/>
      <c r="G37" s="119"/>
      <c r="H37" s="119"/>
      <c r="I37" s="119"/>
      <c r="J37" s="124"/>
      <c r="K37" s="143" t="str">
        <f t="shared" si="0"/>
        <v/>
      </c>
      <c r="L37" s="143" t="str">
        <f t="shared" si="1"/>
        <v/>
      </c>
      <c r="M37" s="146" t="str">
        <f t="shared" si="2"/>
        <v/>
      </c>
      <c r="N37" s="123"/>
      <c r="O37" s="119"/>
      <c r="P37" s="124"/>
      <c r="Q37" s="143" t="str">
        <f t="shared" si="3"/>
        <v/>
      </c>
      <c r="R37" s="143" t="str">
        <f t="shared" si="4"/>
        <v/>
      </c>
      <c r="S37" s="143" t="str">
        <f t="shared" si="5"/>
        <v/>
      </c>
      <c r="T37" s="123"/>
      <c r="U37" s="119"/>
      <c r="V37" s="124"/>
      <c r="W37" s="143" t="str">
        <f t="shared" si="6"/>
        <v/>
      </c>
      <c r="X37" s="143" t="str">
        <f t="shared" si="7"/>
        <v/>
      </c>
      <c r="Y37" s="143" t="str">
        <f t="shared" si="8"/>
        <v/>
      </c>
      <c r="Z37" s="150" t="str">
        <f t="shared" si="9"/>
        <v/>
      </c>
      <c r="AA37" s="143" t="str">
        <f t="shared" si="10"/>
        <v/>
      </c>
      <c r="AB37" s="152" t="str">
        <f t="shared" si="11"/>
        <v/>
      </c>
      <c r="AC37" s="158" t="str">
        <f>IF(AB37="","",IFERROR(INDEX(HELPER!$D$8:$D$48,IF(AB37&gt;=HELPER!$B$8,1,MATCH(AB37,HELPER!$B$8:$B$48,-1)+1)),""))</f>
        <v/>
      </c>
      <c r="AD37" s="155" t="str">
        <f>IF(AC37="","",IFERROR(VLOOKUP(AC37,HELPER!$F$8:$G$48,2,FALSE),""))</f>
        <v/>
      </c>
      <c r="AE37" s="135"/>
      <c r="AF37" s="90"/>
    </row>
    <row r="38" spans="1:32" ht="15" customHeight="1" x14ac:dyDescent="0.25">
      <c r="A38" s="135"/>
      <c r="B38" s="66">
        <v>21</v>
      </c>
      <c r="C38" s="204" t="str">
        <f>IF('INPUT DATA'!K31="","",'INPUT DATA'!K31)</f>
        <v/>
      </c>
      <c r="D38" s="205"/>
      <c r="E38" s="205"/>
      <c r="F38" s="123"/>
      <c r="G38" s="119"/>
      <c r="H38" s="119"/>
      <c r="I38" s="119"/>
      <c r="J38" s="124"/>
      <c r="K38" s="143" t="str">
        <f t="shared" si="0"/>
        <v/>
      </c>
      <c r="L38" s="143" t="str">
        <f t="shared" si="1"/>
        <v/>
      </c>
      <c r="M38" s="146" t="str">
        <f t="shared" si="2"/>
        <v/>
      </c>
      <c r="N38" s="123"/>
      <c r="O38" s="119"/>
      <c r="P38" s="124"/>
      <c r="Q38" s="143" t="str">
        <f t="shared" si="3"/>
        <v/>
      </c>
      <c r="R38" s="143" t="str">
        <f t="shared" si="4"/>
        <v/>
      </c>
      <c r="S38" s="143" t="str">
        <f t="shared" si="5"/>
        <v/>
      </c>
      <c r="T38" s="123"/>
      <c r="U38" s="119"/>
      <c r="V38" s="124"/>
      <c r="W38" s="143" t="str">
        <f t="shared" si="6"/>
        <v/>
      </c>
      <c r="X38" s="143" t="str">
        <f t="shared" si="7"/>
        <v/>
      </c>
      <c r="Y38" s="143" t="str">
        <f t="shared" si="8"/>
        <v/>
      </c>
      <c r="Z38" s="150" t="str">
        <f t="shared" si="9"/>
        <v/>
      </c>
      <c r="AA38" s="143" t="str">
        <f t="shared" si="10"/>
        <v/>
      </c>
      <c r="AB38" s="152" t="str">
        <f t="shared" si="11"/>
        <v/>
      </c>
      <c r="AC38" s="158" t="str">
        <f>IF(AB38="","",IFERROR(INDEX(HELPER!$D$8:$D$48,IF(AB38&gt;=HELPER!$B$8,1,MATCH(AB38,HELPER!$B$8:$B$48,-1)+1)),""))</f>
        <v/>
      </c>
      <c r="AD38" s="155" t="str">
        <f>IF(AC38="","",IFERROR(VLOOKUP(AC38,HELPER!$F$8:$G$48,2,FALSE),""))</f>
        <v/>
      </c>
      <c r="AE38" s="135"/>
      <c r="AF38" s="90"/>
    </row>
    <row r="39" spans="1:32" ht="15" customHeight="1" x14ac:dyDescent="0.25">
      <c r="A39" s="135"/>
      <c r="B39" s="66">
        <v>22</v>
      </c>
      <c r="C39" s="204" t="str">
        <f>IF('INPUT DATA'!K32="","",'INPUT DATA'!K32)</f>
        <v/>
      </c>
      <c r="D39" s="205"/>
      <c r="E39" s="205"/>
      <c r="F39" s="123"/>
      <c r="G39" s="119"/>
      <c r="H39" s="119"/>
      <c r="I39" s="119"/>
      <c r="J39" s="124"/>
      <c r="K39" s="143" t="str">
        <f t="shared" si="0"/>
        <v/>
      </c>
      <c r="L39" s="143" t="str">
        <f t="shared" si="1"/>
        <v/>
      </c>
      <c r="M39" s="146" t="str">
        <f t="shared" si="2"/>
        <v/>
      </c>
      <c r="N39" s="123"/>
      <c r="O39" s="119"/>
      <c r="P39" s="124"/>
      <c r="Q39" s="143" t="str">
        <f t="shared" si="3"/>
        <v/>
      </c>
      <c r="R39" s="143" t="str">
        <f t="shared" si="4"/>
        <v/>
      </c>
      <c r="S39" s="143" t="str">
        <f t="shared" si="5"/>
        <v/>
      </c>
      <c r="T39" s="123"/>
      <c r="U39" s="119"/>
      <c r="V39" s="124"/>
      <c r="W39" s="143" t="str">
        <f t="shared" si="6"/>
        <v/>
      </c>
      <c r="X39" s="143" t="str">
        <f t="shared" si="7"/>
        <v/>
      </c>
      <c r="Y39" s="143" t="str">
        <f t="shared" si="8"/>
        <v/>
      </c>
      <c r="Z39" s="150" t="str">
        <f t="shared" si="9"/>
        <v/>
      </c>
      <c r="AA39" s="143" t="str">
        <f t="shared" si="10"/>
        <v/>
      </c>
      <c r="AB39" s="152" t="str">
        <f t="shared" si="11"/>
        <v/>
      </c>
      <c r="AC39" s="158" t="str">
        <f>IF(AB39="","",IFERROR(INDEX(HELPER!$D$8:$D$48,IF(AB39&gt;=HELPER!$B$8,1,MATCH(AB39,HELPER!$B$8:$B$48,-1)+1)),""))</f>
        <v/>
      </c>
      <c r="AD39" s="155" t="str">
        <f>IF(AC39="","",IFERROR(VLOOKUP(AC39,HELPER!$F$8:$G$48,2,FALSE),""))</f>
        <v/>
      </c>
      <c r="AE39" s="135"/>
      <c r="AF39" s="90"/>
    </row>
    <row r="40" spans="1:32" ht="15" customHeight="1" x14ac:dyDescent="0.25">
      <c r="A40" s="135"/>
      <c r="B40" s="66">
        <v>23</v>
      </c>
      <c r="C40" s="204" t="str">
        <f>IF('INPUT DATA'!K33="","",'INPUT DATA'!K33)</f>
        <v/>
      </c>
      <c r="D40" s="205"/>
      <c r="E40" s="205"/>
      <c r="F40" s="123"/>
      <c r="G40" s="119"/>
      <c r="H40" s="119"/>
      <c r="I40" s="119"/>
      <c r="J40" s="124"/>
      <c r="K40" s="143" t="str">
        <f t="shared" si="0"/>
        <v/>
      </c>
      <c r="L40" s="143" t="str">
        <f t="shared" si="1"/>
        <v/>
      </c>
      <c r="M40" s="146" t="str">
        <f t="shared" si="2"/>
        <v/>
      </c>
      <c r="N40" s="123"/>
      <c r="O40" s="119"/>
      <c r="P40" s="124"/>
      <c r="Q40" s="143" t="str">
        <f t="shared" si="3"/>
        <v/>
      </c>
      <c r="R40" s="143" t="str">
        <f t="shared" si="4"/>
        <v/>
      </c>
      <c r="S40" s="143" t="str">
        <f t="shared" si="5"/>
        <v/>
      </c>
      <c r="T40" s="123"/>
      <c r="U40" s="119"/>
      <c r="V40" s="124"/>
      <c r="W40" s="143" t="str">
        <f t="shared" si="6"/>
        <v/>
      </c>
      <c r="X40" s="143" t="str">
        <f t="shared" si="7"/>
        <v/>
      </c>
      <c r="Y40" s="143" t="str">
        <f t="shared" si="8"/>
        <v/>
      </c>
      <c r="Z40" s="150" t="str">
        <f t="shared" si="9"/>
        <v/>
      </c>
      <c r="AA40" s="143" t="str">
        <f t="shared" si="10"/>
        <v/>
      </c>
      <c r="AB40" s="152" t="str">
        <f t="shared" si="11"/>
        <v/>
      </c>
      <c r="AC40" s="158" t="str">
        <f>IF(AB40="","",IFERROR(INDEX(HELPER!$D$8:$D$48,IF(AB40&gt;=HELPER!$B$8,1,MATCH(AB40,HELPER!$B$8:$B$48,-1)+1)),""))</f>
        <v/>
      </c>
      <c r="AD40" s="155" t="str">
        <f>IF(AC40="","",IFERROR(VLOOKUP(AC40,HELPER!$F$8:$G$48,2,FALSE),""))</f>
        <v/>
      </c>
      <c r="AE40" s="135"/>
      <c r="AF40" s="90"/>
    </row>
    <row r="41" spans="1:32" ht="15" customHeight="1" x14ac:dyDescent="0.25">
      <c r="A41" s="135"/>
      <c r="B41" s="66">
        <v>24</v>
      </c>
      <c r="C41" s="204" t="str">
        <f>IF('INPUT DATA'!K34="","",'INPUT DATA'!K34)</f>
        <v/>
      </c>
      <c r="D41" s="205"/>
      <c r="E41" s="205"/>
      <c r="F41" s="123"/>
      <c r="G41" s="119"/>
      <c r="H41" s="119"/>
      <c r="I41" s="119"/>
      <c r="J41" s="124"/>
      <c r="K41" s="143" t="str">
        <f t="shared" si="0"/>
        <v/>
      </c>
      <c r="L41" s="143" t="str">
        <f t="shared" si="1"/>
        <v/>
      </c>
      <c r="M41" s="146" t="str">
        <f t="shared" si="2"/>
        <v/>
      </c>
      <c r="N41" s="123"/>
      <c r="O41" s="119"/>
      <c r="P41" s="124"/>
      <c r="Q41" s="143" t="str">
        <f t="shared" si="3"/>
        <v/>
      </c>
      <c r="R41" s="143" t="str">
        <f t="shared" si="4"/>
        <v/>
      </c>
      <c r="S41" s="143" t="str">
        <f t="shared" si="5"/>
        <v/>
      </c>
      <c r="T41" s="123"/>
      <c r="U41" s="119"/>
      <c r="V41" s="124"/>
      <c r="W41" s="143" t="str">
        <f t="shared" si="6"/>
        <v/>
      </c>
      <c r="X41" s="143" t="str">
        <f t="shared" si="7"/>
        <v/>
      </c>
      <c r="Y41" s="143" t="str">
        <f t="shared" si="8"/>
        <v/>
      </c>
      <c r="Z41" s="150" t="str">
        <f t="shared" si="9"/>
        <v/>
      </c>
      <c r="AA41" s="143" t="str">
        <f t="shared" si="10"/>
        <v/>
      </c>
      <c r="AB41" s="152" t="str">
        <f t="shared" si="11"/>
        <v/>
      </c>
      <c r="AC41" s="158" t="str">
        <f>IF(AB41="","",IFERROR(INDEX(HELPER!$D$8:$D$48,IF(AB41&gt;=HELPER!$B$8,1,MATCH(AB41,HELPER!$B$8:$B$48,-1)+1)),""))</f>
        <v/>
      </c>
      <c r="AD41" s="155" t="str">
        <f>IF(AC41="","",IFERROR(VLOOKUP(AC41,HELPER!$F$8:$G$48,2,FALSE),""))</f>
        <v/>
      </c>
      <c r="AE41" s="135"/>
      <c r="AF41" s="90"/>
    </row>
    <row r="42" spans="1:32" ht="15" customHeight="1" x14ac:dyDescent="0.25">
      <c r="A42" s="135"/>
      <c r="B42" s="66">
        <v>25</v>
      </c>
      <c r="C42" s="204" t="str">
        <f>IF('INPUT DATA'!K35="","",'INPUT DATA'!K35)</f>
        <v/>
      </c>
      <c r="D42" s="205"/>
      <c r="E42" s="205"/>
      <c r="F42" s="123"/>
      <c r="G42" s="119"/>
      <c r="H42" s="119"/>
      <c r="I42" s="119"/>
      <c r="J42" s="124"/>
      <c r="K42" s="143" t="str">
        <f t="shared" si="0"/>
        <v/>
      </c>
      <c r="L42" s="143" t="str">
        <f t="shared" si="1"/>
        <v/>
      </c>
      <c r="M42" s="146" t="str">
        <f t="shared" si="2"/>
        <v/>
      </c>
      <c r="N42" s="123"/>
      <c r="O42" s="119"/>
      <c r="P42" s="124"/>
      <c r="Q42" s="143" t="str">
        <f t="shared" si="3"/>
        <v/>
      </c>
      <c r="R42" s="143" t="str">
        <f t="shared" si="4"/>
        <v/>
      </c>
      <c r="S42" s="143" t="str">
        <f t="shared" si="5"/>
        <v/>
      </c>
      <c r="T42" s="123"/>
      <c r="U42" s="119"/>
      <c r="V42" s="124"/>
      <c r="W42" s="143" t="str">
        <f t="shared" si="6"/>
        <v/>
      </c>
      <c r="X42" s="143" t="str">
        <f t="shared" si="7"/>
        <v/>
      </c>
      <c r="Y42" s="143" t="str">
        <f t="shared" si="8"/>
        <v/>
      </c>
      <c r="Z42" s="150" t="str">
        <f t="shared" si="9"/>
        <v/>
      </c>
      <c r="AA42" s="143" t="str">
        <f t="shared" si="10"/>
        <v/>
      </c>
      <c r="AB42" s="152" t="str">
        <f t="shared" si="11"/>
        <v/>
      </c>
      <c r="AC42" s="158" t="str">
        <f>IF(AB42="","",IFERROR(INDEX(HELPER!$D$8:$D$48,IF(AB42&gt;=HELPER!$B$8,1,MATCH(AB42,HELPER!$B$8:$B$48,-1)+1)),""))</f>
        <v/>
      </c>
      <c r="AD42" s="155" t="str">
        <f>IF(AC42="","",IFERROR(VLOOKUP(AC42,HELPER!$F$8:$G$48,2,FALSE),""))</f>
        <v/>
      </c>
      <c r="AE42" s="135"/>
      <c r="AF42" s="90"/>
    </row>
    <row r="43" spans="1:32" ht="15" customHeight="1" x14ac:dyDescent="0.25">
      <c r="A43" s="135"/>
      <c r="B43" s="66">
        <v>26</v>
      </c>
      <c r="C43" s="204" t="str">
        <f>IF('INPUT DATA'!K36="","",'INPUT DATA'!K36)</f>
        <v/>
      </c>
      <c r="D43" s="205"/>
      <c r="E43" s="205"/>
      <c r="F43" s="123"/>
      <c r="G43" s="119"/>
      <c r="H43" s="119"/>
      <c r="I43" s="119"/>
      <c r="J43" s="124"/>
      <c r="K43" s="143" t="str">
        <f t="shared" si="0"/>
        <v/>
      </c>
      <c r="L43" s="143" t="str">
        <f t="shared" si="1"/>
        <v/>
      </c>
      <c r="M43" s="146" t="str">
        <f t="shared" si="2"/>
        <v/>
      </c>
      <c r="N43" s="123"/>
      <c r="O43" s="119"/>
      <c r="P43" s="124"/>
      <c r="Q43" s="143" t="str">
        <f t="shared" si="3"/>
        <v/>
      </c>
      <c r="R43" s="143" t="str">
        <f t="shared" si="4"/>
        <v/>
      </c>
      <c r="S43" s="143" t="str">
        <f t="shared" si="5"/>
        <v/>
      </c>
      <c r="T43" s="123"/>
      <c r="U43" s="119"/>
      <c r="V43" s="124"/>
      <c r="W43" s="143" t="str">
        <f t="shared" si="6"/>
        <v/>
      </c>
      <c r="X43" s="143" t="str">
        <f t="shared" si="7"/>
        <v/>
      </c>
      <c r="Y43" s="143" t="str">
        <f t="shared" si="8"/>
        <v/>
      </c>
      <c r="Z43" s="150" t="str">
        <f t="shared" si="9"/>
        <v/>
      </c>
      <c r="AA43" s="143" t="str">
        <f t="shared" si="10"/>
        <v/>
      </c>
      <c r="AB43" s="152" t="str">
        <f t="shared" si="11"/>
        <v/>
      </c>
      <c r="AC43" s="158" t="str">
        <f>IF(AB43="","",IFERROR(INDEX(HELPER!$D$8:$D$48,IF(AB43&gt;=HELPER!$B$8,1,MATCH(AB43,HELPER!$B$8:$B$48,-1)+1)),""))</f>
        <v/>
      </c>
      <c r="AD43" s="155" t="str">
        <f>IF(AC43="","",IFERROR(VLOOKUP(AC43,HELPER!$F$8:$G$48,2,FALSE),""))</f>
        <v/>
      </c>
      <c r="AE43" s="135"/>
      <c r="AF43" s="90"/>
    </row>
    <row r="44" spans="1:32" ht="15" customHeight="1" x14ac:dyDescent="0.25">
      <c r="A44" s="135"/>
      <c r="B44" s="66">
        <v>27</v>
      </c>
      <c r="C44" s="204" t="str">
        <f>IF('INPUT DATA'!K37="","",'INPUT DATA'!K37)</f>
        <v/>
      </c>
      <c r="D44" s="205"/>
      <c r="E44" s="205"/>
      <c r="F44" s="123"/>
      <c r="G44" s="119"/>
      <c r="H44" s="119"/>
      <c r="I44" s="119"/>
      <c r="J44" s="124"/>
      <c r="K44" s="143" t="str">
        <f t="shared" si="0"/>
        <v/>
      </c>
      <c r="L44" s="143" t="str">
        <f t="shared" si="1"/>
        <v/>
      </c>
      <c r="M44" s="146" t="str">
        <f t="shared" si="2"/>
        <v/>
      </c>
      <c r="N44" s="123"/>
      <c r="O44" s="119"/>
      <c r="P44" s="124"/>
      <c r="Q44" s="143" t="str">
        <f t="shared" si="3"/>
        <v/>
      </c>
      <c r="R44" s="143" t="str">
        <f t="shared" si="4"/>
        <v/>
      </c>
      <c r="S44" s="143" t="str">
        <f t="shared" si="5"/>
        <v/>
      </c>
      <c r="T44" s="123"/>
      <c r="U44" s="119"/>
      <c r="V44" s="124"/>
      <c r="W44" s="143" t="str">
        <f t="shared" si="6"/>
        <v/>
      </c>
      <c r="X44" s="143" t="str">
        <f t="shared" si="7"/>
        <v/>
      </c>
      <c r="Y44" s="143" t="str">
        <f t="shared" si="8"/>
        <v/>
      </c>
      <c r="Z44" s="150" t="str">
        <f t="shared" si="9"/>
        <v/>
      </c>
      <c r="AA44" s="143" t="str">
        <f t="shared" si="10"/>
        <v/>
      </c>
      <c r="AB44" s="152" t="str">
        <f t="shared" si="11"/>
        <v/>
      </c>
      <c r="AC44" s="158" t="str">
        <f>IF(AB44="","",IFERROR(INDEX(HELPER!$D$8:$D$48,IF(AB44&gt;=HELPER!$B$8,1,MATCH(AB44,HELPER!$B$8:$B$48,-1)+1)),""))</f>
        <v/>
      </c>
      <c r="AD44" s="155" t="str">
        <f>IF(AC44="","",IFERROR(VLOOKUP(AC44,HELPER!$F$8:$G$48,2,FALSE),""))</f>
        <v/>
      </c>
      <c r="AE44" s="135"/>
      <c r="AF44" s="90"/>
    </row>
    <row r="45" spans="1:32" ht="15" customHeight="1" x14ac:dyDescent="0.25">
      <c r="A45" s="135"/>
      <c r="B45" s="66">
        <v>28</v>
      </c>
      <c r="C45" s="204" t="str">
        <f>IF('INPUT DATA'!K38="","",'INPUT DATA'!K38)</f>
        <v/>
      </c>
      <c r="D45" s="205"/>
      <c r="E45" s="205"/>
      <c r="F45" s="123"/>
      <c r="G45" s="119"/>
      <c r="H45" s="119"/>
      <c r="I45" s="119"/>
      <c r="J45" s="124"/>
      <c r="K45" s="143" t="str">
        <f t="shared" si="0"/>
        <v/>
      </c>
      <c r="L45" s="143" t="str">
        <f t="shared" si="1"/>
        <v/>
      </c>
      <c r="M45" s="146" t="str">
        <f t="shared" si="2"/>
        <v/>
      </c>
      <c r="N45" s="123"/>
      <c r="O45" s="119"/>
      <c r="P45" s="124"/>
      <c r="Q45" s="143" t="str">
        <f t="shared" si="3"/>
        <v/>
      </c>
      <c r="R45" s="143" t="str">
        <f t="shared" si="4"/>
        <v/>
      </c>
      <c r="S45" s="143" t="str">
        <f t="shared" si="5"/>
        <v/>
      </c>
      <c r="T45" s="123"/>
      <c r="U45" s="119"/>
      <c r="V45" s="124"/>
      <c r="W45" s="143" t="str">
        <f t="shared" si="6"/>
        <v/>
      </c>
      <c r="X45" s="143" t="str">
        <f t="shared" si="7"/>
        <v/>
      </c>
      <c r="Y45" s="143" t="str">
        <f t="shared" si="8"/>
        <v/>
      </c>
      <c r="Z45" s="150" t="str">
        <f t="shared" si="9"/>
        <v/>
      </c>
      <c r="AA45" s="143" t="str">
        <f t="shared" si="10"/>
        <v/>
      </c>
      <c r="AB45" s="152" t="str">
        <f t="shared" si="11"/>
        <v/>
      </c>
      <c r="AC45" s="158" t="str">
        <f>IF(AB45="","",IFERROR(INDEX(HELPER!$D$8:$D$48,IF(AB45&gt;=HELPER!$B$8,1,MATCH(AB45,HELPER!$B$8:$B$48,-1)+1)),""))</f>
        <v/>
      </c>
      <c r="AD45" s="155" t="str">
        <f>IF(AC45="","",IFERROR(VLOOKUP(AC45,HELPER!$F$8:$G$48,2,FALSE),""))</f>
        <v/>
      </c>
      <c r="AE45" s="135"/>
      <c r="AF45" s="90"/>
    </row>
    <row r="46" spans="1:32" ht="15" customHeight="1" x14ac:dyDescent="0.25">
      <c r="A46" s="135"/>
      <c r="B46" s="66">
        <v>29</v>
      </c>
      <c r="C46" s="204" t="str">
        <f>IF('INPUT DATA'!K39="","",'INPUT DATA'!K39)</f>
        <v/>
      </c>
      <c r="D46" s="205"/>
      <c r="E46" s="205"/>
      <c r="F46" s="123"/>
      <c r="G46" s="119"/>
      <c r="H46" s="119"/>
      <c r="I46" s="119"/>
      <c r="J46" s="124"/>
      <c r="K46" s="143" t="str">
        <f t="shared" si="0"/>
        <v/>
      </c>
      <c r="L46" s="143" t="str">
        <f t="shared" si="1"/>
        <v/>
      </c>
      <c r="M46" s="146" t="str">
        <f t="shared" si="2"/>
        <v/>
      </c>
      <c r="N46" s="123"/>
      <c r="O46" s="119"/>
      <c r="P46" s="124"/>
      <c r="Q46" s="143" t="str">
        <f t="shared" si="3"/>
        <v/>
      </c>
      <c r="R46" s="143" t="str">
        <f t="shared" si="4"/>
        <v/>
      </c>
      <c r="S46" s="143" t="str">
        <f t="shared" si="5"/>
        <v/>
      </c>
      <c r="T46" s="123"/>
      <c r="U46" s="119"/>
      <c r="V46" s="124"/>
      <c r="W46" s="143" t="str">
        <f t="shared" si="6"/>
        <v/>
      </c>
      <c r="X46" s="143" t="str">
        <f t="shared" si="7"/>
        <v/>
      </c>
      <c r="Y46" s="143" t="str">
        <f t="shared" si="8"/>
        <v/>
      </c>
      <c r="Z46" s="150" t="str">
        <f t="shared" si="9"/>
        <v/>
      </c>
      <c r="AA46" s="143" t="str">
        <f t="shared" si="10"/>
        <v/>
      </c>
      <c r="AB46" s="152" t="str">
        <f t="shared" si="11"/>
        <v/>
      </c>
      <c r="AC46" s="158" t="str">
        <f>IF(AB46="","",IFERROR(INDEX(HELPER!$D$8:$D$48,IF(AB46&gt;=HELPER!$B$8,1,MATCH(AB46,HELPER!$B$8:$B$48,-1)+1)),""))</f>
        <v/>
      </c>
      <c r="AD46" s="155" t="str">
        <f>IF(AC46="","",IFERROR(VLOOKUP(AC46,HELPER!$F$8:$G$48,2,FALSE),""))</f>
        <v/>
      </c>
      <c r="AE46" s="135"/>
      <c r="AF46" s="90"/>
    </row>
    <row r="47" spans="1:32" ht="15" customHeight="1" x14ac:dyDescent="0.25">
      <c r="A47" s="135"/>
      <c r="B47" s="66">
        <v>30</v>
      </c>
      <c r="C47" s="204" t="str">
        <f>IF('INPUT DATA'!K40="","",'INPUT DATA'!K40)</f>
        <v/>
      </c>
      <c r="D47" s="205"/>
      <c r="E47" s="205"/>
      <c r="F47" s="123"/>
      <c r="G47" s="119"/>
      <c r="H47" s="119"/>
      <c r="I47" s="119"/>
      <c r="J47" s="124"/>
      <c r="K47" s="143" t="str">
        <f t="shared" si="0"/>
        <v/>
      </c>
      <c r="L47" s="143" t="str">
        <f t="shared" si="1"/>
        <v/>
      </c>
      <c r="M47" s="146" t="str">
        <f t="shared" si="2"/>
        <v/>
      </c>
      <c r="N47" s="123"/>
      <c r="O47" s="119"/>
      <c r="P47" s="124"/>
      <c r="Q47" s="143" t="str">
        <f t="shared" si="3"/>
        <v/>
      </c>
      <c r="R47" s="143" t="str">
        <f t="shared" si="4"/>
        <v/>
      </c>
      <c r="S47" s="143" t="str">
        <f t="shared" si="5"/>
        <v/>
      </c>
      <c r="T47" s="123"/>
      <c r="U47" s="119"/>
      <c r="V47" s="124"/>
      <c r="W47" s="143" t="str">
        <f t="shared" si="6"/>
        <v/>
      </c>
      <c r="X47" s="143" t="str">
        <f t="shared" si="7"/>
        <v/>
      </c>
      <c r="Y47" s="143" t="str">
        <f t="shared" si="8"/>
        <v/>
      </c>
      <c r="Z47" s="150" t="str">
        <f t="shared" si="9"/>
        <v/>
      </c>
      <c r="AA47" s="143" t="str">
        <f t="shared" si="10"/>
        <v/>
      </c>
      <c r="AB47" s="152" t="str">
        <f t="shared" si="11"/>
        <v/>
      </c>
      <c r="AC47" s="158" t="str">
        <f>IF(AB47="","",IFERROR(INDEX(HELPER!$D$8:$D$48,IF(AB47&gt;=HELPER!$B$8,1,MATCH(AB47,HELPER!$B$8:$B$48,-1)+1)),""))</f>
        <v/>
      </c>
      <c r="AD47" s="155" t="str">
        <f>IF(AC47="","",IFERROR(VLOOKUP(AC47,HELPER!$F$8:$G$48,2,FALSE),""))</f>
        <v/>
      </c>
      <c r="AE47" s="135"/>
      <c r="AF47" s="90"/>
    </row>
    <row r="48" spans="1:32" ht="15" customHeight="1" x14ac:dyDescent="0.25">
      <c r="A48" s="135"/>
      <c r="B48" s="66">
        <v>31</v>
      </c>
      <c r="C48" s="204" t="str">
        <f>IF('INPUT DATA'!K41="","",'INPUT DATA'!K41)</f>
        <v/>
      </c>
      <c r="D48" s="205"/>
      <c r="E48" s="205"/>
      <c r="F48" s="123"/>
      <c r="G48" s="119"/>
      <c r="H48" s="119"/>
      <c r="I48" s="119"/>
      <c r="J48" s="124"/>
      <c r="K48" s="143" t="str">
        <f t="shared" si="0"/>
        <v/>
      </c>
      <c r="L48" s="143" t="str">
        <f t="shared" si="1"/>
        <v/>
      </c>
      <c r="M48" s="146" t="str">
        <f t="shared" si="2"/>
        <v/>
      </c>
      <c r="N48" s="123"/>
      <c r="O48" s="119"/>
      <c r="P48" s="124"/>
      <c r="Q48" s="143" t="str">
        <f t="shared" si="3"/>
        <v/>
      </c>
      <c r="R48" s="143" t="str">
        <f t="shared" si="4"/>
        <v/>
      </c>
      <c r="S48" s="143" t="str">
        <f t="shared" si="5"/>
        <v/>
      </c>
      <c r="T48" s="123"/>
      <c r="U48" s="119"/>
      <c r="V48" s="124"/>
      <c r="W48" s="143" t="str">
        <f t="shared" si="6"/>
        <v/>
      </c>
      <c r="X48" s="143" t="str">
        <f t="shared" si="7"/>
        <v/>
      </c>
      <c r="Y48" s="143" t="str">
        <f t="shared" si="8"/>
        <v/>
      </c>
      <c r="Z48" s="150" t="str">
        <f t="shared" si="9"/>
        <v/>
      </c>
      <c r="AA48" s="143" t="str">
        <f t="shared" si="10"/>
        <v/>
      </c>
      <c r="AB48" s="152" t="str">
        <f t="shared" si="11"/>
        <v/>
      </c>
      <c r="AC48" s="158" t="str">
        <f>IF(AB48="","",IFERROR(INDEX(HELPER!$D$8:$D$48,IF(AB48&gt;=HELPER!$B$8,1,MATCH(AB48,HELPER!$B$8:$B$48,-1)+1)),""))</f>
        <v/>
      </c>
      <c r="AD48" s="155" t="str">
        <f>IF(AC48="","",IFERROR(VLOOKUP(AC48,HELPER!$F$8:$G$48,2,FALSE),""))</f>
        <v/>
      </c>
      <c r="AE48" s="135"/>
      <c r="AF48" s="90"/>
    </row>
    <row r="49" spans="1:32" ht="15" customHeight="1" x14ac:dyDescent="0.25">
      <c r="A49" s="135"/>
      <c r="B49" s="66">
        <v>32</v>
      </c>
      <c r="C49" s="204" t="str">
        <f>IF('INPUT DATA'!K42="","",'INPUT DATA'!K42)</f>
        <v/>
      </c>
      <c r="D49" s="205"/>
      <c r="E49" s="205"/>
      <c r="F49" s="123"/>
      <c r="G49" s="119"/>
      <c r="H49" s="119"/>
      <c r="I49" s="119"/>
      <c r="J49" s="124"/>
      <c r="K49" s="143" t="str">
        <f t="shared" si="0"/>
        <v/>
      </c>
      <c r="L49" s="143" t="str">
        <f t="shared" si="1"/>
        <v/>
      </c>
      <c r="M49" s="146" t="str">
        <f t="shared" si="2"/>
        <v/>
      </c>
      <c r="N49" s="123"/>
      <c r="O49" s="119"/>
      <c r="P49" s="124"/>
      <c r="Q49" s="143" t="str">
        <f t="shared" si="3"/>
        <v/>
      </c>
      <c r="R49" s="143" t="str">
        <f t="shared" si="4"/>
        <v/>
      </c>
      <c r="S49" s="143" t="str">
        <f t="shared" si="5"/>
        <v/>
      </c>
      <c r="T49" s="123"/>
      <c r="U49" s="119"/>
      <c r="V49" s="124"/>
      <c r="W49" s="143" t="str">
        <f t="shared" si="6"/>
        <v/>
      </c>
      <c r="X49" s="143" t="str">
        <f t="shared" si="7"/>
        <v/>
      </c>
      <c r="Y49" s="143" t="str">
        <f t="shared" si="8"/>
        <v/>
      </c>
      <c r="Z49" s="150" t="str">
        <f t="shared" si="9"/>
        <v/>
      </c>
      <c r="AA49" s="143" t="str">
        <f t="shared" si="10"/>
        <v/>
      </c>
      <c r="AB49" s="152" t="str">
        <f t="shared" si="11"/>
        <v/>
      </c>
      <c r="AC49" s="158" t="str">
        <f>IF(AB49="","",IFERROR(INDEX(HELPER!$D$8:$D$48,IF(AB49&gt;=HELPER!$B$8,1,MATCH(AB49,HELPER!$B$8:$B$48,-1)+1)),""))</f>
        <v/>
      </c>
      <c r="AD49" s="155" t="str">
        <f>IF(AC49="","",IFERROR(VLOOKUP(AC49,HELPER!$F$8:$G$48,2,FALSE),""))</f>
        <v/>
      </c>
      <c r="AE49" s="135"/>
      <c r="AF49" s="90"/>
    </row>
    <row r="50" spans="1:32" ht="15" customHeight="1" x14ac:dyDescent="0.25">
      <c r="A50" s="135"/>
      <c r="B50" s="66">
        <v>33</v>
      </c>
      <c r="C50" s="204" t="str">
        <f>IF('INPUT DATA'!K43="","",'INPUT DATA'!K43)</f>
        <v/>
      </c>
      <c r="D50" s="205"/>
      <c r="E50" s="205"/>
      <c r="F50" s="123"/>
      <c r="G50" s="119"/>
      <c r="H50" s="119"/>
      <c r="I50" s="119"/>
      <c r="J50" s="124"/>
      <c r="K50" s="143" t="str">
        <f t="shared" si="0"/>
        <v/>
      </c>
      <c r="L50" s="143" t="str">
        <f t="shared" si="1"/>
        <v/>
      </c>
      <c r="M50" s="146" t="str">
        <f t="shared" si="2"/>
        <v/>
      </c>
      <c r="N50" s="123"/>
      <c r="O50" s="119"/>
      <c r="P50" s="124"/>
      <c r="Q50" s="143" t="str">
        <f t="shared" si="3"/>
        <v/>
      </c>
      <c r="R50" s="143" t="str">
        <f t="shared" si="4"/>
        <v/>
      </c>
      <c r="S50" s="143" t="str">
        <f t="shared" si="5"/>
        <v/>
      </c>
      <c r="T50" s="123"/>
      <c r="U50" s="119"/>
      <c r="V50" s="124"/>
      <c r="W50" s="143" t="str">
        <f t="shared" si="6"/>
        <v/>
      </c>
      <c r="X50" s="143" t="str">
        <f t="shared" si="7"/>
        <v/>
      </c>
      <c r="Y50" s="143" t="str">
        <f t="shared" si="8"/>
        <v/>
      </c>
      <c r="Z50" s="150" t="str">
        <f t="shared" si="9"/>
        <v/>
      </c>
      <c r="AA50" s="143" t="str">
        <f t="shared" si="10"/>
        <v/>
      </c>
      <c r="AB50" s="152" t="str">
        <f t="shared" si="11"/>
        <v/>
      </c>
      <c r="AC50" s="158" t="str">
        <f>IF(AB50="","",IFERROR(INDEX(HELPER!$D$8:$D$48,IF(AB50&gt;=HELPER!$B$8,1,MATCH(AB50,HELPER!$B$8:$B$48,-1)+1)),""))</f>
        <v/>
      </c>
      <c r="AD50" s="155" t="str">
        <f>IF(AC50="","",IFERROR(VLOOKUP(AC50,HELPER!$F$8:$G$48,2,FALSE),""))</f>
        <v/>
      </c>
      <c r="AE50" s="135"/>
      <c r="AF50" s="90"/>
    </row>
    <row r="51" spans="1:32" ht="15" customHeight="1" x14ac:dyDescent="0.25">
      <c r="A51" s="135"/>
      <c r="B51" s="66">
        <v>34</v>
      </c>
      <c r="C51" s="204" t="str">
        <f>IF('INPUT DATA'!K44="","",'INPUT DATA'!K44)</f>
        <v/>
      </c>
      <c r="D51" s="205"/>
      <c r="E51" s="205"/>
      <c r="F51" s="123"/>
      <c r="G51" s="119"/>
      <c r="H51" s="119"/>
      <c r="I51" s="119"/>
      <c r="J51" s="124"/>
      <c r="K51" s="143" t="str">
        <f t="shared" si="0"/>
        <v/>
      </c>
      <c r="L51" s="143" t="str">
        <f t="shared" si="1"/>
        <v/>
      </c>
      <c r="M51" s="146" t="str">
        <f t="shared" si="2"/>
        <v/>
      </c>
      <c r="N51" s="123"/>
      <c r="O51" s="119"/>
      <c r="P51" s="124"/>
      <c r="Q51" s="143" t="str">
        <f t="shared" si="3"/>
        <v/>
      </c>
      <c r="R51" s="143" t="str">
        <f t="shared" si="4"/>
        <v/>
      </c>
      <c r="S51" s="143" t="str">
        <f t="shared" si="5"/>
        <v/>
      </c>
      <c r="T51" s="123"/>
      <c r="U51" s="119"/>
      <c r="V51" s="124"/>
      <c r="W51" s="143" t="str">
        <f t="shared" si="6"/>
        <v/>
      </c>
      <c r="X51" s="143" t="str">
        <f t="shared" si="7"/>
        <v/>
      </c>
      <c r="Y51" s="143" t="str">
        <f t="shared" si="8"/>
        <v/>
      </c>
      <c r="Z51" s="150" t="str">
        <f t="shared" si="9"/>
        <v/>
      </c>
      <c r="AA51" s="143" t="str">
        <f t="shared" si="10"/>
        <v/>
      </c>
      <c r="AB51" s="152" t="str">
        <f t="shared" si="11"/>
        <v/>
      </c>
      <c r="AC51" s="158" t="str">
        <f>IF(AB51="","",IFERROR(INDEX(HELPER!$D$8:$D$48,IF(AB51&gt;=HELPER!$B$8,1,MATCH(AB51,HELPER!$B$8:$B$48,-1)+1)),""))</f>
        <v/>
      </c>
      <c r="AD51" s="155" t="str">
        <f>IF(AC51="","",IFERROR(VLOOKUP(AC51,HELPER!$F$8:$G$48,2,FALSE),""))</f>
        <v/>
      </c>
      <c r="AE51" s="135"/>
      <c r="AF51" s="90"/>
    </row>
    <row r="52" spans="1:32" ht="15" customHeight="1" x14ac:dyDescent="0.25">
      <c r="A52" s="135"/>
      <c r="B52" s="66">
        <v>35</v>
      </c>
      <c r="C52" s="204" t="str">
        <f>IF('INPUT DATA'!K45="","",'INPUT DATA'!K45)</f>
        <v/>
      </c>
      <c r="D52" s="205"/>
      <c r="E52" s="205"/>
      <c r="F52" s="123"/>
      <c r="G52" s="119"/>
      <c r="H52" s="119"/>
      <c r="I52" s="119"/>
      <c r="J52" s="124"/>
      <c r="K52" s="143" t="str">
        <f t="shared" si="0"/>
        <v/>
      </c>
      <c r="L52" s="143" t="str">
        <f t="shared" si="1"/>
        <v/>
      </c>
      <c r="M52" s="146" t="str">
        <f t="shared" si="2"/>
        <v/>
      </c>
      <c r="N52" s="123"/>
      <c r="O52" s="119"/>
      <c r="P52" s="124"/>
      <c r="Q52" s="143" t="str">
        <f t="shared" si="3"/>
        <v/>
      </c>
      <c r="R52" s="143" t="str">
        <f t="shared" si="4"/>
        <v/>
      </c>
      <c r="S52" s="143" t="str">
        <f t="shared" si="5"/>
        <v/>
      </c>
      <c r="T52" s="123"/>
      <c r="U52" s="119"/>
      <c r="V52" s="124"/>
      <c r="W52" s="143" t="str">
        <f t="shared" si="6"/>
        <v/>
      </c>
      <c r="X52" s="143" t="str">
        <f t="shared" si="7"/>
        <v/>
      </c>
      <c r="Y52" s="143" t="str">
        <f t="shared" si="8"/>
        <v/>
      </c>
      <c r="Z52" s="150" t="str">
        <f t="shared" si="9"/>
        <v/>
      </c>
      <c r="AA52" s="143" t="str">
        <f t="shared" si="10"/>
        <v/>
      </c>
      <c r="AB52" s="152" t="str">
        <f t="shared" si="11"/>
        <v/>
      </c>
      <c r="AC52" s="158" t="str">
        <f>IF(AB52="","",IFERROR(INDEX(HELPER!$D$8:$D$48,IF(AB52&gt;=HELPER!$B$8,1,MATCH(AB52,HELPER!$B$8:$B$48,-1)+1)),""))</f>
        <v/>
      </c>
      <c r="AD52" s="155" t="str">
        <f>IF(AC52="","",IFERROR(VLOOKUP(AC52,HELPER!$F$8:$G$48,2,FALSE),""))</f>
        <v/>
      </c>
      <c r="AE52" s="135"/>
      <c r="AF52" s="90"/>
    </row>
    <row r="53" spans="1:32" ht="15" customHeight="1" x14ac:dyDescent="0.25">
      <c r="A53" s="135"/>
      <c r="B53" s="66">
        <v>36</v>
      </c>
      <c r="C53" s="204" t="str">
        <f>IF('INPUT DATA'!K46="","",'INPUT DATA'!K46)</f>
        <v/>
      </c>
      <c r="D53" s="205"/>
      <c r="E53" s="205"/>
      <c r="F53" s="123"/>
      <c r="G53" s="119"/>
      <c r="H53" s="119"/>
      <c r="I53" s="119"/>
      <c r="J53" s="124"/>
      <c r="K53" s="143" t="str">
        <f t="shared" si="0"/>
        <v/>
      </c>
      <c r="L53" s="143" t="str">
        <f t="shared" si="1"/>
        <v/>
      </c>
      <c r="M53" s="146" t="str">
        <f t="shared" si="2"/>
        <v/>
      </c>
      <c r="N53" s="123"/>
      <c r="O53" s="119"/>
      <c r="P53" s="124"/>
      <c r="Q53" s="143" t="str">
        <f t="shared" si="3"/>
        <v/>
      </c>
      <c r="R53" s="143" t="str">
        <f t="shared" si="4"/>
        <v/>
      </c>
      <c r="S53" s="143" t="str">
        <f t="shared" si="5"/>
        <v/>
      </c>
      <c r="T53" s="123"/>
      <c r="U53" s="119"/>
      <c r="V53" s="124"/>
      <c r="W53" s="143" t="str">
        <f t="shared" si="6"/>
        <v/>
      </c>
      <c r="X53" s="143" t="str">
        <f t="shared" si="7"/>
        <v/>
      </c>
      <c r="Y53" s="143" t="str">
        <f t="shared" si="8"/>
        <v/>
      </c>
      <c r="Z53" s="150" t="str">
        <f t="shared" si="9"/>
        <v/>
      </c>
      <c r="AA53" s="143" t="str">
        <f t="shared" si="10"/>
        <v/>
      </c>
      <c r="AB53" s="152" t="str">
        <f t="shared" si="11"/>
        <v/>
      </c>
      <c r="AC53" s="158" t="str">
        <f>IF(AB53="","",IFERROR(INDEX(HELPER!$D$8:$D$48,IF(AB53&gt;=HELPER!$B$8,1,MATCH(AB53,HELPER!$B$8:$B$48,-1)+1)),""))</f>
        <v/>
      </c>
      <c r="AD53" s="155" t="str">
        <f>IF(AC53="","",IFERROR(VLOOKUP(AC53,HELPER!$F$8:$G$48,2,FALSE),""))</f>
        <v/>
      </c>
      <c r="AE53" s="135"/>
      <c r="AF53" s="90"/>
    </row>
    <row r="54" spans="1:32" ht="15" customHeight="1" x14ac:dyDescent="0.25">
      <c r="A54" s="135"/>
      <c r="B54" s="66">
        <v>37</v>
      </c>
      <c r="C54" s="204" t="str">
        <f>IF('INPUT DATA'!K47="","",'INPUT DATA'!K47)</f>
        <v/>
      </c>
      <c r="D54" s="205"/>
      <c r="E54" s="205"/>
      <c r="F54" s="123"/>
      <c r="G54" s="119"/>
      <c r="H54" s="119"/>
      <c r="I54" s="119"/>
      <c r="J54" s="124"/>
      <c r="K54" s="143" t="str">
        <f t="shared" si="0"/>
        <v/>
      </c>
      <c r="L54" s="143" t="str">
        <f t="shared" si="1"/>
        <v/>
      </c>
      <c r="M54" s="146" t="str">
        <f t="shared" si="2"/>
        <v/>
      </c>
      <c r="N54" s="123"/>
      <c r="O54" s="119"/>
      <c r="P54" s="124"/>
      <c r="Q54" s="143" t="str">
        <f t="shared" si="3"/>
        <v/>
      </c>
      <c r="R54" s="143" t="str">
        <f t="shared" si="4"/>
        <v/>
      </c>
      <c r="S54" s="143" t="str">
        <f t="shared" si="5"/>
        <v/>
      </c>
      <c r="T54" s="123"/>
      <c r="U54" s="119"/>
      <c r="V54" s="124"/>
      <c r="W54" s="143" t="str">
        <f t="shared" si="6"/>
        <v/>
      </c>
      <c r="X54" s="143" t="str">
        <f t="shared" si="7"/>
        <v/>
      </c>
      <c r="Y54" s="143" t="str">
        <f t="shared" si="8"/>
        <v/>
      </c>
      <c r="Z54" s="150" t="str">
        <f t="shared" si="9"/>
        <v/>
      </c>
      <c r="AA54" s="143" t="str">
        <f t="shared" si="10"/>
        <v/>
      </c>
      <c r="AB54" s="152" t="str">
        <f t="shared" si="11"/>
        <v/>
      </c>
      <c r="AC54" s="158" t="str">
        <f>IF(AB54="","",IFERROR(INDEX(HELPER!$D$8:$D$48,IF(AB54&gt;=HELPER!$B$8,1,MATCH(AB54,HELPER!$B$8:$B$48,-1)+1)),""))</f>
        <v/>
      </c>
      <c r="AD54" s="155" t="str">
        <f>IF(AC54="","",IFERROR(VLOOKUP(AC54,HELPER!$F$8:$G$48,2,FALSE),""))</f>
        <v/>
      </c>
      <c r="AE54" s="135"/>
      <c r="AF54" s="90"/>
    </row>
    <row r="55" spans="1:32" ht="15" customHeight="1" x14ac:dyDescent="0.25">
      <c r="A55" s="135"/>
      <c r="B55" s="66">
        <v>38</v>
      </c>
      <c r="C55" s="204" t="str">
        <f>IF('INPUT DATA'!K48="","",'INPUT DATA'!K48)</f>
        <v/>
      </c>
      <c r="D55" s="205"/>
      <c r="E55" s="205"/>
      <c r="F55" s="123"/>
      <c r="G55" s="119"/>
      <c r="H55" s="119"/>
      <c r="I55" s="119"/>
      <c r="J55" s="124"/>
      <c r="K55" s="143" t="str">
        <f t="shared" si="0"/>
        <v/>
      </c>
      <c r="L55" s="143" t="str">
        <f t="shared" si="1"/>
        <v/>
      </c>
      <c r="M55" s="146" t="str">
        <f t="shared" si="2"/>
        <v/>
      </c>
      <c r="N55" s="123"/>
      <c r="O55" s="119"/>
      <c r="P55" s="124"/>
      <c r="Q55" s="143" t="str">
        <f t="shared" si="3"/>
        <v/>
      </c>
      <c r="R55" s="143" t="str">
        <f t="shared" si="4"/>
        <v/>
      </c>
      <c r="S55" s="143" t="str">
        <f t="shared" si="5"/>
        <v/>
      </c>
      <c r="T55" s="123"/>
      <c r="U55" s="119"/>
      <c r="V55" s="124"/>
      <c r="W55" s="143" t="str">
        <f t="shared" si="6"/>
        <v/>
      </c>
      <c r="X55" s="143" t="str">
        <f t="shared" si="7"/>
        <v/>
      </c>
      <c r="Y55" s="143" t="str">
        <f t="shared" si="8"/>
        <v/>
      </c>
      <c r="Z55" s="150" t="str">
        <f t="shared" si="9"/>
        <v/>
      </c>
      <c r="AA55" s="143" t="str">
        <f t="shared" si="10"/>
        <v/>
      </c>
      <c r="AB55" s="152" t="str">
        <f t="shared" si="11"/>
        <v/>
      </c>
      <c r="AC55" s="158" t="str">
        <f>IF(AB55="","",IFERROR(INDEX(HELPER!$D$8:$D$48,IF(AB55&gt;=HELPER!$B$8,1,MATCH(AB55,HELPER!$B$8:$B$48,-1)+1)),""))</f>
        <v/>
      </c>
      <c r="AD55" s="155" t="str">
        <f>IF(AC55="","",IFERROR(VLOOKUP(AC55,HELPER!$F$8:$G$48,2,FALSE),""))</f>
        <v/>
      </c>
      <c r="AE55" s="135"/>
      <c r="AF55" s="90"/>
    </row>
    <row r="56" spans="1:32" ht="15" customHeight="1" x14ac:dyDescent="0.25">
      <c r="A56" s="135"/>
      <c r="B56" s="66">
        <v>39</v>
      </c>
      <c r="C56" s="204" t="str">
        <f>IF('INPUT DATA'!K49="","",'INPUT DATA'!K49)</f>
        <v/>
      </c>
      <c r="D56" s="205"/>
      <c r="E56" s="205"/>
      <c r="F56" s="123"/>
      <c r="G56" s="119"/>
      <c r="H56" s="119"/>
      <c r="I56" s="119"/>
      <c r="J56" s="124"/>
      <c r="K56" s="143" t="str">
        <f t="shared" si="0"/>
        <v/>
      </c>
      <c r="L56" s="143" t="str">
        <f t="shared" si="1"/>
        <v/>
      </c>
      <c r="M56" s="146" t="str">
        <f t="shared" si="2"/>
        <v/>
      </c>
      <c r="N56" s="123"/>
      <c r="O56" s="119"/>
      <c r="P56" s="124"/>
      <c r="Q56" s="143" t="str">
        <f t="shared" si="3"/>
        <v/>
      </c>
      <c r="R56" s="143" t="str">
        <f t="shared" si="4"/>
        <v/>
      </c>
      <c r="S56" s="143" t="str">
        <f t="shared" si="5"/>
        <v/>
      </c>
      <c r="T56" s="123"/>
      <c r="U56" s="119"/>
      <c r="V56" s="124"/>
      <c r="W56" s="143" t="str">
        <f t="shared" si="6"/>
        <v/>
      </c>
      <c r="X56" s="143" t="str">
        <f t="shared" si="7"/>
        <v/>
      </c>
      <c r="Y56" s="143" t="str">
        <f t="shared" si="8"/>
        <v/>
      </c>
      <c r="Z56" s="150" t="str">
        <f t="shared" si="9"/>
        <v/>
      </c>
      <c r="AA56" s="143" t="str">
        <f t="shared" si="10"/>
        <v/>
      </c>
      <c r="AB56" s="152" t="str">
        <f t="shared" si="11"/>
        <v/>
      </c>
      <c r="AC56" s="158" t="str">
        <f>IF(AB56="","",IFERROR(INDEX(HELPER!$D$8:$D$48,IF(AB56&gt;=HELPER!$B$8,1,MATCH(AB56,HELPER!$B$8:$B$48,-1)+1)),""))</f>
        <v/>
      </c>
      <c r="AD56" s="155" t="str">
        <f>IF(AC56="","",IFERROR(VLOOKUP(AC56,HELPER!$F$8:$G$48,2,FALSE),""))</f>
        <v/>
      </c>
      <c r="AE56" s="135"/>
      <c r="AF56" s="90"/>
    </row>
    <row r="57" spans="1:32" ht="15" customHeight="1" x14ac:dyDescent="0.25">
      <c r="A57" s="135"/>
      <c r="B57" s="66">
        <v>40</v>
      </c>
      <c r="C57" s="204" t="str">
        <f>IF('INPUT DATA'!K50="","",'INPUT DATA'!K50)</f>
        <v/>
      </c>
      <c r="D57" s="205"/>
      <c r="E57" s="205"/>
      <c r="F57" s="123"/>
      <c r="G57" s="119"/>
      <c r="H57" s="119"/>
      <c r="I57" s="119"/>
      <c r="J57" s="124"/>
      <c r="K57" s="143" t="str">
        <f t="shared" si="0"/>
        <v/>
      </c>
      <c r="L57" s="143" t="str">
        <f t="shared" si="1"/>
        <v/>
      </c>
      <c r="M57" s="146" t="str">
        <f t="shared" si="2"/>
        <v/>
      </c>
      <c r="N57" s="123"/>
      <c r="O57" s="119"/>
      <c r="P57" s="124"/>
      <c r="Q57" s="143" t="str">
        <f t="shared" si="3"/>
        <v/>
      </c>
      <c r="R57" s="143" t="str">
        <f t="shared" si="4"/>
        <v/>
      </c>
      <c r="S57" s="143" t="str">
        <f t="shared" si="5"/>
        <v/>
      </c>
      <c r="T57" s="123"/>
      <c r="U57" s="119"/>
      <c r="V57" s="124"/>
      <c r="W57" s="143" t="str">
        <f t="shared" si="6"/>
        <v/>
      </c>
      <c r="X57" s="143" t="str">
        <f t="shared" si="7"/>
        <v/>
      </c>
      <c r="Y57" s="143" t="str">
        <f t="shared" si="8"/>
        <v/>
      </c>
      <c r="Z57" s="150" t="str">
        <f t="shared" si="9"/>
        <v/>
      </c>
      <c r="AA57" s="143" t="str">
        <f t="shared" si="10"/>
        <v/>
      </c>
      <c r="AB57" s="152" t="str">
        <f t="shared" si="11"/>
        <v/>
      </c>
      <c r="AC57" s="158" t="str">
        <f>IF(AB57="","",IFERROR(INDEX(HELPER!$D$8:$D$48,IF(AB57&gt;=HELPER!$B$8,1,MATCH(AB57,HELPER!$B$8:$B$48,-1)+1)),""))</f>
        <v/>
      </c>
      <c r="AD57" s="155" t="str">
        <f>IF(AC57="","",IFERROR(VLOOKUP(AC57,HELPER!$F$8:$G$48,2,FALSE),""))</f>
        <v/>
      </c>
      <c r="AE57" s="135"/>
      <c r="AF57" s="90"/>
    </row>
    <row r="58" spans="1:32" ht="15" customHeight="1" x14ac:dyDescent="0.25">
      <c r="A58" s="135"/>
      <c r="B58" s="66">
        <v>41</v>
      </c>
      <c r="C58" s="204" t="str">
        <f>IF('INPUT DATA'!K51="","",'INPUT DATA'!K51)</f>
        <v/>
      </c>
      <c r="D58" s="205"/>
      <c r="E58" s="205"/>
      <c r="F58" s="123"/>
      <c r="G58" s="119"/>
      <c r="H58" s="119"/>
      <c r="I58" s="119"/>
      <c r="J58" s="124"/>
      <c r="K58" s="143" t="str">
        <f t="shared" si="0"/>
        <v/>
      </c>
      <c r="L58" s="143" t="str">
        <f t="shared" si="1"/>
        <v/>
      </c>
      <c r="M58" s="146" t="str">
        <f t="shared" si="2"/>
        <v/>
      </c>
      <c r="N58" s="123"/>
      <c r="O58" s="119"/>
      <c r="P58" s="124"/>
      <c r="Q58" s="143" t="str">
        <f t="shared" si="3"/>
        <v/>
      </c>
      <c r="R58" s="143" t="str">
        <f t="shared" si="4"/>
        <v/>
      </c>
      <c r="S58" s="143" t="str">
        <f t="shared" si="5"/>
        <v/>
      </c>
      <c r="T58" s="123"/>
      <c r="U58" s="119"/>
      <c r="V58" s="124"/>
      <c r="W58" s="143" t="str">
        <f t="shared" si="6"/>
        <v/>
      </c>
      <c r="X58" s="143" t="str">
        <f t="shared" si="7"/>
        <v/>
      </c>
      <c r="Y58" s="143" t="str">
        <f t="shared" si="8"/>
        <v/>
      </c>
      <c r="Z58" s="150" t="str">
        <f t="shared" si="9"/>
        <v/>
      </c>
      <c r="AA58" s="143" t="str">
        <f t="shared" si="10"/>
        <v/>
      </c>
      <c r="AB58" s="152" t="str">
        <f t="shared" si="11"/>
        <v/>
      </c>
      <c r="AC58" s="158" t="str">
        <f>IF(AB58="","",IFERROR(INDEX(HELPER!$D$8:$D$48,IF(AB58&gt;=HELPER!$B$8,1,MATCH(AB58,HELPER!$B$8:$B$48,-1)+1)),""))</f>
        <v/>
      </c>
      <c r="AD58" s="155" t="str">
        <f>IF(AC58="","",IFERROR(VLOOKUP(AC58,HELPER!$F$8:$G$48,2,FALSE),""))</f>
        <v/>
      </c>
      <c r="AE58" s="135"/>
      <c r="AF58" s="90"/>
    </row>
    <row r="59" spans="1:32" ht="15" customHeight="1" x14ac:dyDescent="0.25">
      <c r="A59" s="135"/>
      <c r="B59" s="66">
        <v>42</v>
      </c>
      <c r="C59" s="204" t="str">
        <f>IF('INPUT DATA'!K52="","",'INPUT DATA'!K52)</f>
        <v/>
      </c>
      <c r="D59" s="205"/>
      <c r="E59" s="205"/>
      <c r="F59" s="123"/>
      <c r="G59" s="119"/>
      <c r="H59" s="119"/>
      <c r="I59" s="119"/>
      <c r="J59" s="124"/>
      <c r="K59" s="143" t="str">
        <f t="shared" si="0"/>
        <v/>
      </c>
      <c r="L59" s="143" t="str">
        <f t="shared" si="1"/>
        <v/>
      </c>
      <c r="M59" s="146" t="str">
        <f t="shared" si="2"/>
        <v/>
      </c>
      <c r="N59" s="123"/>
      <c r="O59" s="119"/>
      <c r="P59" s="124"/>
      <c r="Q59" s="143" t="str">
        <f t="shared" si="3"/>
        <v/>
      </c>
      <c r="R59" s="143" t="str">
        <f t="shared" si="4"/>
        <v/>
      </c>
      <c r="S59" s="143" t="str">
        <f t="shared" si="5"/>
        <v/>
      </c>
      <c r="T59" s="123"/>
      <c r="U59" s="119"/>
      <c r="V59" s="124"/>
      <c r="W59" s="143" t="str">
        <f t="shared" si="6"/>
        <v/>
      </c>
      <c r="X59" s="143" t="str">
        <f t="shared" si="7"/>
        <v/>
      </c>
      <c r="Y59" s="143" t="str">
        <f t="shared" si="8"/>
        <v/>
      </c>
      <c r="Z59" s="150" t="str">
        <f t="shared" si="9"/>
        <v/>
      </c>
      <c r="AA59" s="143" t="str">
        <f t="shared" si="10"/>
        <v/>
      </c>
      <c r="AB59" s="152" t="str">
        <f t="shared" si="11"/>
        <v/>
      </c>
      <c r="AC59" s="158" t="str">
        <f>IF(AB59="","",IFERROR(INDEX(HELPER!$D$8:$D$48,IF(AB59&gt;=HELPER!$B$8,1,MATCH(AB59,HELPER!$B$8:$B$48,-1)+1)),""))</f>
        <v/>
      </c>
      <c r="AD59" s="155" t="str">
        <f>IF(AC59="","",IFERROR(VLOOKUP(AC59,HELPER!$F$8:$G$48,2,FALSE),""))</f>
        <v/>
      </c>
      <c r="AE59" s="135"/>
      <c r="AF59" s="90"/>
    </row>
    <row r="60" spans="1:32" ht="15" customHeight="1" x14ac:dyDescent="0.25">
      <c r="A60" s="135"/>
      <c r="B60" s="66">
        <v>43</v>
      </c>
      <c r="C60" s="204" t="str">
        <f>IF('INPUT DATA'!K53="","",'INPUT DATA'!K53)</f>
        <v/>
      </c>
      <c r="D60" s="205"/>
      <c r="E60" s="205"/>
      <c r="F60" s="123"/>
      <c r="G60" s="119"/>
      <c r="H60" s="119"/>
      <c r="I60" s="119"/>
      <c r="J60" s="124"/>
      <c r="K60" s="143" t="str">
        <f t="shared" si="0"/>
        <v/>
      </c>
      <c r="L60" s="143" t="str">
        <f t="shared" si="1"/>
        <v/>
      </c>
      <c r="M60" s="146" t="str">
        <f t="shared" si="2"/>
        <v/>
      </c>
      <c r="N60" s="123"/>
      <c r="O60" s="119"/>
      <c r="P60" s="124"/>
      <c r="Q60" s="143" t="str">
        <f t="shared" si="3"/>
        <v/>
      </c>
      <c r="R60" s="143" t="str">
        <f t="shared" si="4"/>
        <v/>
      </c>
      <c r="S60" s="143" t="str">
        <f t="shared" si="5"/>
        <v/>
      </c>
      <c r="T60" s="123"/>
      <c r="U60" s="119"/>
      <c r="V60" s="124"/>
      <c r="W60" s="143" t="str">
        <f t="shared" si="6"/>
        <v/>
      </c>
      <c r="X60" s="143" t="str">
        <f t="shared" si="7"/>
        <v/>
      </c>
      <c r="Y60" s="143" t="str">
        <f t="shared" si="8"/>
        <v/>
      </c>
      <c r="Z60" s="150" t="str">
        <f t="shared" si="9"/>
        <v/>
      </c>
      <c r="AA60" s="143" t="str">
        <f t="shared" si="10"/>
        <v/>
      </c>
      <c r="AB60" s="152" t="str">
        <f t="shared" si="11"/>
        <v/>
      </c>
      <c r="AC60" s="158" t="str">
        <f>IF(AB60="","",IFERROR(INDEX(HELPER!$D$8:$D$48,IF(AB60&gt;=HELPER!$B$8,1,MATCH(AB60,HELPER!$B$8:$B$48,-1)+1)),""))</f>
        <v/>
      </c>
      <c r="AD60" s="155" t="str">
        <f>IF(AC60="","",IFERROR(VLOOKUP(AC60,HELPER!$F$8:$G$48,2,FALSE),""))</f>
        <v/>
      </c>
      <c r="AE60" s="135"/>
      <c r="AF60" s="90"/>
    </row>
    <row r="61" spans="1:32" ht="15" customHeight="1" x14ac:dyDescent="0.25">
      <c r="A61" s="135"/>
      <c r="B61" s="66">
        <v>44</v>
      </c>
      <c r="C61" s="204" t="str">
        <f>IF('INPUT DATA'!K54="","",'INPUT DATA'!K54)</f>
        <v/>
      </c>
      <c r="D61" s="205"/>
      <c r="E61" s="205"/>
      <c r="F61" s="123"/>
      <c r="G61" s="119"/>
      <c r="H61" s="119"/>
      <c r="I61" s="119"/>
      <c r="J61" s="124"/>
      <c r="K61" s="143" t="str">
        <f t="shared" si="0"/>
        <v/>
      </c>
      <c r="L61" s="143" t="str">
        <f t="shared" si="1"/>
        <v/>
      </c>
      <c r="M61" s="146" t="str">
        <f t="shared" si="2"/>
        <v/>
      </c>
      <c r="N61" s="123"/>
      <c r="O61" s="119"/>
      <c r="P61" s="124"/>
      <c r="Q61" s="143" t="str">
        <f t="shared" si="3"/>
        <v/>
      </c>
      <c r="R61" s="143" t="str">
        <f t="shared" si="4"/>
        <v/>
      </c>
      <c r="S61" s="143" t="str">
        <f t="shared" si="5"/>
        <v/>
      </c>
      <c r="T61" s="123"/>
      <c r="U61" s="119"/>
      <c r="V61" s="124"/>
      <c r="W61" s="143" t="str">
        <f t="shared" si="6"/>
        <v/>
      </c>
      <c r="X61" s="143" t="str">
        <f t="shared" si="7"/>
        <v/>
      </c>
      <c r="Y61" s="143" t="str">
        <f t="shared" si="8"/>
        <v/>
      </c>
      <c r="Z61" s="150" t="str">
        <f t="shared" si="9"/>
        <v/>
      </c>
      <c r="AA61" s="143" t="str">
        <f t="shared" si="10"/>
        <v/>
      </c>
      <c r="AB61" s="152" t="str">
        <f t="shared" si="11"/>
        <v/>
      </c>
      <c r="AC61" s="158" t="str">
        <f>IF(AB61="","",IFERROR(INDEX(HELPER!$D$8:$D$48,IF(AB61&gt;=HELPER!$B$8,1,MATCH(AB61,HELPER!$B$8:$B$48,-1)+1)),""))</f>
        <v/>
      </c>
      <c r="AD61" s="155" t="str">
        <f>IF(AC61="","",IFERROR(VLOOKUP(AC61,HELPER!$F$8:$G$48,2,FALSE),""))</f>
        <v/>
      </c>
      <c r="AE61" s="135"/>
      <c r="AF61" s="90"/>
    </row>
    <row r="62" spans="1:32" ht="15" customHeight="1" x14ac:dyDescent="0.25">
      <c r="A62" s="135"/>
      <c r="B62" s="66">
        <v>45</v>
      </c>
      <c r="C62" s="204" t="str">
        <f>IF('INPUT DATA'!K55="","",'INPUT DATA'!K55)</f>
        <v/>
      </c>
      <c r="D62" s="205"/>
      <c r="E62" s="205"/>
      <c r="F62" s="123"/>
      <c r="G62" s="119"/>
      <c r="H62" s="119"/>
      <c r="I62" s="119"/>
      <c r="J62" s="124"/>
      <c r="K62" s="143" t="str">
        <f t="shared" si="0"/>
        <v/>
      </c>
      <c r="L62" s="143" t="str">
        <f t="shared" si="1"/>
        <v/>
      </c>
      <c r="M62" s="146" t="str">
        <f t="shared" si="2"/>
        <v/>
      </c>
      <c r="N62" s="123"/>
      <c r="O62" s="119"/>
      <c r="P62" s="124"/>
      <c r="Q62" s="143" t="str">
        <f t="shared" si="3"/>
        <v/>
      </c>
      <c r="R62" s="143" t="str">
        <f t="shared" si="4"/>
        <v/>
      </c>
      <c r="S62" s="143" t="str">
        <f t="shared" si="5"/>
        <v/>
      </c>
      <c r="T62" s="123"/>
      <c r="U62" s="119"/>
      <c r="V62" s="124"/>
      <c r="W62" s="143" t="str">
        <f t="shared" si="6"/>
        <v/>
      </c>
      <c r="X62" s="143" t="str">
        <f t="shared" si="7"/>
        <v/>
      </c>
      <c r="Y62" s="143" t="str">
        <f t="shared" si="8"/>
        <v/>
      </c>
      <c r="Z62" s="150" t="str">
        <f t="shared" si="9"/>
        <v/>
      </c>
      <c r="AA62" s="143" t="str">
        <f t="shared" si="10"/>
        <v/>
      </c>
      <c r="AB62" s="152" t="str">
        <f t="shared" si="11"/>
        <v/>
      </c>
      <c r="AC62" s="158" t="str">
        <f>IF(AB62="","",IFERROR(INDEX(HELPER!$D$8:$D$48,IF(AB62&gt;=HELPER!$B$8,1,MATCH(AB62,HELPER!$B$8:$B$48,-1)+1)),""))</f>
        <v/>
      </c>
      <c r="AD62" s="155" t="str">
        <f>IF(AC62="","",IFERROR(VLOOKUP(AC62,HELPER!$F$8:$G$48,2,FALSE),""))</f>
        <v/>
      </c>
      <c r="AE62" s="135"/>
      <c r="AF62" s="90"/>
    </row>
    <row r="63" spans="1:32" ht="15" customHeight="1" x14ac:dyDescent="0.25">
      <c r="A63" s="135"/>
      <c r="B63" s="66">
        <v>46</v>
      </c>
      <c r="C63" s="204" t="str">
        <f>IF('INPUT DATA'!K56="","",'INPUT DATA'!K56)</f>
        <v/>
      </c>
      <c r="D63" s="205"/>
      <c r="E63" s="205"/>
      <c r="F63" s="123"/>
      <c r="G63" s="119"/>
      <c r="H63" s="119"/>
      <c r="I63" s="119"/>
      <c r="J63" s="124"/>
      <c r="K63" s="143" t="str">
        <f t="shared" si="0"/>
        <v/>
      </c>
      <c r="L63" s="143" t="str">
        <f t="shared" si="1"/>
        <v/>
      </c>
      <c r="M63" s="146" t="str">
        <f t="shared" si="2"/>
        <v/>
      </c>
      <c r="N63" s="123"/>
      <c r="O63" s="119"/>
      <c r="P63" s="124"/>
      <c r="Q63" s="143" t="str">
        <f t="shared" si="3"/>
        <v/>
      </c>
      <c r="R63" s="143" t="str">
        <f t="shared" si="4"/>
        <v/>
      </c>
      <c r="S63" s="143" t="str">
        <f t="shared" si="5"/>
        <v/>
      </c>
      <c r="T63" s="123"/>
      <c r="U63" s="119"/>
      <c r="V63" s="124"/>
      <c r="W63" s="143" t="str">
        <f t="shared" si="6"/>
        <v/>
      </c>
      <c r="X63" s="143" t="str">
        <f t="shared" si="7"/>
        <v/>
      </c>
      <c r="Y63" s="143" t="str">
        <f t="shared" si="8"/>
        <v/>
      </c>
      <c r="Z63" s="150" t="str">
        <f t="shared" si="9"/>
        <v/>
      </c>
      <c r="AA63" s="143" t="str">
        <f t="shared" si="10"/>
        <v/>
      </c>
      <c r="AB63" s="152" t="str">
        <f t="shared" si="11"/>
        <v/>
      </c>
      <c r="AC63" s="158" t="str">
        <f>IF(AB63="","",IFERROR(INDEX(HELPER!$D$8:$D$48,IF(AB63&gt;=HELPER!$B$8,1,MATCH(AB63,HELPER!$B$8:$B$48,-1)+1)),""))</f>
        <v/>
      </c>
      <c r="AD63" s="155" t="str">
        <f>IF(AC63="","",IFERROR(VLOOKUP(AC63,HELPER!$F$8:$G$48,2,FALSE),""))</f>
        <v/>
      </c>
      <c r="AE63" s="135"/>
      <c r="AF63" s="90"/>
    </row>
    <row r="64" spans="1:32" ht="15" customHeight="1" x14ac:dyDescent="0.25">
      <c r="A64" s="135"/>
      <c r="B64" s="66">
        <v>47</v>
      </c>
      <c r="C64" s="204" t="str">
        <f>IF('INPUT DATA'!K57="","",'INPUT DATA'!K57)</f>
        <v/>
      </c>
      <c r="D64" s="205"/>
      <c r="E64" s="205"/>
      <c r="F64" s="123"/>
      <c r="G64" s="119"/>
      <c r="H64" s="119"/>
      <c r="I64" s="119"/>
      <c r="J64" s="124"/>
      <c r="K64" s="143" t="str">
        <f t="shared" si="0"/>
        <v/>
      </c>
      <c r="L64" s="143" t="str">
        <f t="shared" si="1"/>
        <v/>
      </c>
      <c r="M64" s="146" t="str">
        <f t="shared" si="2"/>
        <v/>
      </c>
      <c r="N64" s="123"/>
      <c r="O64" s="119"/>
      <c r="P64" s="124"/>
      <c r="Q64" s="143" t="str">
        <f t="shared" si="3"/>
        <v/>
      </c>
      <c r="R64" s="143" t="str">
        <f t="shared" si="4"/>
        <v/>
      </c>
      <c r="S64" s="143" t="str">
        <f t="shared" si="5"/>
        <v/>
      </c>
      <c r="T64" s="123"/>
      <c r="U64" s="119"/>
      <c r="V64" s="124"/>
      <c r="W64" s="143" t="str">
        <f t="shared" si="6"/>
        <v/>
      </c>
      <c r="X64" s="143" t="str">
        <f t="shared" si="7"/>
        <v/>
      </c>
      <c r="Y64" s="143" t="str">
        <f t="shared" si="8"/>
        <v/>
      </c>
      <c r="Z64" s="150" t="str">
        <f t="shared" si="9"/>
        <v/>
      </c>
      <c r="AA64" s="143" t="str">
        <f t="shared" si="10"/>
        <v/>
      </c>
      <c r="AB64" s="152" t="str">
        <f t="shared" si="11"/>
        <v/>
      </c>
      <c r="AC64" s="158" t="str">
        <f>IF(AB64="","",IFERROR(INDEX(HELPER!$D$8:$D$48,IF(AB64&gt;=HELPER!$B$8,1,MATCH(AB64,HELPER!$B$8:$B$48,-1)+1)),""))</f>
        <v/>
      </c>
      <c r="AD64" s="155" t="str">
        <f>IF(AC64="","",IFERROR(VLOOKUP(AC64,HELPER!$F$8:$G$48,2,FALSE),""))</f>
        <v/>
      </c>
      <c r="AE64" s="135"/>
      <c r="AF64" s="90"/>
    </row>
    <row r="65" spans="1:32" ht="15" customHeight="1" x14ac:dyDescent="0.25">
      <c r="A65" s="135"/>
      <c r="B65" s="66">
        <v>48</v>
      </c>
      <c r="C65" s="204" t="str">
        <f>IF('INPUT DATA'!K58="","",'INPUT DATA'!K58)</f>
        <v/>
      </c>
      <c r="D65" s="205"/>
      <c r="E65" s="205"/>
      <c r="F65" s="123"/>
      <c r="G65" s="119"/>
      <c r="H65" s="119"/>
      <c r="I65" s="119"/>
      <c r="J65" s="124"/>
      <c r="K65" s="143" t="str">
        <f t="shared" si="0"/>
        <v/>
      </c>
      <c r="L65" s="143" t="str">
        <f t="shared" si="1"/>
        <v/>
      </c>
      <c r="M65" s="146" t="str">
        <f t="shared" si="2"/>
        <v/>
      </c>
      <c r="N65" s="123"/>
      <c r="O65" s="119"/>
      <c r="P65" s="124"/>
      <c r="Q65" s="143" t="str">
        <f t="shared" si="3"/>
        <v/>
      </c>
      <c r="R65" s="143" t="str">
        <f t="shared" si="4"/>
        <v/>
      </c>
      <c r="S65" s="143" t="str">
        <f t="shared" si="5"/>
        <v/>
      </c>
      <c r="T65" s="123"/>
      <c r="U65" s="119"/>
      <c r="V65" s="124"/>
      <c r="W65" s="143" t="str">
        <f t="shared" si="6"/>
        <v/>
      </c>
      <c r="X65" s="143" t="str">
        <f t="shared" si="7"/>
        <v/>
      </c>
      <c r="Y65" s="143" t="str">
        <f t="shared" si="8"/>
        <v/>
      </c>
      <c r="Z65" s="150" t="str">
        <f t="shared" si="9"/>
        <v/>
      </c>
      <c r="AA65" s="143" t="str">
        <f t="shared" si="10"/>
        <v/>
      </c>
      <c r="AB65" s="152" t="str">
        <f t="shared" si="11"/>
        <v/>
      </c>
      <c r="AC65" s="158" t="str">
        <f>IF(AB65="","",IFERROR(INDEX(HELPER!$D$8:$D$48,IF(AB65&gt;=HELPER!$B$8,1,MATCH(AB65,HELPER!$B$8:$B$48,-1)+1)),""))</f>
        <v/>
      </c>
      <c r="AD65" s="155" t="str">
        <f>IF(AC65="","",IFERROR(VLOOKUP(AC65,HELPER!$F$8:$G$48,2,FALSE),""))</f>
        <v/>
      </c>
      <c r="AE65" s="135"/>
      <c r="AF65" s="90"/>
    </row>
    <row r="66" spans="1:32" ht="15" customHeight="1" x14ac:dyDescent="0.25">
      <c r="A66" s="135"/>
      <c r="B66" s="66">
        <v>49</v>
      </c>
      <c r="C66" s="204" t="str">
        <f>IF('INPUT DATA'!K59="","",'INPUT DATA'!K59)</f>
        <v/>
      </c>
      <c r="D66" s="205"/>
      <c r="E66" s="205"/>
      <c r="F66" s="123"/>
      <c r="G66" s="119"/>
      <c r="H66" s="119"/>
      <c r="I66" s="119"/>
      <c r="J66" s="124"/>
      <c r="K66" s="143" t="str">
        <f t="shared" si="0"/>
        <v/>
      </c>
      <c r="L66" s="143" t="str">
        <f t="shared" si="1"/>
        <v/>
      </c>
      <c r="M66" s="146" t="str">
        <f t="shared" si="2"/>
        <v/>
      </c>
      <c r="N66" s="123"/>
      <c r="O66" s="119"/>
      <c r="P66" s="124"/>
      <c r="Q66" s="143" t="str">
        <f t="shared" si="3"/>
        <v/>
      </c>
      <c r="R66" s="143" t="str">
        <f t="shared" si="4"/>
        <v/>
      </c>
      <c r="S66" s="143" t="str">
        <f t="shared" si="5"/>
        <v/>
      </c>
      <c r="T66" s="123"/>
      <c r="U66" s="119"/>
      <c r="V66" s="124"/>
      <c r="W66" s="143" t="str">
        <f t="shared" si="6"/>
        <v/>
      </c>
      <c r="X66" s="143" t="str">
        <f t="shared" si="7"/>
        <v/>
      </c>
      <c r="Y66" s="143" t="str">
        <f t="shared" si="8"/>
        <v/>
      </c>
      <c r="Z66" s="150" t="str">
        <f t="shared" si="9"/>
        <v/>
      </c>
      <c r="AA66" s="143" t="str">
        <f t="shared" si="10"/>
        <v/>
      </c>
      <c r="AB66" s="152" t="str">
        <f t="shared" si="11"/>
        <v/>
      </c>
      <c r="AC66" s="158" t="str">
        <f>IF(AB66="","",IFERROR(INDEX(HELPER!$D$8:$D$48,IF(AB66&gt;=HELPER!$B$8,1,MATCH(AB66,HELPER!$B$8:$B$48,-1)+1)),""))</f>
        <v/>
      </c>
      <c r="AD66" s="155" t="str">
        <f>IF(AC66="","",IFERROR(VLOOKUP(AC66,HELPER!$F$8:$G$48,2,FALSE),""))</f>
        <v/>
      </c>
      <c r="AE66" s="135"/>
      <c r="AF66" s="90"/>
    </row>
    <row r="67" spans="1:32" ht="15" customHeight="1" thickBot="1" x14ac:dyDescent="0.3">
      <c r="A67" s="135"/>
      <c r="B67" s="66">
        <v>50</v>
      </c>
      <c r="C67" s="204" t="str">
        <f>IF('INPUT DATA'!K60="","",'INPUT DATA'!K60)</f>
        <v/>
      </c>
      <c r="D67" s="205"/>
      <c r="E67" s="205"/>
      <c r="F67" s="125"/>
      <c r="G67" s="126"/>
      <c r="H67" s="126"/>
      <c r="I67" s="126"/>
      <c r="J67" s="127"/>
      <c r="K67" s="144" t="str">
        <f t="shared" si="0"/>
        <v/>
      </c>
      <c r="L67" s="144" t="str">
        <f t="shared" si="1"/>
        <v/>
      </c>
      <c r="M67" s="147" t="str">
        <f t="shared" si="2"/>
        <v/>
      </c>
      <c r="N67" s="125"/>
      <c r="O67" s="126"/>
      <c r="P67" s="127"/>
      <c r="Q67" s="144" t="str">
        <f t="shared" si="3"/>
        <v/>
      </c>
      <c r="R67" s="144" t="str">
        <f t="shared" si="4"/>
        <v/>
      </c>
      <c r="S67" s="144" t="str">
        <f t="shared" si="5"/>
        <v/>
      </c>
      <c r="T67" s="125"/>
      <c r="U67" s="126"/>
      <c r="V67" s="127"/>
      <c r="W67" s="144" t="str">
        <f t="shared" si="6"/>
        <v/>
      </c>
      <c r="X67" s="144" t="str">
        <f t="shared" si="7"/>
        <v/>
      </c>
      <c r="Y67" s="144" t="str">
        <f t="shared" si="8"/>
        <v/>
      </c>
      <c r="Z67" s="148" t="str">
        <f t="shared" si="9"/>
        <v/>
      </c>
      <c r="AA67" s="144" t="str">
        <f t="shared" si="10"/>
        <v/>
      </c>
      <c r="AB67" s="153" t="str">
        <f t="shared" si="11"/>
        <v/>
      </c>
      <c r="AC67" s="159" t="str">
        <f>IF(AB67="","",IFERROR(INDEX(HELPER!$D$8:$D$48,IF(AB67&gt;=HELPER!$B$8,1,MATCH(AB67,HELPER!$B$8:$B$48,-1)+1)),""))</f>
        <v/>
      </c>
      <c r="AD67" s="156" t="str">
        <f>IF(AC67="","",IFERROR(VLOOKUP(AC67,HELPER!$F$8:$G$48,2,FALSE),""))</f>
        <v/>
      </c>
      <c r="AE67" s="135"/>
      <c r="AF67" s="90"/>
    </row>
    <row r="68" spans="1:32" ht="14.4" customHeight="1" thickBot="1" x14ac:dyDescent="0.3">
      <c r="A68" s="135"/>
      <c r="B68" s="245" t="s">
        <v>6</v>
      </c>
      <c r="C68" s="242"/>
      <c r="D68" s="242"/>
      <c r="E68" s="242"/>
      <c r="F68" s="246"/>
      <c r="G68" s="246"/>
      <c r="H68" s="246"/>
      <c r="I68" s="246"/>
      <c r="J68" s="246"/>
      <c r="K68" s="246"/>
      <c r="L68" s="246"/>
      <c r="M68" s="246"/>
      <c r="N68" s="246"/>
      <c r="O68" s="246"/>
      <c r="P68" s="246"/>
      <c r="Q68" s="246"/>
      <c r="R68" s="246"/>
      <c r="S68" s="246"/>
      <c r="T68" s="246"/>
      <c r="U68" s="246"/>
      <c r="V68" s="246"/>
      <c r="W68" s="246"/>
      <c r="X68" s="246"/>
      <c r="Y68" s="246"/>
      <c r="Z68" s="246"/>
      <c r="AA68" s="246"/>
      <c r="AB68" s="246"/>
      <c r="AC68" s="246"/>
      <c r="AD68" s="247"/>
      <c r="AE68" s="135"/>
      <c r="AF68" s="90"/>
    </row>
    <row r="69" spans="1:32" ht="15" customHeight="1" x14ac:dyDescent="0.25">
      <c r="A69" s="135"/>
      <c r="B69" s="110">
        <v>1</v>
      </c>
      <c r="C69" s="236" t="str">
        <f>IF('INPUT DATA'!N11="","",'INPUT DATA'!N11)</f>
        <v/>
      </c>
      <c r="D69" s="237"/>
      <c r="E69" s="237"/>
      <c r="F69" s="120"/>
      <c r="G69" s="121"/>
      <c r="H69" s="121"/>
      <c r="I69" s="121"/>
      <c r="J69" s="122"/>
      <c r="K69" s="142" t="str">
        <f t="shared" si="0"/>
        <v/>
      </c>
      <c r="L69" s="142" t="str">
        <f t="shared" ref="L69:L118" si="12">IF(COUNT(F69:J69)=0,"",IFERROR(K69/$K$15*$L$15,""))</f>
        <v/>
      </c>
      <c r="M69" s="145" t="str">
        <f t="shared" ref="M69:M118" si="13">IF(L69="","",L69*$M$15)</f>
        <v/>
      </c>
      <c r="N69" s="120"/>
      <c r="O69" s="121"/>
      <c r="P69" s="122"/>
      <c r="Q69" s="142" t="str">
        <f t="shared" ref="Q69:Q118" si="14">IF(COUNT(N69:P69)=0,"",SUM(N69:P69))</f>
        <v/>
      </c>
      <c r="R69" s="142" t="str">
        <f t="shared" ref="R69:R118" si="15">IF(COUNT(N69:P69)=0,"",IFERROR(Q69/$Q$15*$R$15,""))</f>
        <v/>
      </c>
      <c r="S69" s="142" t="str">
        <f t="shared" ref="S69:S118" si="16">IF(R69="","",R69*$S$15)</f>
        <v/>
      </c>
      <c r="T69" s="120"/>
      <c r="U69" s="121"/>
      <c r="V69" s="122"/>
      <c r="W69" s="142" t="str">
        <f t="shared" ref="W69:W118" si="17">IF(T69="","",IFERROR(T69/$T$15*$W$15,""))</f>
        <v/>
      </c>
      <c r="X69" s="142" t="str">
        <f t="shared" ref="X69:X118" si="18">IF(U69="","",IFERROR(U69/$U$15*$X$15,""))</f>
        <v/>
      </c>
      <c r="Y69" s="142" t="str">
        <f t="shared" ref="Y69:Y118" si="19">IF(V69="","",IFERROR(V69/$V$15*$Y$15,""))</f>
        <v/>
      </c>
      <c r="Z69" s="149" t="str">
        <f t="shared" ref="Z69:Z118" si="20">IF(COUNT(T69:V69)=0,"",SUM(W69:Y69))</f>
        <v/>
      </c>
      <c r="AA69" s="142" t="str">
        <f t="shared" ref="AA69:AA118" si="21">IF(Z69="","",Z69*$AA$15)</f>
        <v/>
      </c>
      <c r="AB69" s="151" t="str">
        <f t="shared" ref="AB69:AB118" si="22">IF(COUNT(F69:J69,N69:P69,T69:V69)=0,"",SUM(M69,S69,AA69))</f>
        <v/>
      </c>
      <c r="AC69" s="157" t="str">
        <f>IF(AB69="","",IFERROR(INDEX(HELPER!$D$8:$D$48,IF(AB69&gt;=HELPER!$B$8,1,MATCH(AB69,HELPER!$B$8:$B$48,-1)+1)),""))</f>
        <v/>
      </c>
      <c r="AD69" s="154" t="str">
        <f>IF(AC69="","",IFERROR(VLOOKUP(AC69,HELPER!$F$8:$G$48,2,FALSE),""))</f>
        <v/>
      </c>
      <c r="AE69" s="135"/>
      <c r="AF69" s="90"/>
    </row>
    <row r="70" spans="1:32" ht="15" customHeight="1" x14ac:dyDescent="0.25">
      <c r="A70" s="135"/>
      <c r="B70" s="111">
        <v>2</v>
      </c>
      <c r="C70" s="209" t="str">
        <f>IF('INPUT DATA'!N12="","",'INPUT DATA'!N12)</f>
        <v/>
      </c>
      <c r="D70" s="210"/>
      <c r="E70" s="210"/>
      <c r="F70" s="123"/>
      <c r="G70" s="119"/>
      <c r="H70" s="119"/>
      <c r="I70" s="119"/>
      <c r="J70" s="124"/>
      <c r="K70" s="143" t="str">
        <f t="shared" si="0"/>
        <v/>
      </c>
      <c r="L70" s="143" t="str">
        <f t="shared" si="12"/>
        <v/>
      </c>
      <c r="M70" s="146" t="str">
        <f t="shared" si="13"/>
        <v/>
      </c>
      <c r="N70" s="123"/>
      <c r="O70" s="119"/>
      <c r="P70" s="124"/>
      <c r="Q70" s="143" t="str">
        <f t="shared" si="14"/>
        <v/>
      </c>
      <c r="R70" s="143" t="str">
        <f t="shared" si="15"/>
        <v/>
      </c>
      <c r="S70" s="143" t="str">
        <f t="shared" si="16"/>
        <v/>
      </c>
      <c r="T70" s="123"/>
      <c r="U70" s="119"/>
      <c r="V70" s="124"/>
      <c r="W70" s="143" t="str">
        <f t="shared" si="17"/>
        <v/>
      </c>
      <c r="X70" s="143" t="str">
        <f t="shared" si="18"/>
        <v/>
      </c>
      <c r="Y70" s="143" t="str">
        <f t="shared" si="19"/>
        <v/>
      </c>
      <c r="Z70" s="150" t="str">
        <f t="shared" si="20"/>
        <v/>
      </c>
      <c r="AA70" s="143" t="str">
        <f t="shared" si="21"/>
        <v/>
      </c>
      <c r="AB70" s="152" t="str">
        <f t="shared" si="22"/>
        <v/>
      </c>
      <c r="AC70" s="158" t="str">
        <f>IF(AB70="","",IFERROR(INDEX(HELPER!$D$8:$D$48,IF(AB70&gt;=HELPER!$B$8,1,MATCH(AB70,HELPER!$B$8:$B$48,-1)+1)),""))</f>
        <v/>
      </c>
      <c r="AD70" s="155" t="str">
        <f>IF(AC70="","",IFERROR(VLOOKUP(AC70,HELPER!$F$8:$G$48,2,FALSE),""))</f>
        <v/>
      </c>
      <c r="AE70" s="135"/>
      <c r="AF70" s="90"/>
    </row>
    <row r="71" spans="1:32" ht="15" customHeight="1" x14ac:dyDescent="0.25">
      <c r="A71" s="135"/>
      <c r="B71" s="111">
        <v>3</v>
      </c>
      <c r="C71" s="209" t="str">
        <f>IF('INPUT DATA'!N13="","",'INPUT DATA'!N13)</f>
        <v/>
      </c>
      <c r="D71" s="210"/>
      <c r="E71" s="210"/>
      <c r="F71" s="123"/>
      <c r="G71" s="119"/>
      <c r="H71" s="119"/>
      <c r="I71" s="119"/>
      <c r="J71" s="124"/>
      <c r="K71" s="143" t="str">
        <f t="shared" si="0"/>
        <v/>
      </c>
      <c r="L71" s="143" t="str">
        <f t="shared" si="12"/>
        <v/>
      </c>
      <c r="M71" s="146" t="str">
        <f t="shared" si="13"/>
        <v/>
      </c>
      <c r="N71" s="123"/>
      <c r="O71" s="119"/>
      <c r="P71" s="124"/>
      <c r="Q71" s="143" t="str">
        <f t="shared" si="14"/>
        <v/>
      </c>
      <c r="R71" s="143" t="str">
        <f t="shared" si="15"/>
        <v/>
      </c>
      <c r="S71" s="143" t="str">
        <f t="shared" si="16"/>
        <v/>
      </c>
      <c r="T71" s="123"/>
      <c r="U71" s="119"/>
      <c r="V71" s="124"/>
      <c r="W71" s="143" t="str">
        <f t="shared" si="17"/>
        <v/>
      </c>
      <c r="X71" s="143" t="str">
        <f t="shared" si="18"/>
        <v/>
      </c>
      <c r="Y71" s="143" t="str">
        <f t="shared" si="19"/>
        <v/>
      </c>
      <c r="Z71" s="150" t="str">
        <f t="shared" si="20"/>
        <v/>
      </c>
      <c r="AA71" s="143" t="str">
        <f t="shared" si="21"/>
        <v/>
      </c>
      <c r="AB71" s="152" t="str">
        <f t="shared" si="22"/>
        <v/>
      </c>
      <c r="AC71" s="158" t="str">
        <f>IF(AB71="","",IFERROR(INDEX(HELPER!$D$8:$D$48,IF(AB71&gt;=HELPER!$B$8,1,MATCH(AB71,HELPER!$B$8:$B$48,-1)+1)),""))</f>
        <v/>
      </c>
      <c r="AD71" s="155" t="str">
        <f>IF(AC71="","",IFERROR(VLOOKUP(AC71,HELPER!$F$8:$G$48,2,FALSE),""))</f>
        <v/>
      </c>
      <c r="AE71" s="135"/>
      <c r="AF71" s="90"/>
    </row>
    <row r="72" spans="1:32" ht="15" customHeight="1" x14ac:dyDescent="0.25">
      <c r="A72" s="135"/>
      <c r="B72" s="111">
        <v>4</v>
      </c>
      <c r="C72" s="209" t="str">
        <f>IF('INPUT DATA'!N14="","",'INPUT DATA'!N14)</f>
        <v/>
      </c>
      <c r="D72" s="210"/>
      <c r="E72" s="210"/>
      <c r="F72" s="123"/>
      <c r="G72" s="119"/>
      <c r="H72" s="119"/>
      <c r="I72" s="119"/>
      <c r="J72" s="124"/>
      <c r="K72" s="143" t="str">
        <f t="shared" si="0"/>
        <v/>
      </c>
      <c r="L72" s="143" t="str">
        <f t="shared" si="12"/>
        <v/>
      </c>
      <c r="M72" s="146" t="str">
        <f t="shared" si="13"/>
        <v/>
      </c>
      <c r="N72" s="123"/>
      <c r="O72" s="119"/>
      <c r="P72" s="124"/>
      <c r="Q72" s="143" t="str">
        <f t="shared" si="14"/>
        <v/>
      </c>
      <c r="R72" s="143" t="str">
        <f t="shared" si="15"/>
        <v/>
      </c>
      <c r="S72" s="143" t="str">
        <f t="shared" si="16"/>
        <v/>
      </c>
      <c r="T72" s="123"/>
      <c r="U72" s="119"/>
      <c r="V72" s="124"/>
      <c r="W72" s="143" t="str">
        <f t="shared" si="17"/>
        <v/>
      </c>
      <c r="X72" s="143" t="str">
        <f t="shared" si="18"/>
        <v/>
      </c>
      <c r="Y72" s="143" t="str">
        <f t="shared" si="19"/>
        <v/>
      </c>
      <c r="Z72" s="150" t="str">
        <f t="shared" si="20"/>
        <v/>
      </c>
      <c r="AA72" s="143" t="str">
        <f t="shared" si="21"/>
        <v/>
      </c>
      <c r="AB72" s="152" t="str">
        <f t="shared" si="22"/>
        <v/>
      </c>
      <c r="AC72" s="158" t="str">
        <f>IF(AB72="","",IFERROR(INDEX(HELPER!$D$8:$D$48,IF(AB72&gt;=HELPER!$B$8,1,MATCH(AB72,HELPER!$B$8:$B$48,-1)+1)),""))</f>
        <v/>
      </c>
      <c r="AD72" s="155" t="str">
        <f>IF(AC72="","",IFERROR(VLOOKUP(AC72,HELPER!$F$8:$G$48,2,FALSE),""))</f>
        <v/>
      </c>
      <c r="AE72" s="135"/>
      <c r="AF72" s="90"/>
    </row>
    <row r="73" spans="1:32" ht="15" customHeight="1" x14ac:dyDescent="0.25">
      <c r="A73" s="135"/>
      <c r="B73" s="111">
        <v>5</v>
      </c>
      <c r="C73" s="209" t="str">
        <f>IF('INPUT DATA'!N15="","",'INPUT DATA'!N15)</f>
        <v/>
      </c>
      <c r="D73" s="210"/>
      <c r="E73" s="210"/>
      <c r="F73" s="123"/>
      <c r="G73" s="119"/>
      <c r="H73" s="119"/>
      <c r="I73" s="119"/>
      <c r="J73" s="124"/>
      <c r="K73" s="143" t="str">
        <f t="shared" si="0"/>
        <v/>
      </c>
      <c r="L73" s="143" t="str">
        <f t="shared" si="12"/>
        <v/>
      </c>
      <c r="M73" s="146" t="str">
        <f t="shared" si="13"/>
        <v/>
      </c>
      <c r="N73" s="123"/>
      <c r="O73" s="119"/>
      <c r="P73" s="124"/>
      <c r="Q73" s="143" t="str">
        <f t="shared" si="14"/>
        <v/>
      </c>
      <c r="R73" s="143" t="str">
        <f t="shared" si="15"/>
        <v/>
      </c>
      <c r="S73" s="143" t="str">
        <f t="shared" si="16"/>
        <v/>
      </c>
      <c r="T73" s="123"/>
      <c r="U73" s="119"/>
      <c r="V73" s="124"/>
      <c r="W73" s="143" t="str">
        <f t="shared" si="17"/>
        <v/>
      </c>
      <c r="X73" s="143" t="str">
        <f t="shared" si="18"/>
        <v/>
      </c>
      <c r="Y73" s="143" t="str">
        <f t="shared" si="19"/>
        <v/>
      </c>
      <c r="Z73" s="150" t="str">
        <f t="shared" si="20"/>
        <v/>
      </c>
      <c r="AA73" s="143" t="str">
        <f t="shared" si="21"/>
        <v/>
      </c>
      <c r="AB73" s="152" t="str">
        <f t="shared" si="22"/>
        <v/>
      </c>
      <c r="AC73" s="158" t="str">
        <f>IF(AB73="","",IFERROR(INDEX(HELPER!$D$8:$D$48,IF(AB73&gt;=HELPER!$B$8,1,MATCH(AB73,HELPER!$B$8:$B$48,-1)+1)),""))</f>
        <v/>
      </c>
      <c r="AD73" s="155" t="str">
        <f>IF(AC73="","",IFERROR(VLOOKUP(AC73,HELPER!$F$8:$G$48,2,FALSE),""))</f>
        <v/>
      </c>
      <c r="AE73" s="135"/>
      <c r="AF73" s="90"/>
    </row>
    <row r="74" spans="1:32" ht="15" customHeight="1" x14ac:dyDescent="0.25">
      <c r="A74" s="135"/>
      <c r="B74" s="111">
        <v>6</v>
      </c>
      <c r="C74" s="209" t="str">
        <f>IF('INPUT DATA'!N16="","",'INPUT DATA'!N16)</f>
        <v/>
      </c>
      <c r="D74" s="210"/>
      <c r="E74" s="210"/>
      <c r="F74" s="123"/>
      <c r="G74" s="119"/>
      <c r="H74" s="119"/>
      <c r="I74" s="119"/>
      <c r="J74" s="124"/>
      <c r="K74" s="143" t="str">
        <f t="shared" si="0"/>
        <v/>
      </c>
      <c r="L74" s="143" t="str">
        <f t="shared" si="12"/>
        <v/>
      </c>
      <c r="M74" s="146" t="str">
        <f t="shared" si="13"/>
        <v/>
      </c>
      <c r="N74" s="123"/>
      <c r="O74" s="119"/>
      <c r="P74" s="124"/>
      <c r="Q74" s="143" t="str">
        <f t="shared" si="14"/>
        <v/>
      </c>
      <c r="R74" s="143" t="str">
        <f t="shared" si="15"/>
        <v/>
      </c>
      <c r="S74" s="143" t="str">
        <f t="shared" si="16"/>
        <v/>
      </c>
      <c r="T74" s="123"/>
      <c r="U74" s="119"/>
      <c r="V74" s="124"/>
      <c r="W74" s="143" t="str">
        <f t="shared" si="17"/>
        <v/>
      </c>
      <c r="X74" s="143" t="str">
        <f t="shared" si="18"/>
        <v/>
      </c>
      <c r="Y74" s="143" t="str">
        <f t="shared" si="19"/>
        <v/>
      </c>
      <c r="Z74" s="150" t="str">
        <f t="shared" si="20"/>
        <v/>
      </c>
      <c r="AA74" s="143" t="str">
        <f t="shared" si="21"/>
        <v/>
      </c>
      <c r="AB74" s="152" t="str">
        <f t="shared" si="22"/>
        <v/>
      </c>
      <c r="AC74" s="158" t="str">
        <f>IF(AB74="","",IFERROR(INDEX(HELPER!$D$8:$D$48,IF(AB74&gt;=HELPER!$B$8,1,MATCH(AB74,HELPER!$B$8:$B$48,-1)+1)),""))</f>
        <v/>
      </c>
      <c r="AD74" s="155" t="str">
        <f>IF(AC74="","",IFERROR(VLOOKUP(AC74,HELPER!$F$8:$G$48,2,FALSE),""))</f>
        <v/>
      </c>
      <c r="AE74" s="135"/>
      <c r="AF74" s="90"/>
    </row>
    <row r="75" spans="1:32" ht="15" customHeight="1" x14ac:dyDescent="0.25">
      <c r="A75" s="135"/>
      <c r="B75" s="111">
        <v>7</v>
      </c>
      <c r="C75" s="209" t="str">
        <f>IF('INPUT DATA'!N17="","",'INPUT DATA'!N17)</f>
        <v/>
      </c>
      <c r="D75" s="210"/>
      <c r="E75" s="210"/>
      <c r="F75" s="123"/>
      <c r="G75" s="119"/>
      <c r="H75" s="119"/>
      <c r="I75" s="119"/>
      <c r="J75" s="124"/>
      <c r="K75" s="143" t="str">
        <f t="shared" si="0"/>
        <v/>
      </c>
      <c r="L75" s="143" t="str">
        <f t="shared" si="12"/>
        <v/>
      </c>
      <c r="M75" s="146" t="str">
        <f t="shared" si="13"/>
        <v/>
      </c>
      <c r="N75" s="123"/>
      <c r="O75" s="119"/>
      <c r="P75" s="124"/>
      <c r="Q75" s="143" t="str">
        <f t="shared" si="14"/>
        <v/>
      </c>
      <c r="R75" s="143" t="str">
        <f t="shared" si="15"/>
        <v/>
      </c>
      <c r="S75" s="143" t="str">
        <f t="shared" si="16"/>
        <v/>
      </c>
      <c r="T75" s="123"/>
      <c r="U75" s="119"/>
      <c r="V75" s="124"/>
      <c r="W75" s="143" t="str">
        <f t="shared" si="17"/>
        <v/>
      </c>
      <c r="X75" s="143" t="str">
        <f t="shared" si="18"/>
        <v/>
      </c>
      <c r="Y75" s="143" t="str">
        <f t="shared" si="19"/>
        <v/>
      </c>
      <c r="Z75" s="150" t="str">
        <f t="shared" si="20"/>
        <v/>
      </c>
      <c r="AA75" s="143" t="str">
        <f t="shared" si="21"/>
        <v/>
      </c>
      <c r="AB75" s="152" t="str">
        <f t="shared" si="22"/>
        <v/>
      </c>
      <c r="AC75" s="158" t="str">
        <f>IF(AB75="","",IFERROR(INDEX(HELPER!$D$8:$D$48,IF(AB75&gt;=HELPER!$B$8,1,MATCH(AB75,HELPER!$B$8:$B$48,-1)+1)),""))</f>
        <v/>
      </c>
      <c r="AD75" s="155" t="str">
        <f>IF(AC75="","",IFERROR(VLOOKUP(AC75,HELPER!$F$8:$G$48,2,FALSE),""))</f>
        <v/>
      </c>
      <c r="AE75" s="135"/>
      <c r="AF75" s="90"/>
    </row>
    <row r="76" spans="1:32" ht="15" customHeight="1" x14ac:dyDescent="0.25">
      <c r="A76" s="135"/>
      <c r="B76" s="111">
        <v>8</v>
      </c>
      <c r="C76" s="209" t="str">
        <f>IF('INPUT DATA'!N18="","",'INPUT DATA'!N18)</f>
        <v/>
      </c>
      <c r="D76" s="210"/>
      <c r="E76" s="210"/>
      <c r="F76" s="123"/>
      <c r="G76" s="119"/>
      <c r="H76" s="119"/>
      <c r="I76" s="119"/>
      <c r="J76" s="124"/>
      <c r="K76" s="143" t="str">
        <f t="shared" si="0"/>
        <v/>
      </c>
      <c r="L76" s="143" t="str">
        <f t="shared" si="12"/>
        <v/>
      </c>
      <c r="M76" s="146" t="str">
        <f t="shared" si="13"/>
        <v/>
      </c>
      <c r="N76" s="123"/>
      <c r="O76" s="119"/>
      <c r="P76" s="124"/>
      <c r="Q76" s="143" t="str">
        <f t="shared" si="14"/>
        <v/>
      </c>
      <c r="R76" s="143" t="str">
        <f t="shared" si="15"/>
        <v/>
      </c>
      <c r="S76" s="143" t="str">
        <f t="shared" si="16"/>
        <v/>
      </c>
      <c r="T76" s="123"/>
      <c r="U76" s="119"/>
      <c r="V76" s="124"/>
      <c r="W76" s="143" t="str">
        <f t="shared" si="17"/>
        <v/>
      </c>
      <c r="X76" s="143" t="str">
        <f t="shared" si="18"/>
        <v/>
      </c>
      <c r="Y76" s="143" t="str">
        <f t="shared" si="19"/>
        <v/>
      </c>
      <c r="Z76" s="150" t="str">
        <f t="shared" si="20"/>
        <v/>
      </c>
      <c r="AA76" s="143" t="str">
        <f t="shared" si="21"/>
        <v/>
      </c>
      <c r="AB76" s="152" t="str">
        <f t="shared" si="22"/>
        <v/>
      </c>
      <c r="AC76" s="158" t="str">
        <f>IF(AB76="","",IFERROR(INDEX(HELPER!$D$8:$D$48,IF(AB76&gt;=HELPER!$B$8,1,MATCH(AB76,HELPER!$B$8:$B$48,-1)+1)),""))</f>
        <v/>
      </c>
      <c r="AD76" s="155" t="str">
        <f>IF(AC76="","",IFERROR(VLOOKUP(AC76,HELPER!$F$8:$G$48,2,FALSE),""))</f>
        <v/>
      </c>
      <c r="AE76" s="135"/>
      <c r="AF76" s="90"/>
    </row>
    <row r="77" spans="1:32" ht="15" customHeight="1" x14ac:dyDescent="0.25">
      <c r="A77" s="135"/>
      <c r="B77" s="111">
        <v>9</v>
      </c>
      <c r="C77" s="209" t="str">
        <f>IF('INPUT DATA'!N19="","",'INPUT DATA'!N19)</f>
        <v/>
      </c>
      <c r="D77" s="210"/>
      <c r="E77" s="210"/>
      <c r="F77" s="123"/>
      <c r="G77" s="119"/>
      <c r="H77" s="119"/>
      <c r="I77" s="119"/>
      <c r="J77" s="124"/>
      <c r="K77" s="143" t="str">
        <f t="shared" si="0"/>
        <v/>
      </c>
      <c r="L77" s="143" t="str">
        <f t="shared" si="12"/>
        <v/>
      </c>
      <c r="M77" s="146" t="str">
        <f t="shared" si="13"/>
        <v/>
      </c>
      <c r="N77" s="123"/>
      <c r="O77" s="119"/>
      <c r="P77" s="124"/>
      <c r="Q77" s="143" t="str">
        <f t="shared" si="14"/>
        <v/>
      </c>
      <c r="R77" s="143" t="str">
        <f t="shared" si="15"/>
        <v/>
      </c>
      <c r="S77" s="143" t="str">
        <f t="shared" si="16"/>
        <v/>
      </c>
      <c r="T77" s="123"/>
      <c r="U77" s="119"/>
      <c r="V77" s="124"/>
      <c r="W77" s="143" t="str">
        <f t="shared" si="17"/>
        <v/>
      </c>
      <c r="X77" s="143" t="str">
        <f t="shared" si="18"/>
        <v/>
      </c>
      <c r="Y77" s="143" t="str">
        <f t="shared" si="19"/>
        <v/>
      </c>
      <c r="Z77" s="150" t="str">
        <f t="shared" si="20"/>
        <v/>
      </c>
      <c r="AA77" s="143" t="str">
        <f t="shared" si="21"/>
        <v/>
      </c>
      <c r="AB77" s="152" t="str">
        <f t="shared" si="22"/>
        <v/>
      </c>
      <c r="AC77" s="158" t="str">
        <f>IF(AB77="","",IFERROR(INDEX(HELPER!$D$8:$D$48,IF(AB77&gt;=HELPER!$B$8,1,MATCH(AB77,HELPER!$B$8:$B$48,-1)+1)),""))</f>
        <v/>
      </c>
      <c r="AD77" s="155" t="str">
        <f>IF(AC77="","",IFERROR(VLOOKUP(AC77,HELPER!$F$8:$G$48,2,FALSE),""))</f>
        <v/>
      </c>
      <c r="AE77" s="135"/>
      <c r="AF77" s="90"/>
    </row>
    <row r="78" spans="1:32" ht="15" customHeight="1" x14ac:dyDescent="0.25">
      <c r="A78" s="135"/>
      <c r="B78" s="111">
        <v>10</v>
      </c>
      <c r="C78" s="209" t="str">
        <f>IF('INPUT DATA'!N20="","",'INPUT DATA'!N20)</f>
        <v/>
      </c>
      <c r="D78" s="210"/>
      <c r="E78" s="210"/>
      <c r="F78" s="123"/>
      <c r="G78" s="119"/>
      <c r="H78" s="119"/>
      <c r="I78" s="119"/>
      <c r="J78" s="124"/>
      <c r="K78" s="143" t="str">
        <f t="shared" si="0"/>
        <v/>
      </c>
      <c r="L78" s="143" t="str">
        <f t="shared" si="12"/>
        <v/>
      </c>
      <c r="M78" s="146" t="str">
        <f t="shared" si="13"/>
        <v/>
      </c>
      <c r="N78" s="123"/>
      <c r="O78" s="119"/>
      <c r="P78" s="124"/>
      <c r="Q78" s="143" t="str">
        <f t="shared" si="14"/>
        <v/>
      </c>
      <c r="R78" s="143" t="str">
        <f t="shared" si="15"/>
        <v/>
      </c>
      <c r="S78" s="143" t="str">
        <f t="shared" si="16"/>
        <v/>
      </c>
      <c r="T78" s="123"/>
      <c r="U78" s="119"/>
      <c r="V78" s="124"/>
      <c r="W78" s="143" t="str">
        <f t="shared" si="17"/>
        <v/>
      </c>
      <c r="X78" s="143" t="str">
        <f t="shared" si="18"/>
        <v/>
      </c>
      <c r="Y78" s="143" t="str">
        <f t="shared" si="19"/>
        <v/>
      </c>
      <c r="Z78" s="150" t="str">
        <f t="shared" si="20"/>
        <v/>
      </c>
      <c r="AA78" s="143" t="str">
        <f t="shared" si="21"/>
        <v/>
      </c>
      <c r="AB78" s="152" t="str">
        <f t="shared" si="22"/>
        <v/>
      </c>
      <c r="AC78" s="158" t="str">
        <f>IF(AB78="","",IFERROR(INDEX(HELPER!$D$8:$D$48,IF(AB78&gt;=HELPER!$B$8,1,MATCH(AB78,HELPER!$B$8:$B$48,-1)+1)),""))</f>
        <v/>
      </c>
      <c r="AD78" s="155" t="str">
        <f>IF(AC78="","",IFERROR(VLOOKUP(AC78,HELPER!$F$8:$G$48,2,FALSE),""))</f>
        <v/>
      </c>
      <c r="AE78" s="135"/>
      <c r="AF78" s="90"/>
    </row>
    <row r="79" spans="1:32" ht="15" customHeight="1" x14ac:dyDescent="0.25">
      <c r="A79" s="135"/>
      <c r="B79" s="111">
        <v>11</v>
      </c>
      <c r="C79" s="209" t="str">
        <f>IF('INPUT DATA'!N21="","",'INPUT DATA'!N21)</f>
        <v/>
      </c>
      <c r="D79" s="210"/>
      <c r="E79" s="210"/>
      <c r="F79" s="123"/>
      <c r="G79" s="119"/>
      <c r="H79" s="119"/>
      <c r="I79" s="119"/>
      <c r="J79" s="124"/>
      <c r="K79" s="143" t="str">
        <f t="shared" si="0"/>
        <v/>
      </c>
      <c r="L79" s="143" t="str">
        <f t="shared" si="12"/>
        <v/>
      </c>
      <c r="M79" s="146" t="str">
        <f t="shared" si="13"/>
        <v/>
      </c>
      <c r="N79" s="123"/>
      <c r="O79" s="119"/>
      <c r="P79" s="124"/>
      <c r="Q79" s="143" t="str">
        <f t="shared" si="14"/>
        <v/>
      </c>
      <c r="R79" s="143" t="str">
        <f t="shared" si="15"/>
        <v/>
      </c>
      <c r="S79" s="143" t="str">
        <f t="shared" si="16"/>
        <v/>
      </c>
      <c r="T79" s="123"/>
      <c r="U79" s="119"/>
      <c r="V79" s="124"/>
      <c r="W79" s="143" t="str">
        <f t="shared" si="17"/>
        <v/>
      </c>
      <c r="X79" s="143" t="str">
        <f t="shared" si="18"/>
        <v/>
      </c>
      <c r="Y79" s="143" t="str">
        <f t="shared" si="19"/>
        <v/>
      </c>
      <c r="Z79" s="150" t="str">
        <f t="shared" si="20"/>
        <v/>
      </c>
      <c r="AA79" s="143" t="str">
        <f t="shared" si="21"/>
        <v/>
      </c>
      <c r="AB79" s="152" t="str">
        <f t="shared" si="22"/>
        <v/>
      </c>
      <c r="AC79" s="158" t="str">
        <f>IF(AB79="","",IFERROR(INDEX(HELPER!$D$8:$D$48,IF(AB79&gt;=HELPER!$B$8,1,MATCH(AB79,HELPER!$B$8:$B$48,-1)+1)),""))</f>
        <v/>
      </c>
      <c r="AD79" s="155" t="str">
        <f>IF(AC79="","",IFERROR(VLOOKUP(AC79,HELPER!$F$8:$G$48,2,FALSE),""))</f>
        <v/>
      </c>
      <c r="AE79" s="135"/>
      <c r="AF79" s="90"/>
    </row>
    <row r="80" spans="1:32" ht="15" customHeight="1" x14ac:dyDescent="0.25">
      <c r="A80" s="135"/>
      <c r="B80" s="111">
        <v>12</v>
      </c>
      <c r="C80" s="209" t="str">
        <f>IF('INPUT DATA'!N22="","",'INPUT DATA'!N22)</f>
        <v/>
      </c>
      <c r="D80" s="210"/>
      <c r="E80" s="210"/>
      <c r="F80" s="123"/>
      <c r="G80" s="119"/>
      <c r="H80" s="119"/>
      <c r="I80" s="119"/>
      <c r="J80" s="124"/>
      <c r="K80" s="143" t="str">
        <f t="shared" si="0"/>
        <v/>
      </c>
      <c r="L80" s="143" t="str">
        <f t="shared" si="12"/>
        <v/>
      </c>
      <c r="M80" s="146" t="str">
        <f t="shared" si="13"/>
        <v/>
      </c>
      <c r="N80" s="123"/>
      <c r="O80" s="119"/>
      <c r="P80" s="124"/>
      <c r="Q80" s="143" t="str">
        <f t="shared" si="14"/>
        <v/>
      </c>
      <c r="R80" s="143" t="str">
        <f t="shared" si="15"/>
        <v/>
      </c>
      <c r="S80" s="143" t="str">
        <f t="shared" si="16"/>
        <v/>
      </c>
      <c r="T80" s="123"/>
      <c r="U80" s="119"/>
      <c r="V80" s="124"/>
      <c r="W80" s="143" t="str">
        <f t="shared" si="17"/>
        <v/>
      </c>
      <c r="X80" s="143" t="str">
        <f t="shared" si="18"/>
        <v/>
      </c>
      <c r="Y80" s="143" t="str">
        <f t="shared" si="19"/>
        <v/>
      </c>
      <c r="Z80" s="150" t="str">
        <f t="shared" si="20"/>
        <v/>
      </c>
      <c r="AA80" s="143" t="str">
        <f t="shared" si="21"/>
        <v/>
      </c>
      <c r="AB80" s="152" t="str">
        <f t="shared" si="22"/>
        <v/>
      </c>
      <c r="AC80" s="158" t="str">
        <f>IF(AB80="","",IFERROR(INDEX(HELPER!$D$8:$D$48,IF(AB80&gt;=HELPER!$B$8,1,MATCH(AB80,HELPER!$B$8:$B$48,-1)+1)),""))</f>
        <v/>
      </c>
      <c r="AD80" s="155" t="str">
        <f>IF(AC80="","",IFERROR(VLOOKUP(AC80,HELPER!$F$8:$G$48,2,FALSE),""))</f>
        <v/>
      </c>
      <c r="AE80" s="135"/>
      <c r="AF80" s="90"/>
    </row>
    <row r="81" spans="1:32" ht="15" customHeight="1" x14ac:dyDescent="0.25">
      <c r="A81" s="135"/>
      <c r="B81" s="111">
        <v>13</v>
      </c>
      <c r="C81" s="209" t="str">
        <f>IF('INPUT DATA'!N23="","",'INPUT DATA'!N23)</f>
        <v/>
      </c>
      <c r="D81" s="210"/>
      <c r="E81" s="210"/>
      <c r="F81" s="123"/>
      <c r="G81" s="119"/>
      <c r="H81" s="119"/>
      <c r="I81" s="119"/>
      <c r="J81" s="124"/>
      <c r="K81" s="143" t="str">
        <f t="shared" si="0"/>
        <v/>
      </c>
      <c r="L81" s="143" t="str">
        <f t="shared" si="12"/>
        <v/>
      </c>
      <c r="M81" s="146" t="str">
        <f t="shared" si="13"/>
        <v/>
      </c>
      <c r="N81" s="123"/>
      <c r="O81" s="119"/>
      <c r="P81" s="124"/>
      <c r="Q81" s="143" t="str">
        <f t="shared" si="14"/>
        <v/>
      </c>
      <c r="R81" s="143" t="str">
        <f t="shared" si="15"/>
        <v/>
      </c>
      <c r="S81" s="143" t="str">
        <f t="shared" si="16"/>
        <v/>
      </c>
      <c r="T81" s="123"/>
      <c r="U81" s="119"/>
      <c r="V81" s="124"/>
      <c r="W81" s="143" t="str">
        <f t="shared" si="17"/>
        <v/>
      </c>
      <c r="X81" s="143" t="str">
        <f t="shared" si="18"/>
        <v/>
      </c>
      <c r="Y81" s="143" t="str">
        <f t="shared" si="19"/>
        <v/>
      </c>
      <c r="Z81" s="150" t="str">
        <f t="shared" si="20"/>
        <v/>
      </c>
      <c r="AA81" s="143" t="str">
        <f t="shared" si="21"/>
        <v/>
      </c>
      <c r="AB81" s="152" t="str">
        <f t="shared" si="22"/>
        <v/>
      </c>
      <c r="AC81" s="158" t="str">
        <f>IF(AB81="","",IFERROR(INDEX(HELPER!$D$8:$D$48,IF(AB81&gt;=HELPER!$B$8,1,MATCH(AB81,HELPER!$B$8:$B$48,-1)+1)),""))</f>
        <v/>
      </c>
      <c r="AD81" s="155" t="str">
        <f>IF(AC81="","",IFERROR(VLOOKUP(AC81,HELPER!$F$8:$G$48,2,FALSE),""))</f>
        <v/>
      </c>
      <c r="AE81" s="135"/>
      <c r="AF81" s="90"/>
    </row>
    <row r="82" spans="1:32" ht="15" customHeight="1" x14ac:dyDescent="0.25">
      <c r="A82" s="135"/>
      <c r="B82" s="111">
        <v>14</v>
      </c>
      <c r="C82" s="209" t="str">
        <f>IF('INPUT DATA'!N24="","",'INPUT DATA'!N24)</f>
        <v/>
      </c>
      <c r="D82" s="210"/>
      <c r="E82" s="210"/>
      <c r="F82" s="123"/>
      <c r="G82" s="119"/>
      <c r="H82" s="119"/>
      <c r="I82" s="119"/>
      <c r="J82" s="124"/>
      <c r="K82" s="143" t="str">
        <f t="shared" ref="K82:K118" si="23">IF(COUNT($F82:$J82)=0,"",SUM($F82:$J82))</f>
        <v/>
      </c>
      <c r="L82" s="143" t="str">
        <f t="shared" si="12"/>
        <v/>
      </c>
      <c r="M82" s="146" t="str">
        <f t="shared" si="13"/>
        <v/>
      </c>
      <c r="N82" s="123"/>
      <c r="O82" s="119"/>
      <c r="P82" s="124"/>
      <c r="Q82" s="143" t="str">
        <f t="shared" si="14"/>
        <v/>
      </c>
      <c r="R82" s="143" t="str">
        <f t="shared" si="15"/>
        <v/>
      </c>
      <c r="S82" s="143" t="str">
        <f t="shared" si="16"/>
        <v/>
      </c>
      <c r="T82" s="123"/>
      <c r="U82" s="119"/>
      <c r="V82" s="124"/>
      <c r="W82" s="143" t="str">
        <f t="shared" si="17"/>
        <v/>
      </c>
      <c r="X82" s="143" t="str">
        <f t="shared" si="18"/>
        <v/>
      </c>
      <c r="Y82" s="143" t="str">
        <f t="shared" si="19"/>
        <v/>
      </c>
      <c r="Z82" s="150" t="str">
        <f t="shared" si="20"/>
        <v/>
      </c>
      <c r="AA82" s="143" t="str">
        <f t="shared" si="21"/>
        <v/>
      </c>
      <c r="AB82" s="152" t="str">
        <f t="shared" si="22"/>
        <v/>
      </c>
      <c r="AC82" s="158" t="str">
        <f>IF(AB82="","",IFERROR(INDEX(HELPER!$D$8:$D$48,IF(AB82&gt;=HELPER!$B$8,1,MATCH(AB82,HELPER!$B$8:$B$48,-1)+1)),""))</f>
        <v/>
      </c>
      <c r="AD82" s="155" t="str">
        <f>IF(AC82="","",IFERROR(VLOOKUP(AC82,HELPER!$F$8:$G$48,2,FALSE),""))</f>
        <v/>
      </c>
      <c r="AE82" s="135"/>
      <c r="AF82" s="90"/>
    </row>
    <row r="83" spans="1:32" ht="15" customHeight="1" x14ac:dyDescent="0.25">
      <c r="A83" s="135"/>
      <c r="B83" s="111">
        <v>15</v>
      </c>
      <c r="C83" s="209" t="str">
        <f>IF('INPUT DATA'!N25="","",'INPUT DATA'!N25)</f>
        <v/>
      </c>
      <c r="D83" s="210"/>
      <c r="E83" s="210"/>
      <c r="F83" s="123"/>
      <c r="G83" s="119"/>
      <c r="H83" s="119"/>
      <c r="I83" s="119"/>
      <c r="J83" s="124"/>
      <c r="K83" s="143" t="str">
        <f t="shared" si="23"/>
        <v/>
      </c>
      <c r="L83" s="143" t="str">
        <f t="shared" si="12"/>
        <v/>
      </c>
      <c r="M83" s="146" t="str">
        <f t="shared" si="13"/>
        <v/>
      </c>
      <c r="N83" s="123"/>
      <c r="O83" s="119"/>
      <c r="P83" s="124"/>
      <c r="Q83" s="143" t="str">
        <f t="shared" si="14"/>
        <v/>
      </c>
      <c r="R83" s="143" t="str">
        <f t="shared" si="15"/>
        <v/>
      </c>
      <c r="S83" s="143" t="str">
        <f t="shared" si="16"/>
        <v/>
      </c>
      <c r="T83" s="123"/>
      <c r="U83" s="119"/>
      <c r="V83" s="124"/>
      <c r="W83" s="143" t="str">
        <f t="shared" si="17"/>
        <v/>
      </c>
      <c r="X83" s="143" t="str">
        <f t="shared" si="18"/>
        <v/>
      </c>
      <c r="Y83" s="143" t="str">
        <f t="shared" si="19"/>
        <v/>
      </c>
      <c r="Z83" s="150" t="str">
        <f t="shared" si="20"/>
        <v/>
      </c>
      <c r="AA83" s="143" t="str">
        <f t="shared" si="21"/>
        <v/>
      </c>
      <c r="AB83" s="152" t="str">
        <f t="shared" si="22"/>
        <v/>
      </c>
      <c r="AC83" s="158" t="str">
        <f>IF(AB83="","",IFERROR(INDEX(HELPER!$D$8:$D$48,IF(AB83&gt;=HELPER!$B$8,1,MATCH(AB83,HELPER!$B$8:$B$48,-1)+1)),""))</f>
        <v/>
      </c>
      <c r="AD83" s="155" t="str">
        <f>IF(AC83="","",IFERROR(VLOOKUP(AC83,HELPER!$F$8:$G$48,2,FALSE),""))</f>
        <v/>
      </c>
      <c r="AE83" s="135"/>
      <c r="AF83" s="90"/>
    </row>
    <row r="84" spans="1:32" ht="15" customHeight="1" x14ac:dyDescent="0.25">
      <c r="A84" s="135"/>
      <c r="B84" s="111">
        <v>16</v>
      </c>
      <c r="C84" s="209" t="str">
        <f>IF('INPUT DATA'!N26="","",'INPUT DATA'!N26)</f>
        <v/>
      </c>
      <c r="D84" s="210"/>
      <c r="E84" s="210"/>
      <c r="F84" s="123"/>
      <c r="G84" s="119"/>
      <c r="H84" s="119"/>
      <c r="I84" s="119"/>
      <c r="J84" s="124"/>
      <c r="K84" s="143" t="str">
        <f t="shared" si="23"/>
        <v/>
      </c>
      <c r="L84" s="143" t="str">
        <f t="shared" si="12"/>
        <v/>
      </c>
      <c r="M84" s="146" t="str">
        <f t="shared" si="13"/>
        <v/>
      </c>
      <c r="N84" s="123"/>
      <c r="O84" s="119"/>
      <c r="P84" s="124"/>
      <c r="Q84" s="143" t="str">
        <f t="shared" si="14"/>
        <v/>
      </c>
      <c r="R84" s="143" t="str">
        <f t="shared" si="15"/>
        <v/>
      </c>
      <c r="S84" s="143" t="str">
        <f t="shared" si="16"/>
        <v/>
      </c>
      <c r="T84" s="123"/>
      <c r="U84" s="119"/>
      <c r="V84" s="124"/>
      <c r="W84" s="143" t="str">
        <f t="shared" si="17"/>
        <v/>
      </c>
      <c r="X84" s="143" t="str">
        <f t="shared" si="18"/>
        <v/>
      </c>
      <c r="Y84" s="143" t="str">
        <f t="shared" si="19"/>
        <v/>
      </c>
      <c r="Z84" s="150" t="str">
        <f t="shared" si="20"/>
        <v/>
      </c>
      <c r="AA84" s="143" t="str">
        <f t="shared" si="21"/>
        <v/>
      </c>
      <c r="AB84" s="152" t="str">
        <f t="shared" si="22"/>
        <v/>
      </c>
      <c r="AC84" s="158" t="str">
        <f>IF(AB84="","",IFERROR(INDEX(HELPER!$D$8:$D$48,IF(AB84&gt;=HELPER!$B$8,1,MATCH(AB84,HELPER!$B$8:$B$48,-1)+1)),""))</f>
        <v/>
      </c>
      <c r="AD84" s="155" t="str">
        <f>IF(AC84="","",IFERROR(VLOOKUP(AC84,HELPER!$F$8:$G$48,2,FALSE),""))</f>
        <v/>
      </c>
      <c r="AE84" s="135"/>
      <c r="AF84" s="90"/>
    </row>
    <row r="85" spans="1:32" ht="15" customHeight="1" x14ac:dyDescent="0.25">
      <c r="A85" s="135"/>
      <c r="B85" s="111">
        <v>17</v>
      </c>
      <c r="C85" s="209" t="str">
        <f>IF('INPUT DATA'!N27="","",'INPUT DATA'!N27)</f>
        <v/>
      </c>
      <c r="D85" s="210"/>
      <c r="E85" s="210"/>
      <c r="F85" s="123"/>
      <c r="G85" s="119"/>
      <c r="H85" s="119"/>
      <c r="I85" s="119"/>
      <c r="J85" s="124"/>
      <c r="K85" s="143" t="str">
        <f t="shared" si="23"/>
        <v/>
      </c>
      <c r="L85" s="143" t="str">
        <f t="shared" si="12"/>
        <v/>
      </c>
      <c r="M85" s="146" t="str">
        <f t="shared" si="13"/>
        <v/>
      </c>
      <c r="N85" s="123"/>
      <c r="O85" s="119"/>
      <c r="P85" s="124"/>
      <c r="Q85" s="143" t="str">
        <f t="shared" si="14"/>
        <v/>
      </c>
      <c r="R85" s="143" t="str">
        <f t="shared" si="15"/>
        <v/>
      </c>
      <c r="S85" s="143" t="str">
        <f t="shared" si="16"/>
        <v/>
      </c>
      <c r="T85" s="123"/>
      <c r="U85" s="119"/>
      <c r="V85" s="124"/>
      <c r="W85" s="143" t="str">
        <f t="shared" si="17"/>
        <v/>
      </c>
      <c r="X85" s="143" t="str">
        <f t="shared" si="18"/>
        <v/>
      </c>
      <c r="Y85" s="143" t="str">
        <f t="shared" si="19"/>
        <v/>
      </c>
      <c r="Z85" s="150" t="str">
        <f t="shared" si="20"/>
        <v/>
      </c>
      <c r="AA85" s="143" t="str">
        <f t="shared" si="21"/>
        <v/>
      </c>
      <c r="AB85" s="152" t="str">
        <f t="shared" si="22"/>
        <v/>
      </c>
      <c r="AC85" s="158" t="str">
        <f>IF(AB85="","",IFERROR(INDEX(HELPER!$D$8:$D$48,IF(AB85&gt;=HELPER!$B$8,1,MATCH(AB85,HELPER!$B$8:$B$48,-1)+1)),""))</f>
        <v/>
      </c>
      <c r="AD85" s="155" t="str">
        <f>IF(AC85="","",IFERROR(VLOOKUP(AC85,HELPER!$F$8:$G$48,2,FALSE),""))</f>
        <v/>
      </c>
      <c r="AE85" s="135"/>
      <c r="AF85" s="90"/>
    </row>
    <row r="86" spans="1:32" ht="15" customHeight="1" x14ac:dyDescent="0.25">
      <c r="A86" s="135"/>
      <c r="B86" s="111">
        <v>18</v>
      </c>
      <c r="C86" s="209" t="str">
        <f>IF('INPUT DATA'!N28="","",'INPUT DATA'!N28)</f>
        <v/>
      </c>
      <c r="D86" s="210"/>
      <c r="E86" s="210"/>
      <c r="F86" s="123"/>
      <c r="G86" s="119"/>
      <c r="H86" s="119"/>
      <c r="I86" s="119"/>
      <c r="J86" s="124"/>
      <c r="K86" s="143" t="str">
        <f t="shared" si="23"/>
        <v/>
      </c>
      <c r="L86" s="143" t="str">
        <f t="shared" si="12"/>
        <v/>
      </c>
      <c r="M86" s="146" t="str">
        <f t="shared" si="13"/>
        <v/>
      </c>
      <c r="N86" s="123"/>
      <c r="O86" s="119"/>
      <c r="P86" s="124"/>
      <c r="Q86" s="143" t="str">
        <f t="shared" si="14"/>
        <v/>
      </c>
      <c r="R86" s="143" t="str">
        <f t="shared" si="15"/>
        <v/>
      </c>
      <c r="S86" s="143" t="str">
        <f t="shared" si="16"/>
        <v/>
      </c>
      <c r="T86" s="123"/>
      <c r="U86" s="119"/>
      <c r="V86" s="124"/>
      <c r="W86" s="143" t="str">
        <f t="shared" si="17"/>
        <v/>
      </c>
      <c r="X86" s="143" t="str">
        <f t="shared" si="18"/>
        <v/>
      </c>
      <c r="Y86" s="143" t="str">
        <f t="shared" si="19"/>
        <v/>
      </c>
      <c r="Z86" s="150" t="str">
        <f t="shared" si="20"/>
        <v/>
      </c>
      <c r="AA86" s="143" t="str">
        <f t="shared" si="21"/>
        <v/>
      </c>
      <c r="AB86" s="152" t="str">
        <f t="shared" si="22"/>
        <v/>
      </c>
      <c r="AC86" s="158" t="str">
        <f>IF(AB86="","",IFERROR(INDEX(HELPER!$D$8:$D$48,IF(AB86&gt;=HELPER!$B$8,1,MATCH(AB86,HELPER!$B$8:$B$48,-1)+1)),""))</f>
        <v/>
      </c>
      <c r="AD86" s="155" t="str">
        <f>IF(AC86="","",IFERROR(VLOOKUP(AC86,HELPER!$F$8:$G$48,2,FALSE),""))</f>
        <v/>
      </c>
      <c r="AE86" s="135"/>
      <c r="AF86" s="90"/>
    </row>
    <row r="87" spans="1:32" ht="15" customHeight="1" x14ac:dyDescent="0.25">
      <c r="A87" s="135"/>
      <c r="B87" s="111">
        <v>19</v>
      </c>
      <c r="C87" s="209" t="str">
        <f>IF('INPUT DATA'!N29="","",'INPUT DATA'!N29)</f>
        <v/>
      </c>
      <c r="D87" s="210"/>
      <c r="E87" s="210"/>
      <c r="F87" s="123"/>
      <c r="G87" s="119"/>
      <c r="H87" s="119"/>
      <c r="I87" s="119"/>
      <c r="J87" s="124"/>
      <c r="K87" s="143" t="str">
        <f t="shared" si="23"/>
        <v/>
      </c>
      <c r="L87" s="143" t="str">
        <f t="shared" si="12"/>
        <v/>
      </c>
      <c r="M87" s="146" t="str">
        <f t="shared" si="13"/>
        <v/>
      </c>
      <c r="N87" s="123"/>
      <c r="O87" s="119"/>
      <c r="P87" s="124"/>
      <c r="Q87" s="143" t="str">
        <f t="shared" si="14"/>
        <v/>
      </c>
      <c r="R87" s="143" t="str">
        <f t="shared" si="15"/>
        <v/>
      </c>
      <c r="S87" s="143" t="str">
        <f t="shared" si="16"/>
        <v/>
      </c>
      <c r="T87" s="123"/>
      <c r="U87" s="119"/>
      <c r="V87" s="124"/>
      <c r="W87" s="143" t="str">
        <f t="shared" si="17"/>
        <v/>
      </c>
      <c r="X87" s="143" t="str">
        <f t="shared" si="18"/>
        <v/>
      </c>
      <c r="Y87" s="143" t="str">
        <f t="shared" si="19"/>
        <v/>
      </c>
      <c r="Z87" s="150" t="str">
        <f t="shared" si="20"/>
        <v/>
      </c>
      <c r="AA87" s="143" t="str">
        <f t="shared" si="21"/>
        <v/>
      </c>
      <c r="AB87" s="152" t="str">
        <f t="shared" si="22"/>
        <v/>
      </c>
      <c r="AC87" s="158" t="str">
        <f>IF(AB87="","",IFERROR(INDEX(HELPER!$D$8:$D$48,IF(AB87&gt;=HELPER!$B$8,1,MATCH(AB87,HELPER!$B$8:$B$48,-1)+1)),""))</f>
        <v/>
      </c>
      <c r="AD87" s="155" t="str">
        <f>IF(AC87="","",IFERROR(VLOOKUP(AC87,HELPER!$F$8:$G$48,2,FALSE),""))</f>
        <v/>
      </c>
      <c r="AE87" s="135"/>
      <c r="AF87" s="90"/>
    </row>
    <row r="88" spans="1:32" ht="15" customHeight="1" x14ac:dyDescent="0.25">
      <c r="A88" s="135"/>
      <c r="B88" s="112">
        <v>20</v>
      </c>
      <c r="C88" s="209" t="str">
        <f>IF('INPUT DATA'!N30="","",'INPUT DATA'!N30)</f>
        <v/>
      </c>
      <c r="D88" s="210"/>
      <c r="E88" s="210"/>
      <c r="F88" s="123"/>
      <c r="G88" s="119"/>
      <c r="H88" s="119"/>
      <c r="I88" s="119"/>
      <c r="J88" s="124"/>
      <c r="K88" s="143" t="str">
        <f t="shared" si="23"/>
        <v/>
      </c>
      <c r="L88" s="143" t="str">
        <f t="shared" si="12"/>
        <v/>
      </c>
      <c r="M88" s="146" t="str">
        <f t="shared" si="13"/>
        <v/>
      </c>
      <c r="N88" s="123"/>
      <c r="O88" s="119"/>
      <c r="P88" s="124"/>
      <c r="Q88" s="143" t="str">
        <f t="shared" si="14"/>
        <v/>
      </c>
      <c r="R88" s="143" t="str">
        <f t="shared" si="15"/>
        <v/>
      </c>
      <c r="S88" s="143" t="str">
        <f t="shared" si="16"/>
        <v/>
      </c>
      <c r="T88" s="123"/>
      <c r="U88" s="119"/>
      <c r="V88" s="124"/>
      <c r="W88" s="143" t="str">
        <f t="shared" si="17"/>
        <v/>
      </c>
      <c r="X88" s="143" t="str">
        <f t="shared" si="18"/>
        <v/>
      </c>
      <c r="Y88" s="143" t="str">
        <f t="shared" si="19"/>
        <v/>
      </c>
      <c r="Z88" s="150" t="str">
        <f t="shared" si="20"/>
        <v/>
      </c>
      <c r="AA88" s="143" t="str">
        <f t="shared" si="21"/>
        <v/>
      </c>
      <c r="AB88" s="152" t="str">
        <f t="shared" si="22"/>
        <v/>
      </c>
      <c r="AC88" s="158" t="str">
        <f>IF(AB88="","",IFERROR(INDEX(HELPER!$D$8:$D$48,IF(AB88&gt;=HELPER!$B$8,1,MATCH(AB88,HELPER!$B$8:$B$48,-1)+1)),""))</f>
        <v/>
      </c>
      <c r="AD88" s="155" t="str">
        <f>IF(AC88="","",IFERROR(VLOOKUP(AC88,HELPER!$F$8:$G$48,2,FALSE),""))</f>
        <v/>
      </c>
      <c r="AE88" s="135"/>
      <c r="AF88" s="90"/>
    </row>
    <row r="89" spans="1:32" ht="15" customHeight="1" x14ac:dyDescent="0.25">
      <c r="A89" s="135"/>
      <c r="B89" s="112">
        <v>21</v>
      </c>
      <c r="C89" s="209" t="str">
        <f>IF('INPUT DATA'!N31="","",'INPUT DATA'!N31)</f>
        <v/>
      </c>
      <c r="D89" s="210"/>
      <c r="E89" s="210"/>
      <c r="F89" s="123"/>
      <c r="G89" s="119"/>
      <c r="H89" s="119"/>
      <c r="I89" s="119"/>
      <c r="J89" s="124"/>
      <c r="K89" s="143" t="str">
        <f t="shared" si="23"/>
        <v/>
      </c>
      <c r="L89" s="143" t="str">
        <f t="shared" si="12"/>
        <v/>
      </c>
      <c r="M89" s="146" t="str">
        <f t="shared" si="13"/>
        <v/>
      </c>
      <c r="N89" s="123"/>
      <c r="O89" s="119"/>
      <c r="P89" s="124"/>
      <c r="Q89" s="143" t="str">
        <f t="shared" si="14"/>
        <v/>
      </c>
      <c r="R89" s="143" t="str">
        <f t="shared" si="15"/>
        <v/>
      </c>
      <c r="S89" s="143" t="str">
        <f t="shared" si="16"/>
        <v/>
      </c>
      <c r="T89" s="123"/>
      <c r="U89" s="119"/>
      <c r="V89" s="124"/>
      <c r="W89" s="143" t="str">
        <f t="shared" si="17"/>
        <v/>
      </c>
      <c r="X89" s="143" t="str">
        <f t="shared" si="18"/>
        <v/>
      </c>
      <c r="Y89" s="143" t="str">
        <f t="shared" si="19"/>
        <v/>
      </c>
      <c r="Z89" s="150" t="str">
        <f t="shared" si="20"/>
        <v/>
      </c>
      <c r="AA89" s="143" t="str">
        <f t="shared" si="21"/>
        <v/>
      </c>
      <c r="AB89" s="152" t="str">
        <f t="shared" si="22"/>
        <v/>
      </c>
      <c r="AC89" s="158" t="str">
        <f>IF(AB89="","",IFERROR(INDEX(HELPER!$D$8:$D$48,IF(AB89&gt;=HELPER!$B$8,1,MATCH(AB89,HELPER!$B$8:$B$48,-1)+1)),""))</f>
        <v/>
      </c>
      <c r="AD89" s="155" t="str">
        <f>IF(AC89="","",IFERROR(VLOOKUP(AC89,HELPER!$F$8:$G$48,2,FALSE),""))</f>
        <v/>
      </c>
      <c r="AE89" s="135"/>
      <c r="AF89" s="90"/>
    </row>
    <row r="90" spans="1:32" ht="15" customHeight="1" x14ac:dyDescent="0.25">
      <c r="A90" s="135"/>
      <c r="B90" s="112">
        <v>22</v>
      </c>
      <c r="C90" s="209" t="str">
        <f>IF('INPUT DATA'!N32="","",'INPUT DATA'!N32)</f>
        <v/>
      </c>
      <c r="D90" s="210"/>
      <c r="E90" s="210"/>
      <c r="F90" s="123"/>
      <c r="G90" s="119"/>
      <c r="H90" s="119"/>
      <c r="I90" s="119"/>
      <c r="J90" s="124"/>
      <c r="K90" s="143" t="str">
        <f t="shared" si="23"/>
        <v/>
      </c>
      <c r="L90" s="143" t="str">
        <f t="shared" si="12"/>
        <v/>
      </c>
      <c r="M90" s="146" t="str">
        <f t="shared" si="13"/>
        <v/>
      </c>
      <c r="N90" s="123"/>
      <c r="O90" s="119"/>
      <c r="P90" s="124"/>
      <c r="Q90" s="143" t="str">
        <f t="shared" si="14"/>
        <v/>
      </c>
      <c r="R90" s="143" t="str">
        <f t="shared" si="15"/>
        <v/>
      </c>
      <c r="S90" s="143" t="str">
        <f t="shared" si="16"/>
        <v/>
      </c>
      <c r="T90" s="123"/>
      <c r="U90" s="119"/>
      <c r="V90" s="124"/>
      <c r="W90" s="143" t="str">
        <f t="shared" si="17"/>
        <v/>
      </c>
      <c r="X90" s="143" t="str">
        <f t="shared" si="18"/>
        <v/>
      </c>
      <c r="Y90" s="143" t="str">
        <f t="shared" si="19"/>
        <v/>
      </c>
      <c r="Z90" s="150" t="str">
        <f t="shared" si="20"/>
        <v/>
      </c>
      <c r="AA90" s="143" t="str">
        <f t="shared" si="21"/>
        <v/>
      </c>
      <c r="AB90" s="152" t="str">
        <f t="shared" si="22"/>
        <v/>
      </c>
      <c r="AC90" s="158" t="str">
        <f>IF(AB90="","",IFERROR(INDEX(HELPER!$D$8:$D$48,IF(AB90&gt;=HELPER!$B$8,1,MATCH(AB90,HELPER!$B$8:$B$48,-1)+1)),""))</f>
        <v/>
      </c>
      <c r="AD90" s="155" t="str">
        <f>IF(AC90="","",IFERROR(VLOOKUP(AC90,HELPER!$F$8:$G$48,2,FALSE),""))</f>
        <v/>
      </c>
      <c r="AE90" s="135"/>
      <c r="AF90" s="90"/>
    </row>
    <row r="91" spans="1:32" ht="15" customHeight="1" x14ac:dyDescent="0.25">
      <c r="A91" s="135"/>
      <c r="B91" s="112">
        <v>23</v>
      </c>
      <c r="C91" s="209" t="str">
        <f>IF('INPUT DATA'!N33="","",'INPUT DATA'!N33)</f>
        <v/>
      </c>
      <c r="D91" s="210"/>
      <c r="E91" s="210"/>
      <c r="F91" s="123"/>
      <c r="G91" s="119"/>
      <c r="H91" s="119"/>
      <c r="I91" s="119"/>
      <c r="J91" s="124"/>
      <c r="K91" s="143" t="str">
        <f t="shared" si="23"/>
        <v/>
      </c>
      <c r="L91" s="143" t="str">
        <f t="shared" si="12"/>
        <v/>
      </c>
      <c r="M91" s="146" t="str">
        <f t="shared" si="13"/>
        <v/>
      </c>
      <c r="N91" s="123"/>
      <c r="O91" s="119"/>
      <c r="P91" s="124"/>
      <c r="Q91" s="143" t="str">
        <f t="shared" si="14"/>
        <v/>
      </c>
      <c r="R91" s="143" t="str">
        <f t="shared" si="15"/>
        <v/>
      </c>
      <c r="S91" s="143" t="str">
        <f t="shared" si="16"/>
        <v/>
      </c>
      <c r="T91" s="123"/>
      <c r="U91" s="119"/>
      <c r="V91" s="124"/>
      <c r="W91" s="143" t="str">
        <f t="shared" si="17"/>
        <v/>
      </c>
      <c r="X91" s="143" t="str">
        <f t="shared" si="18"/>
        <v/>
      </c>
      <c r="Y91" s="143" t="str">
        <f t="shared" si="19"/>
        <v/>
      </c>
      <c r="Z91" s="150" t="str">
        <f t="shared" si="20"/>
        <v/>
      </c>
      <c r="AA91" s="143" t="str">
        <f t="shared" si="21"/>
        <v/>
      </c>
      <c r="AB91" s="152" t="str">
        <f t="shared" si="22"/>
        <v/>
      </c>
      <c r="AC91" s="158" t="str">
        <f>IF(AB91="","",IFERROR(INDEX(HELPER!$D$8:$D$48,IF(AB91&gt;=HELPER!$B$8,1,MATCH(AB91,HELPER!$B$8:$B$48,-1)+1)),""))</f>
        <v/>
      </c>
      <c r="AD91" s="155" t="str">
        <f>IF(AC91="","",IFERROR(VLOOKUP(AC91,HELPER!$F$8:$G$48,2,FALSE),""))</f>
        <v/>
      </c>
      <c r="AE91" s="135"/>
      <c r="AF91" s="90"/>
    </row>
    <row r="92" spans="1:32" ht="15" customHeight="1" x14ac:dyDescent="0.25">
      <c r="A92" s="135"/>
      <c r="B92" s="112">
        <v>24</v>
      </c>
      <c r="C92" s="209" t="str">
        <f>IF('INPUT DATA'!N34="","",'INPUT DATA'!N34)</f>
        <v/>
      </c>
      <c r="D92" s="210"/>
      <c r="E92" s="210"/>
      <c r="F92" s="123"/>
      <c r="G92" s="119"/>
      <c r="H92" s="119"/>
      <c r="I92" s="119"/>
      <c r="J92" s="124"/>
      <c r="K92" s="143" t="str">
        <f t="shared" si="23"/>
        <v/>
      </c>
      <c r="L92" s="143" t="str">
        <f t="shared" si="12"/>
        <v/>
      </c>
      <c r="M92" s="146" t="str">
        <f t="shared" si="13"/>
        <v/>
      </c>
      <c r="N92" s="123"/>
      <c r="O92" s="119"/>
      <c r="P92" s="124"/>
      <c r="Q92" s="143" t="str">
        <f t="shared" si="14"/>
        <v/>
      </c>
      <c r="R92" s="143" t="str">
        <f t="shared" si="15"/>
        <v/>
      </c>
      <c r="S92" s="143" t="str">
        <f t="shared" si="16"/>
        <v/>
      </c>
      <c r="T92" s="123"/>
      <c r="U92" s="119"/>
      <c r="V92" s="124"/>
      <c r="W92" s="143" t="str">
        <f t="shared" si="17"/>
        <v/>
      </c>
      <c r="X92" s="143" t="str">
        <f t="shared" si="18"/>
        <v/>
      </c>
      <c r="Y92" s="143" t="str">
        <f t="shared" si="19"/>
        <v/>
      </c>
      <c r="Z92" s="150" t="str">
        <f t="shared" si="20"/>
        <v/>
      </c>
      <c r="AA92" s="143" t="str">
        <f t="shared" si="21"/>
        <v/>
      </c>
      <c r="AB92" s="152" t="str">
        <f t="shared" si="22"/>
        <v/>
      </c>
      <c r="AC92" s="158" t="str">
        <f>IF(AB92="","",IFERROR(INDEX(HELPER!$D$8:$D$48,IF(AB92&gt;=HELPER!$B$8,1,MATCH(AB92,HELPER!$B$8:$B$48,-1)+1)),""))</f>
        <v/>
      </c>
      <c r="AD92" s="155" t="str">
        <f>IF(AC92="","",IFERROR(VLOOKUP(AC92,HELPER!$F$8:$G$48,2,FALSE),""))</f>
        <v/>
      </c>
      <c r="AE92" s="135"/>
      <c r="AF92" s="90"/>
    </row>
    <row r="93" spans="1:32" ht="15" customHeight="1" x14ac:dyDescent="0.25">
      <c r="A93" s="135"/>
      <c r="B93" s="112">
        <v>25</v>
      </c>
      <c r="C93" s="209" t="str">
        <f>IF('INPUT DATA'!N35="","",'INPUT DATA'!N35)</f>
        <v/>
      </c>
      <c r="D93" s="210"/>
      <c r="E93" s="210"/>
      <c r="F93" s="123"/>
      <c r="G93" s="119"/>
      <c r="H93" s="119"/>
      <c r="I93" s="119"/>
      <c r="J93" s="124"/>
      <c r="K93" s="143" t="str">
        <f t="shared" si="23"/>
        <v/>
      </c>
      <c r="L93" s="143" t="str">
        <f t="shared" si="12"/>
        <v/>
      </c>
      <c r="M93" s="146" t="str">
        <f t="shared" si="13"/>
        <v/>
      </c>
      <c r="N93" s="123"/>
      <c r="O93" s="119"/>
      <c r="P93" s="124"/>
      <c r="Q93" s="143" t="str">
        <f t="shared" si="14"/>
        <v/>
      </c>
      <c r="R93" s="143" t="str">
        <f t="shared" si="15"/>
        <v/>
      </c>
      <c r="S93" s="143" t="str">
        <f t="shared" si="16"/>
        <v/>
      </c>
      <c r="T93" s="123"/>
      <c r="U93" s="119"/>
      <c r="V93" s="124"/>
      <c r="W93" s="143" t="str">
        <f t="shared" si="17"/>
        <v/>
      </c>
      <c r="X93" s="143" t="str">
        <f t="shared" si="18"/>
        <v/>
      </c>
      <c r="Y93" s="143" t="str">
        <f t="shared" si="19"/>
        <v/>
      </c>
      <c r="Z93" s="150" t="str">
        <f t="shared" si="20"/>
        <v/>
      </c>
      <c r="AA93" s="143" t="str">
        <f t="shared" si="21"/>
        <v/>
      </c>
      <c r="AB93" s="152" t="str">
        <f t="shared" si="22"/>
        <v/>
      </c>
      <c r="AC93" s="158" t="str">
        <f>IF(AB93="","",IFERROR(INDEX(HELPER!$D$8:$D$48,IF(AB93&gt;=HELPER!$B$8,1,MATCH(AB93,HELPER!$B$8:$B$48,-1)+1)),""))</f>
        <v/>
      </c>
      <c r="AD93" s="155" t="str">
        <f>IF(AC93="","",IFERROR(VLOOKUP(AC93,HELPER!$F$8:$G$48,2,FALSE),""))</f>
        <v/>
      </c>
      <c r="AE93" s="135"/>
      <c r="AF93" s="90"/>
    </row>
    <row r="94" spans="1:32" ht="15" customHeight="1" x14ac:dyDescent="0.25">
      <c r="A94" s="135"/>
      <c r="B94" s="112">
        <v>26</v>
      </c>
      <c r="C94" s="209" t="str">
        <f>IF('INPUT DATA'!N36="","",'INPUT DATA'!N36)</f>
        <v/>
      </c>
      <c r="D94" s="210"/>
      <c r="E94" s="210"/>
      <c r="F94" s="123"/>
      <c r="G94" s="119"/>
      <c r="H94" s="119"/>
      <c r="I94" s="119"/>
      <c r="J94" s="124"/>
      <c r="K94" s="143" t="str">
        <f t="shared" si="23"/>
        <v/>
      </c>
      <c r="L94" s="143" t="str">
        <f t="shared" si="12"/>
        <v/>
      </c>
      <c r="M94" s="146" t="str">
        <f t="shared" si="13"/>
        <v/>
      </c>
      <c r="N94" s="123"/>
      <c r="O94" s="119"/>
      <c r="P94" s="124"/>
      <c r="Q94" s="143" t="str">
        <f t="shared" si="14"/>
        <v/>
      </c>
      <c r="R94" s="143" t="str">
        <f t="shared" si="15"/>
        <v/>
      </c>
      <c r="S94" s="143" t="str">
        <f t="shared" si="16"/>
        <v/>
      </c>
      <c r="T94" s="123"/>
      <c r="U94" s="119"/>
      <c r="V94" s="124"/>
      <c r="W94" s="143" t="str">
        <f t="shared" si="17"/>
        <v/>
      </c>
      <c r="X94" s="143" t="str">
        <f t="shared" si="18"/>
        <v/>
      </c>
      <c r="Y94" s="143" t="str">
        <f t="shared" si="19"/>
        <v/>
      </c>
      <c r="Z94" s="150" t="str">
        <f t="shared" si="20"/>
        <v/>
      </c>
      <c r="AA94" s="143" t="str">
        <f t="shared" si="21"/>
        <v/>
      </c>
      <c r="AB94" s="152" t="str">
        <f t="shared" si="22"/>
        <v/>
      </c>
      <c r="AC94" s="158" t="str">
        <f>IF(AB94="","",IFERROR(INDEX(HELPER!$D$8:$D$48,IF(AB94&gt;=HELPER!$B$8,1,MATCH(AB94,HELPER!$B$8:$B$48,-1)+1)),""))</f>
        <v/>
      </c>
      <c r="AD94" s="155" t="str">
        <f>IF(AC94="","",IFERROR(VLOOKUP(AC94,HELPER!$F$8:$G$48,2,FALSE),""))</f>
        <v/>
      </c>
      <c r="AE94" s="135"/>
      <c r="AF94" s="90"/>
    </row>
    <row r="95" spans="1:32" ht="15" customHeight="1" x14ac:dyDescent="0.25">
      <c r="A95" s="135"/>
      <c r="B95" s="112">
        <v>27</v>
      </c>
      <c r="C95" s="209" t="str">
        <f>IF('INPUT DATA'!N37="","",'INPUT DATA'!N37)</f>
        <v/>
      </c>
      <c r="D95" s="210"/>
      <c r="E95" s="210"/>
      <c r="F95" s="123"/>
      <c r="G95" s="119"/>
      <c r="H95" s="119"/>
      <c r="I95" s="119"/>
      <c r="J95" s="124"/>
      <c r="K95" s="143" t="str">
        <f t="shared" si="23"/>
        <v/>
      </c>
      <c r="L95" s="143" t="str">
        <f t="shared" si="12"/>
        <v/>
      </c>
      <c r="M95" s="146" t="str">
        <f t="shared" si="13"/>
        <v/>
      </c>
      <c r="N95" s="123"/>
      <c r="O95" s="119"/>
      <c r="P95" s="124"/>
      <c r="Q95" s="143" t="str">
        <f t="shared" si="14"/>
        <v/>
      </c>
      <c r="R95" s="143" t="str">
        <f t="shared" si="15"/>
        <v/>
      </c>
      <c r="S95" s="143" t="str">
        <f t="shared" si="16"/>
        <v/>
      </c>
      <c r="T95" s="123"/>
      <c r="U95" s="119"/>
      <c r="V95" s="124"/>
      <c r="W95" s="143" t="str">
        <f t="shared" si="17"/>
        <v/>
      </c>
      <c r="X95" s="143" t="str">
        <f t="shared" si="18"/>
        <v/>
      </c>
      <c r="Y95" s="143" t="str">
        <f t="shared" si="19"/>
        <v/>
      </c>
      <c r="Z95" s="150" t="str">
        <f t="shared" si="20"/>
        <v/>
      </c>
      <c r="AA95" s="143" t="str">
        <f t="shared" si="21"/>
        <v/>
      </c>
      <c r="AB95" s="152" t="str">
        <f t="shared" si="22"/>
        <v/>
      </c>
      <c r="AC95" s="158" t="str">
        <f>IF(AB95="","",IFERROR(INDEX(HELPER!$D$8:$D$48,IF(AB95&gt;=HELPER!$B$8,1,MATCH(AB95,HELPER!$B$8:$B$48,-1)+1)),""))</f>
        <v/>
      </c>
      <c r="AD95" s="155" t="str">
        <f>IF(AC95="","",IFERROR(VLOOKUP(AC95,HELPER!$F$8:$G$48,2,FALSE),""))</f>
        <v/>
      </c>
      <c r="AE95" s="135"/>
      <c r="AF95" s="90"/>
    </row>
    <row r="96" spans="1:32" ht="15" customHeight="1" x14ac:dyDescent="0.25">
      <c r="A96" s="135"/>
      <c r="B96" s="112">
        <v>28</v>
      </c>
      <c r="C96" s="209" t="str">
        <f>IF('INPUT DATA'!N38="","",'INPUT DATA'!N38)</f>
        <v/>
      </c>
      <c r="D96" s="210"/>
      <c r="E96" s="210"/>
      <c r="F96" s="123"/>
      <c r="G96" s="119"/>
      <c r="H96" s="119"/>
      <c r="I96" s="119"/>
      <c r="J96" s="124"/>
      <c r="K96" s="143" t="str">
        <f t="shared" si="23"/>
        <v/>
      </c>
      <c r="L96" s="143" t="str">
        <f t="shared" si="12"/>
        <v/>
      </c>
      <c r="M96" s="146" t="str">
        <f t="shared" si="13"/>
        <v/>
      </c>
      <c r="N96" s="123"/>
      <c r="O96" s="119"/>
      <c r="P96" s="124"/>
      <c r="Q96" s="143" t="str">
        <f t="shared" si="14"/>
        <v/>
      </c>
      <c r="R96" s="143" t="str">
        <f t="shared" si="15"/>
        <v/>
      </c>
      <c r="S96" s="143" t="str">
        <f t="shared" si="16"/>
        <v/>
      </c>
      <c r="T96" s="123"/>
      <c r="U96" s="119"/>
      <c r="V96" s="124"/>
      <c r="W96" s="143" t="str">
        <f t="shared" si="17"/>
        <v/>
      </c>
      <c r="X96" s="143" t="str">
        <f t="shared" si="18"/>
        <v/>
      </c>
      <c r="Y96" s="143" t="str">
        <f t="shared" si="19"/>
        <v/>
      </c>
      <c r="Z96" s="150" t="str">
        <f t="shared" si="20"/>
        <v/>
      </c>
      <c r="AA96" s="143" t="str">
        <f t="shared" si="21"/>
        <v/>
      </c>
      <c r="AB96" s="152" t="str">
        <f t="shared" si="22"/>
        <v/>
      </c>
      <c r="AC96" s="158" t="str">
        <f>IF(AB96="","",IFERROR(INDEX(HELPER!$D$8:$D$48,IF(AB96&gt;=HELPER!$B$8,1,MATCH(AB96,HELPER!$B$8:$B$48,-1)+1)),""))</f>
        <v/>
      </c>
      <c r="AD96" s="155" t="str">
        <f>IF(AC96="","",IFERROR(VLOOKUP(AC96,HELPER!$F$8:$G$48,2,FALSE),""))</f>
        <v/>
      </c>
      <c r="AE96" s="135"/>
      <c r="AF96" s="90"/>
    </row>
    <row r="97" spans="1:32" ht="15" customHeight="1" x14ac:dyDescent="0.25">
      <c r="A97" s="135"/>
      <c r="B97" s="112">
        <v>29</v>
      </c>
      <c r="C97" s="209" t="str">
        <f>IF('INPUT DATA'!N39="","",'INPUT DATA'!N39)</f>
        <v/>
      </c>
      <c r="D97" s="210"/>
      <c r="E97" s="210"/>
      <c r="F97" s="123"/>
      <c r="G97" s="119"/>
      <c r="H97" s="119"/>
      <c r="I97" s="119"/>
      <c r="J97" s="124"/>
      <c r="K97" s="143" t="str">
        <f t="shared" si="23"/>
        <v/>
      </c>
      <c r="L97" s="143" t="str">
        <f t="shared" si="12"/>
        <v/>
      </c>
      <c r="M97" s="146" t="str">
        <f t="shared" si="13"/>
        <v/>
      </c>
      <c r="N97" s="123"/>
      <c r="O97" s="119"/>
      <c r="P97" s="124"/>
      <c r="Q97" s="143" t="str">
        <f t="shared" si="14"/>
        <v/>
      </c>
      <c r="R97" s="143" t="str">
        <f t="shared" si="15"/>
        <v/>
      </c>
      <c r="S97" s="143" t="str">
        <f t="shared" si="16"/>
        <v/>
      </c>
      <c r="T97" s="123"/>
      <c r="U97" s="119"/>
      <c r="V97" s="124"/>
      <c r="W97" s="143" t="str">
        <f t="shared" si="17"/>
        <v/>
      </c>
      <c r="X97" s="143" t="str">
        <f t="shared" si="18"/>
        <v/>
      </c>
      <c r="Y97" s="143" t="str">
        <f t="shared" si="19"/>
        <v/>
      </c>
      <c r="Z97" s="150" t="str">
        <f t="shared" si="20"/>
        <v/>
      </c>
      <c r="AA97" s="143" t="str">
        <f t="shared" si="21"/>
        <v/>
      </c>
      <c r="AB97" s="152" t="str">
        <f t="shared" si="22"/>
        <v/>
      </c>
      <c r="AC97" s="158" t="str">
        <f>IF(AB97="","",IFERROR(INDEX(HELPER!$D$8:$D$48,IF(AB97&gt;=HELPER!$B$8,1,MATCH(AB97,HELPER!$B$8:$B$48,-1)+1)),""))</f>
        <v/>
      </c>
      <c r="AD97" s="155" t="str">
        <f>IF(AC97="","",IFERROR(VLOOKUP(AC97,HELPER!$F$8:$G$48,2,FALSE),""))</f>
        <v/>
      </c>
      <c r="AE97" s="135"/>
      <c r="AF97" s="90"/>
    </row>
    <row r="98" spans="1:32" ht="15" customHeight="1" x14ac:dyDescent="0.25">
      <c r="A98" s="135"/>
      <c r="B98" s="112">
        <v>30</v>
      </c>
      <c r="C98" s="209" t="str">
        <f>IF('INPUT DATA'!N40="","",'INPUT DATA'!N40)</f>
        <v/>
      </c>
      <c r="D98" s="210"/>
      <c r="E98" s="210"/>
      <c r="F98" s="123"/>
      <c r="G98" s="119"/>
      <c r="H98" s="119"/>
      <c r="I98" s="119"/>
      <c r="J98" s="124"/>
      <c r="K98" s="143" t="str">
        <f t="shared" si="23"/>
        <v/>
      </c>
      <c r="L98" s="143" t="str">
        <f t="shared" si="12"/>
        <v/>
      </c>
      <c r="M98" s="146" t="str">
        <f t="shared" si="13"/>
        <v/>
      </c>
      <c r="N98" s="123"/>
      <c r="O98" s="119"/>
      <c r="P98" s="124"/>
      <c r="Q98" s="143" t="str">
        <f t="shared" si="14"/>
        <v/>
      </c>
      <c r="R98" s="143" t="str">
        <f t="shared" si="15"/>
        <v/>
      </c>
      <c r="S98" s="143" t="str">
        <f t="shared" si="16"/>
        <v/>
      </c>
      <c r="T98" s="123"/>
      <c r="U98" s="119"/>
      <c r="V98" s="124"/>
      <c r="W98" s="143" t="str">
        <f t="shared" si="17"/>
        <v/>
      </c>
      <c r="X98" s="143" t="str">
        <f t="shared" si="18"/>
        <v/>
      </c>
      <c r="Y98" s="143" t="str">
        <f t="shared" si="19"/>
        <v/>
      </c>
      <c r="Z98" s="150" t="str">
        <f t="shared" si="20"/>
        <v/>
      </c>
      <c r="AA98" s="143" t="str">
        <f t="shared" si="21"/>
        <v/>
      </c>
      <c r="AB98" s="152" t="str">
        <f t="shared" si="22"/>
        <v/>
      </c>
      <c r="AC98" s="158" t="str">
        <f>IF(AB98="","",IFERROR(INDEX(HELPER!$D$8:$D$48,IF(AB98&gt;=HELPER!$B$8,1,MATCH(AB98,HELPER!$B$8:$B$48,-1)+1)),""))</f>
        <v/>
      </c>
      <c r="AD98" s="155" t="str">
        <f>IF(AC98="","",IFERROR(VLOOKUP(AC98,HELPER!$F$8:$G$48,2,FALSE),""))</f>
        <v/>
      </c>
      <c r="AE98" s="135"/>
      <c r="AF98" s="90"/>
    </row>
    <row r="99" spans="1:32" ht="15" customHeight="1" x14ac:dyDescent="0.25">
      <c r="A99" s="135"/>
      <c r="B99" s="112">
        <v>31</v>
      </c>
      <c r="C99" s="209" t="str">
        <f>IF('INPUT DATA'!N41="","",'INPUT DATA'!N41)</f>
        <v/>
      </c>
      <c r="D99" s="210"/>
      <c r="E99" s="210"/>
      <c r="F99" s="123"/>
      <c r="G99" s="119"/>
      <c r="H99" s="119"/>
      <c r="I99" s="119"/>
      <c r="J99" s="124"/>
      <c r="K99" s="143" t="str">
        <f t="shared" si="23"/>
        <v/>
      </c>
      <c r="L99" s="143" t="str">
        <f t="shared" si="12"/>
        <v/>
      </c>
      <c r="M99" s="146" t="str">
        <f t="shared" si="13"/>
        <v/>
      </c>
      <c r="N99" s="123"/>
      <c r="O99" s="119"/>
      <c r="P99" s="124"/>
      <c r="Q99" s="143" t="str">
        <f t="shared" si="14"/>
        <v/>
      </c>
      <c r="R99" s="143" t="str">
        <f t="shared" si="15"/>
        <v/>
      </c>
      <c r="S99" s="143" t="str">
        <f t="shared" si="16"/>
        <v/>
      </c>
      <c r="T99" s="123"/>
      <c r="U99" s="119"/>
      <c r="V99" s="124"/>
      <c r="W99" s="143" t="str">
        <f t="shared" si="17"/>
        <v/>
      </c>
      <c r="X99" s="143" t="str">
        <f t="shared" si="18"/>
        <v/>
      </c>
      <c r="Y99" s="143" t="str">
        <f t="shared" si="19"/>
        <v/>
      </c>
      <c r="Z99" s="150" t="str">
        <f t="shared" si="20"/>
        <v/>
      </c>
      <c r="AA99" s="143" t="str">
        <f t="shared" si="21"/>
        <v/>
      </c>
      <c r="AB99" s="152" t="str">
        <f t="shared" si="22"/>
        <v/>
      </c>
      <c r="AC99" s="158" t="str">
        <f>IF(AB99="","",IFERROR(INDEX(HELPER!$D$8:$D$48,IF(AB99&gt;=HELPER!$B$8,1,MATCH(AB99,HELPER!$B$8:$B$48,-1)+1)),""))</f>
        <v/>
      </c>
      <c r="AD99" s="155" t="str">
        <f>IF(AC99="","",IFERROR(VLOOKUP(AC99,HELPER!$F$8:$G$48,2,FALSE),""))</f>
        <v/>
      </c>
      <c r="AE99" s="135"/>
      <c r="AF99" s="90"/>
    </row>
    <row r="100" spans="1:32" ht="15" customHeight="1" x14ac:dyDescent="0.25">
      <c r="A100" s="135"/>
      <c r="B100" s="112">
        <v>32</v>
      </c>
      <c r="C100" s="209" t="str">
        <f>IF('INPUT DATA'!N42="","",'INPUT DATA'!N42)</f>
        <v/>
      </c>
      <c r="D100" s="210"/>
      <c r="E100" s="210"/>
      <c r="F100" s="123"/>
      <c r="G100" s="119"/>
      <c r="H100" s="119"/>
      <c r="I100" s="119"/>
      <c r="J100" s="124"/>
      <c r="K100" s="143" t="str">
        <f t="shared" si="23"/>
        <v/>
      </c>
      <c r="L100" s="143" t="str">
        <f t="shared" si="12"/>
        <v/>
      </c>
      <c r="M100" s="146" t="str">
        <f t="shared" si="13"/>
        <v/>
      </c>
      <c r="N100" s="123"/>
      <c r="O100" s="119"/>
      <c r="P100" s="124"/>
      <c r="Q100" s="143" t="str">
        <f t="shared" si="14"/>
        <v/>
      </c>
      <c r="R100" s="143" t="str">
        <f t="shared" si="15"/>
        <v/>
      </c>
      <c r="S100" s="143" t="str">
        <f t="shared" si="16"/>
        <v/>
      </c>
      <c r="T100" s="123"/>
      <c r="U100" s="119"/>
      <c r="V100" s="124"/>
      <c r="W100" s="143" t="str">
        <f t="shared" si="17"/>
        <v/>
      </c>
      <c r="X100" s="143" t="str">
        <f t="shared" si="18"/>
        <v/>
      </c>
      <c r="Y100" s="143" t="str">
        <f t="shared" si="19"/>
        <v/>
      </c>
      <c r="Z100" s="150" t="str">
        <f t="shared" si="20"/>
        <v/>
      </c>
      <c r="AA100" s="143" t="str">
        <f t="shared" si="21"/>
        <v/>
      </c>
      <c r="AB100" s="152" t="str">
        <f t="shared" si="22"/>
        <v/>
      </c>
      <c r="AC100" s="158" t="str">
        <f>IF(AB100="","",IFERROR(INDEX(HELPER!$D$8:$D$48,IF(AB100&gt;=HELPER!$B$8,1,MATCH(AB100,HELPER!$B$8:$B$48,-1)+1)),""))</f>
        <v/>
      </c>
      <c r="AD100" s="155" t="str">
        <f>IF(AC100="","",IFERROR(VLOOKUP(AC100,HELPER!$F$8:$G$48,2,FALSE),""))</f>
        <v/>
      </c>
      <c r="AE100" s="135"/>
      <c r="AF100" s="90"/>
    </row>
    <row r="101" spans="1:32" ht="15" customHeight="1" x14ac:dyDescent="0.25">
      <c r="A101" s="135"/>
      <c r="B101" s="112">
        <v>33</v>
      </c>
      <c r="C101" s="209" t="str">
        <f>IF('INPUT DATA'!N43="","",'INPUT DATA'!N43)</f>
        <v/>
      </c>
      <c r="D101" s="210"/>
      <c r="E101" s="210"/>
      <c r="F101" s="123"/>
      <c r="G101" s="119"/>
      <c r="H101" s="119"/>
      <c r="I101" s="119"/>
      <c r="J101" s="124"/>
      <c r="K101" s="143" t="str">
        <f t="shared" si="23"/>
        <v/>
      </c>
      <c r="L101" s="143" t="str">
        <f t="shared" si="12"/>
        <v/>
      </c>
      <c r="M101" s="146" t="str">
        <f t="shared" si="13"/>
        <v/>
      </c>
      <c r="N101" s="123"/>
      <c r="O101" s="119"/>
      <c r="P101" s="124"/>
      <c r="Q101" s="143" t="str">
        <f t="shared" si="14"/>
        <v/>
      </c>
      <c r="R101" s="143" t="str">
        <f t="shared" si="15"/>
        <v/>
      </c>
      <c r="S101" s="143" t="str">
        <f t="shared" si="16"/>
        <v/>
      </c>
      <c r="T101" s="123"/>
      <c r="U101" s="119"/>
      <c r="V101" s="124"/>
      <c r="W101" s="143" t="str">
        <f t="shared" si="17"/>
        <v/>
      </c>
      <c r="X101" s="143" t="str">
        <f t="shared" si="18"/>
        <v/>
      </c>
      <c r="Y101" s="143" t="str">
        <f t="shared" si="19"/>
        <v/>
      </c>
      <c r="Z101" s="150" t="str">
        <f t="shared" si="20"/>
        <v/>
      </c>
      <c r="AA101" s="143" t="str">
        <f t="shared" si="21"/>
        <v/>
      </c>
      <c r="AB101" s="152" t="str">
        <f t="shared" si="22"/>
        <v/>
      </c>
      <c r="AC101" s="158" t="str">
        <f>IF(AB101="","",IFERROR(INDEX(HELPER!$D$8:$D$48,IF(AB101&gt;=HELPER!$B$8,1,MATCH(AB101,HELPER!$B$8:$B$48,-1)+1)),""))</f>
        <v/>
      </c>
      <c r="AD101" s="155" t="str">
        <f>IF(AC101="","",IFERROR(VLOOKUP(AC101,HELPER!$F$8:$G$48,2,FALSE),""))</f>
        <v/>
      </c>
      <c r="AE101" s="135"/>
      <c r="AF101" s="90"/>
    </row>
    <row r="102" spans="1:32" ht="15" customHeight="1" x14ac:dyDescent="0.25">
      <c r="A102" s="135"/>
      <c r="B102" s="112">
        <v>34</v>
      </c>
      <c r="C102" s="209" t="str">
        <f>IF('INPUT DATA'!N44="","",'INPUT DATA'!N44)</f>
        <v/>
      </c>
      <c r="D102" s="210"/>
      <c r="E102" s="210"/>
      <c r="F102" s="123"/>
      <c r="G102" s="119"/>
      <c r="H102" s="119"/>
      <c r="I102" s="119"/>
      <c r="J102" s="124"/>
      <c r="K102" s="143" t="str">
        <f t="shared" si="23"/>
        <v/>
      </c>
      <c r="L102" s="143" t="str">
        <f t="shared" si="12"/>
        <v/>
      </c>
      <c r="M102" s="146" t="str">
        <f t="shared" si="13"/>
        <v/>
      </c>
      <c r="N102" s="123"/>
      <c r="O102" s="119"/>
      <c r="P102" s="124"/>
      <c r="Q102" s="143" t="str">
        <f t="shared" si="14"/>
        <v/>
      </c>
      <c r="R102" s="143" t="str">
        <f t="shared" si="15"/>
        <v/>
      </c>
      <c r="S102" s="143" t="str">
        <f t="shared" si="16"/>
        <v/>
      </c>
      <c r="T102" s="123"/>
      <c r="U102" s="119"/>
      <c r="V102" s="124"/>
      <c r="W102" s="143" t="str">
        <f t="shared" si="17"/>
        <v/>
      </c>
      <c r="X102" s="143" t="str">
        <f t="shared" si="18"/>
        <v/>
      </c>
      <c r="Y102" s="143" t="str">
        <f t="shared" si="19"/>
        <v/>
      </c>
      <c r="Z102" s="150" t="str">
        <f t="shared" si="20"/>
        <v/>
      </c>
      <c r="AA102" s="143" t="str">
        <f t="shared" si="21"/>
        <v/>
      </c>
      <c r="AB102" s="152" t="str">
        <f t="shared" si="22"/>
        <v/>
      </c>
      <c r="AC102" s="158" t="str">
        <f>IF(AB102="","",IFERROR(INDEX(HELPER!$D$8:$D$48,IF(AB102&gt;=HELPER!$B$8,1,MATCH(AB102,HELPER!$B$8:$B$48,-1)+1)),""))</f>
        <v/>
      </c>
      <c r="AD102" s="155" t="str">
        <f>IF(AC102="","",IFERROR(VLOOKUP(AC102,HELPER!$F$8:$G$48,2,FALSE),""))</f>
        <v/>
      </c>
      <c r="AE102" s="135"/>
      <c r="AF102" s="90"/>
    </row>
    <row r="103" spans="1:32" ht="15" customHeight="1" x14ac:dyDescent="0.25">
      <c r="A103" s="135"/>
      <c r="B103" s="112">
        <v>35</v>
      </c>
      <c r="C103" s="209" t="str">
        <f>IF('INPUT DATA'!N45="","",'INPUT DATA'!N45)</f>
        <v/>
      </c>
      <c r="D103" s="210"/>
      <c r="E103" s="210"/>
      <c r="F103" s="123"/>
      <c r="G103" s="119"/>
      <c r="H103" s="119"/>
      <c r="I103" s="119"/>
      <c r="J103" s="124"/>
      <c r="K103" s="143" t="str">
        <f t="shared" si="23"/>
        <v/>
      </c>
      <c r="L103" s="143" t="str">
        <f t="shared" si="12"/>
        <v/>
      </c>
      <c r="M103" s="146" t="str">
        <f t="shared" si="13"/>
        <v/>
      </c>
      <c r="N103" s="123"/>
      <c r="O103" s="119"/>
      <c r="P103" s="124"/>
      <c r="Q103" s="143" t="str">
        <f t="shared" si="14"/>
        <v/>
      </c>
      <c r="R103" s="143" t="str">
        <f t="shared" si="15"/>
        <v/>
      </c>
      <c r="S103" s="143" t="str">
        <f t="shared" si="16"/>
        <v/>
      </c>
      <c r="T103" s="123"/>
      <c r="U103" s="119"/>
      <c r="V103" s="124"/>
      <c r="W103" s="143" t="str">
        <f t="shared" si="17"/>
        <v/>
      </c>
      <c r="X103" s="143" t="str">
        <f t="shared" si="18"/>
        <v/>
      </c>
      <c r="Y103" s="143" t="str">
        <f t="shared" si="19"/>
        <v/>
      </c>
      <c r="Z103" s="150" t="str">
        <f t="shared" si="20"/>
        <v/>
      </c>
      <c r="AA103" s="143" t="str">
        <f t="shared" si="21"/>
        <v/>
      </c>
      <c r="AB103" s="152" t="str">
        <f t="shared" si="22"/>
        <v/>
      </c>
      <c r="AC103" s="158" t="str">
        <f>IF(AB103="","",IFERROR(INDEX(HELPER!$D$8:$D$48,IF(AB103&gt;=HELPER!$B$8,1,MATCH(AB103,HELPER!$B$8:$B$48,-1)+1)),""))</f>
        <v/>
      </c>
      <c r="AD103" s="155" t="str">
        <f>IF(AC103="","",IFERROR(VLOOKUP(AC103,HELPER!$F$8:$G$48,2,FALSE),""))</f>
        <v/>
      </c>
      <c r="AE103" s="135"/>
      <c r="AF103" s="90"/>
    </row>
    <row r="104" spans="1:32" ht="15" customHeight="1" x14ac:dyDescent="0.25">
      <c r="A104" s="135"/>
      <c r="B104" s="112">
        <v>36</v>
      </c>
      <c r="C104" s="209" t="str">
        <f>IF('INPUT DATA'!N46="","",'INPUT DATA'!N46)</f>
        <v/>
      </c>
      <c r="D104" s="210"/>
      <c r="E104" s="210"/>
      <c r="F104" s="123"/>
      <c r="G104" s="119"/>
      <c r="H104" s="119"/>
      <c r="I104" s="119"/>
      <c r="J104" s="124"/>
      <c r="K104" s="143" t="str">
        <f t="shared" si="23"/>
        <v/>
      </c>
      <c r="L104" s="143" t="str">
        <f t="shared" si="12"/>
        <v/>
      </c>
      <c r="M104" s="146" t="str">
        <f t="shared" si="13"/>
        <v/>
      </c>
      <c r="N104" s="123"/>
      <c r="O104" s="119"/>
      <c r="P104" s="124"/>
      <c r="Q104" s="143" t="str">
        <f t="shared" si="14"/>
        <v/>
      </c>
      <c r="R104" s="143" t="str">
        <f t="shared" si="15"/>
        <v/>
      </c>
      <c r="S104" s="143" t="str">
        <f t="shared" si="16"/>
        <v/>
      </c>
      <c r="T104" s="123"/>
      <c r="U104" s="119"/>
      <c r="V104" s="124"/>
      <c r="W104" s="143" t="str">
        <f t="shared" si="17"/>
        <v/>
      </c>
      <c r="X104" s="143" t="str">
        <f t="shared" si="18"/>
        <v/>
      </c>
      <c r="Y104" s="143" t="str">
        <f t="shared" si="19"/>
        <v/>
      </c>
      <c r="Z104" s="150" t="str">
        <f t="shared" si="20"/>
        <v/>
      </c>
      <c r="AA104" s="143" t="str">
        <f t="shared" si="21"/>
        <v/>
      </c>
      <c r="AB104" s="152" t="str">
        <f t="shared" si="22"/>
        <v/>
      </c>
      <c r="AC104" s="158" t="str">
        <f>IF(AB104="","",IFERROR(INDEX(HELPER!$D$8:$D$48,IF(AB104&gt;=HELPER!$B$8,1,MATCH(AB104,HELPER!$B$8:$B$48,-1)+1)),""))</f>
        <v/>
      </c>
      <c r="AD104" s="155" t="str">
        <f>IF(AC104="","",IFERROR(VLOOKUP(AC104,HELPER!$F$8:$G$48,2,FALSE),""))</f>
        <v/>
      </c>
      <c r="AE104" s="135"/>
      <c r="AF104" s="90"/>
    </row>
    <row r="105" spans="1:32" ht="15" customHeight="1" x14ac:dyDescent="0.25">
      <c r="A105" s="135"/>
      <c r="B105" s="112">
        <v>37</v>
      </c>
      <c r="C105" s="209" t="str">
        <f>IF('INPUT DATA'!N47="","",'INPUT DATA'!N47)</f>
        <v/>
      </c>
      <c r="D105" s="210"/>
      <c r="E105" s="210"/>
      <c r="F105" s="123"/>
      <c r="G105" s="119"/>
      <c r="H105" s="119"/>
      <c r="I105" s="119"/>
      <c r="J105" s="124"/>
      <c r="K105" s="143" t="str">
        <f t="shared" si="23"/>
        <v/>
      </c>
      <c r="L105" s="143" t="str">
        <f t="shared" si="12"/>
        <v/>
      </c>
      <c r="M105" s="146" t="str">
        <f t="shared" si="13"/>
        <v/>
      </c>
      <c r="N105" s="123"/>
      <c r="O105" s="119"/>
      <c r="P105" s="124"/>
      <c r="Q105" s="143" t="str">
        <f t="shared" si="14"/>
        <v/>
      </c>
      <c r="R105" s="143" t="str">
        <f t="shared" si="15"/>
        <v/>
      </c>
      <c r="S105" s="143" t="str">
        <f t="shared" si="16"/>
        <v/>
      </c>
      <c r="T105" s="123"/>
      <c r="U105" s="119"/>
      <c r="V105" s="124"/>
      <c r="W105" s="143" t="str">
        <f t="shared" si="17"/>
        <v/>
      </c>
      <c r="X105" s="143" t="str">
        <f t="shared" si="18"/>
        <v/>
      </c>
      <c r="Y105" s="143" t="str">
        <f t="shared" si="19"/>
        <v/>
      </c>
      <c r="Z105" s="150" t="str">
        <f t="shared" si="20"/>
        <v/>
      </c>
      <c r="AA105" s="143" t="str">
        <f t="shared" si="21"/>
        <v/>
      </c>
      <c r="AB105" s="152" t="str">
        <f t="shared" si="22"/>
        <v/>
      </c>
      <c r="AC105" s="158" t="str">
        <f>IF(AB105="","",IFERROR(INDEX(HELPER!$D$8:$D$48,IF(AB105&gt;=HELPER!$B$8,1,MATCH(AB105,HELPER!$B$8:$B$48,-1)+1)),""))</f>
        <v/>
      </c>
      <c r="AD105" s="155" t="str">
        <f>IF(AC105="","",IFERROR(VLOOKUP(AC105,HELPER!$F$8:$G$48,2,FALSE),""))</f>
        <v/>
      </c>
      <c r="AE105" s="135"/>
      <c r="AF105" s="90"/>
    </row>
    <row r="106" spans="1:32" ht="15" customHeight="1" x14ac:dyDescent="0.25">
      <c r="A106" s="135"/>
      <c r="B106" s="112">
        <v>38</v>
      </c>
      <c r="C106" s="209" t="str">
        <f>IF('INPUT DATA'!N48="","",'INPUT DATA'!N48)</f>
        <v/>
      </c>
      <c r="D106" s="210"/>
      <c r="E106" s="210"/>
      <c r="F106" s="123"/>
      <c r="G106" s="119"/>
      <c r="H106" s="119"/>
      <c r="I106" s="119"/>
      <c r="J106" s="124"/>
      <c r="K106" s="143" t="str">
        <f t="shared" si="23"/>
        <v/>
      </c>
      <c r="L106" s="143" t="str">
        <f t="shared" si="12"/>
        <v/>
      </c>
      <c r="M106" s="146" t="str">
        <f t="shared" si="13"/>
        <v/>
      </c>
      <c r="N106" s="123"/>
      <c r="O106" s="119"/>
      <c r="P106" s="124"/>
      <c r="Q106" s="143" t="str">
        <f t="shared" si="14"/>
        <v/>
      </c>
      <c r="R106" s="143" t="str">
        <f t="shared" si="15"/>
        <v/>
      </c>
      <c r="S106" s="143" t="str">
        <f t="shared" si="16"/>
        <v/>
      </c>
      <c r="T106" s="123"/>
      <c r="U106" s="119"/>
      <c r="V106" s="124"/>
      <c r="W106" s="143" t="str">
        <f t="shared" si="17"/>
        <v/>
      </c>
      <c r="X106" s="143" t="str">
        <f t="shared" si="18"/>
        <v/>
      </c>
      <c r="Y106" s="143" t="str">
        <f t="shared" si="19"/>
        <v/>
      </c>
      <c r="Z106" s="150" t="str">
        <f t="shared" si="20"/>
        <v/>
      </c>
      <c r="AA106" s="143" t="str">
        <f t="shared" si="21"/>
        <v/>
      </c>
      <c r="AB106" s="152" t="str">
        <f t="shared" si="22"/>
        <v/>
      </c>
      <c r="AC106" s="158" t="str">
        <f>IF(AB106="","",IFERROR(INDEX(HELPER!$D$8:$D$48,IF(AB106&gt;=HELPER!$B$8,1,MATCH(AB106,HELPER!$B$8:$B$48,-1)+1)),""))</f>
        <v/>
      </c>
      <c r="AD106" s="155" t="str">
        <f>IF(AC106="","",IFERROR(VLOOKUP(AC106,HELPER!$F$8:$G$48,2,FALSE),""))</f>
        <v/>
      </c>
      <c r="AE106" s="135"/>
      <c r="AF106" s="90"/>
    </row>
    <row r="107" spans="1:32" ht="15" customHeight="1" x14ac:dyDescent="0.25">
      <c r="A107" s="135"/>
      <c r="B107" s="112">
        <v>39</v>
      </c>
      <c r="C107" s="209" t="str">
        <f>IF('INPUT DATA'!N49="","",'INPUT DATA'!N49)</f>
        <v/>
      </c>
      <c r="D107" s="210"/>
      <c r="E107" s="210"/>
      <c r="F107" s="123"/>
      <c r="G107" s="119"/>
      <c r="H107" s="119"/>
      <c r="I107" s="119"/>
      <c r="J107" s="124"/>
      <c r="K107" s="143" t="str">
        <f t="shared" si="23"/>
        <v/>
      </c>
      <c r="L107" s="143" t="str">
        <f t="shared" si="12"/>
        <v/>
      </c>
      <c r="M107" s="146" t="str">
        <f t="shared" si="13"/>
        <v/>
      </c>
      <c r="N107" s="123"/>
      <c r="O107" s="119"/>
      <c r="P107" s="124"/>
      <c r="Q107" s="143" t="str">
        <f t="shared" si="14"/>
        <v/>
      </c>
      <c r="R107" s="143" t="str">
        <f t="shared" si="15"/>
        <v/>
      </c>
      <c r="S107" s="143" t="str">
        <f t="shared" si="16"/>
        <v/>
      </c>
      <c r="T107" s="123"/>
      <c r="U107" s="119"/>
      <c r="V107" s="124"/>
      <c r="W107" s="143" t="str">
        <f t="shared" si="17"/>
        <v/>
      </c>
      <c r="X107" s="143" t="str">
        <f t="shared" si="18"/>
        <v/>
      </c>
      <c r="Y107" s="143" t="str">
        <f t="shared" si="19"/>
        <v/>
      </c>
      <c r="Z107" s="150" t="str">
        <f t="shared" si="20"/>
        <v/>
      </c>
      <c r="AA107" s="143" t="str">
        <f t="shared" si="21"/>
        <v/>
      </c>
      <c r="AB107" s="152" t="str">
        <f t="shared" si="22"/>
        <v/>
      </c>
      <c r="AC107" s="158" t="str">
        <f>IF(AB107="","",IFERROR(INDEX(HELPER!$D$8:$D$48,IF(AB107&gt;=HELPER!$B$8,1,MATCH(AB107,HELPER!$B$8:$B$48,-1)+1)),""))</f>
        <v/>
      </c>
      <c r="AD107" s="155" t="str">
        <f>IF(AC107="","",IFERROR(VLOOKUP(AC107,HELPER!$F$8:$G$48,2,FALSE),""))</f>
        <v/>
      </c>
      <c r="AE107" s="135"/>
      <c r="AF107" s="90"/>
    </row>
    <row r="108" spans="1:32" ht="15" customHeight="1" x14ac:dyDescent="0.25">
      <c r="A108" s="135"/>
      <c r="B108" s="112">
        <v>40</v>
      </c>
      <c r="C108" s="209" t="str">
        <f>IF('INPUT DATA'!N50="","",'INPUT DATA'!N50)</f>
        <v/>
      </c>
      <c r="D108" s="210"/>
      <c r="E108" s="210"/>
      <c r="F108" s="123"/>
      <c r="G108" s="119"/>
      <c r="H108" s="119"/>
      <c r="I108" s="119"/>
      <c r="J108" s="124"/>
      <c r="K108" s="143" t="str">
        <f t="shared" si="23"/>
        <v/>
      </c>
      <c r="L108" s="143" t="str">
        <f t="shared" si="12"/>
        <v/>
      </c>
      <c r="M108" s="146" t="str">
        <f t="shared" si="13"/>
        <v/>
      </c>
      <c r="N108" s="123"/>
      <c r="O108" s="119"/>
      <c r="P108" s="124"/>
      <c r="Q108" s="143" t="str">
        <f t="shared" si="14"/>
        <v/>
      </c>
      <c r="R108" s="143" t="str">
        <f t="shared" si="15"/>
        <v/>
      </c>
      <c r="S108" s="143" t="str">
        <f t="shared" si="16"/>
        <v/>
      </c>
      <c r="T108" s="123"/>
      <c r="U108" s="119"/>
      <c r="V108" s="124"/>
      <c r="W108" s="143" t="str">
        <f t="shared" si="17"/>
        <v/>
      </c>
      <c r="X108" s="143" t="str">
        <f t="shared" si="18"/>
        <v/>
      </c>
      <c r="Y108" s="143" t="str">
        <f t="shared" si="19"/>
        <v/>
      </c>
      <c r="Z108" s="150" t="str">
        <f t="shared" si="20"/>
        <v/>
      </c>
      <c r="AA108" s="143" t="str">
        <f t="shared" si="21"/>
        <v/>
      </c>
      <c r="AB108" s="152" t="str">
        <f t="shared" si="22"/>
        <v/>
      </c>
      <c r="AC108" s="158" t="str">
        <f>IF(AB108="","",IFERROR(INDEX(HELPER!$D$8:$D$48,IF(AB108&gt;=HELPER!$B$8,1,MATCH(AB108,HELPER!$B$8:$B$48,-1)+1)),""))</f>
        <v/>
      </c>
      <c r="AD108" s="155" t="str">
        <f>IF(AC108="","",IFERROR(VLOOKUP(AC108,HELPER!$F$8:$G$48,2,FALSE),""))</f>
        <v/>
      </c>
      <c r="AE108" s="135"/>
      <c r="AF108" s="90"/>
    </row>
    <row r="109" spans="1:32" ht="15" customHeight="1" x14ac:dyDescent="0.25">
      <c r="A109" s="135"/>
      <c r="B109" s="112">
        <v>41</v>
      </c>
      <c r="C109" s="209" t="str">
        <f>IF('INPUT DATA'!N51="","",'INPUT DATA'!N51)</f>
        <v/>
      </c>
      <c r="D109" s="210"/>
      <c r="E109" s="210"/>
      <c r="F109" s="123"/>
      <c r="G109" s="119"/>
      <c r="H109" s="119"/>
      <c r="I109" s="119"/>
      <c r="J109" s="124"/>
      <c r="K109" s="143" t="str">
        <f t="shared" si="23"/>
        <v/>
      </c>
      <c r="L109" s="143" t="str">
        <f t="shared" si="12"/>
        <v/>
      </c>
      <c r="M109" s="146" t="str">
        <f t="shared" si="13"/>
        <v/>
      </c>
      <c r="N109" s="123"/>
      <c r="O109" s="119"/>
      <c r="P109" s="124"/>
      <c r="Q109" s="143" t="str">
        <f t="shared" si="14"/>
        <v/>
      </c>
      <c r="R109" s="143" t="str">
        <f t="shared" si="15"/>
        <v/>
      </c>
      <c r="S109" s="143" t="str">
        <f t="shared" si="16"/>
        <v/>
      </c>
      <c r="T109" s="123"/>
      <c r="U109" s="119"/>
      <c r="V109" s="124"/>
      <c r="W109" s="143" t="str">
        <f t="shared" si="17"/>
        <v/>
      </c>
      <c r="X109" s="143" t="str">
        <f t="shared" si="18"/>
        <v/>
      </c>
      <c r="Y109" s="143" t="str">
        <f t="shared" si="19"/>
        <v/>
      </c>
      <c r="Z109" s="150" t="str">
        <f t="shared" si="20"/>
        <v/>
      </c>
      <c r="AA109" s="143" t="str">
        <f t="shared" si="21"/>
        <v/>
      </c>
      <c r="AB109" s="152" t="str">
        <f t="shared" si="22"/>
        <v/>
      </c>
      <c r="AC109" s="158" t="str">
        <f>IF(AB109="","",IFERROR(INDEX(HELPER!$D$8:$D$48,IF(AB109&gt;=HELPER!$B$8,1,MATCH(AB109,HELPER!$B$8:$B$48,-1)+1)),""))</f>
        <v/>
      </c>
      <c r="AD109" s="155" t="str">
        <f>IF(AC109="","",IFERROR(VLOOKUP(AC109,HELPER!$F$8:$G$48,2,FALSE),""))</f>
        <v/>
      </c>
      <c r="AE109" s="135"/>
      <c r="AF109" s="90"/>
    </row>
    <row r="110" spans="1:32" ht="15" customHeight="1" x14ac:dyDescent="0.25">
      <c r="A110" s="135"/>
      <c r="B110" s="112">
        <v>42</v>
      </c>
      <c r="C110" s="209" t="str">
        <f>IF('INPUT DATA'!N52="","",'INPUT DATA'!N52)</f>
        <v/>
      </c>
      <c r="D110" s="210"/>
      <c r="E110" s="210"/>
      <c r="F110" s="123"/>
      <c r="G110" s="119"/>
      <c r="H110" s="119"/>
      <c r="I110" s="119"/>
      <c r="J110" s="124"/>
      <c r="K110" s="143" t="str">
        <f t="shared" si="23"/>
        <v/>
      </c>
      <c r="L110" s="143" t="str">
        <f t="shared" si="12"/>
        <v/>
      </c>
      <c r="M110" s="146" t="str">
        <f t="shared" si="13"/>
        <v/>
      </c>
      <c r="N110" s="123"/>
      <c r="O110" s="119"/>
      <c r="P110" s="124"/>
      <c r="Q110" s="143" t="str">
        <f t="shared" si="14"/>
        <v/>
      </c>
      <c r="R110" s="143" t="str">
        <f t="shared" si="15"/>
        <v/>
      </c>
      <c r="S110" s="143" t="str">
        <f t="shared" si="16"/>
        <v/>
      </c>
      <c r="T110" s="123"/>
      <c r="U110" s="119"/>
      <c r="V110" s="124"/>
      <c r="W110" s="143" t="str">
        <f t="shared" si="17"/>
        <v/>
      </c>
      <c r="X110" s="143" t="str">
        <f t="shared" si="18"/>
        <v/>
      </c>
      <c r="Y110" s="143" t="str">
        <f t="shared" si="19"/>
        <v/>
      </c>
      <c r="Z110" s="150" t="str">
        <f t="shared" si="20"/>
        <v/>
      </c>
      <c r="AA110" s="143" t="str">
        <f t="shared" si="21"/>
        <v/>
      </c>
      <c r="AB110" s="152" t="str">
        <f t="shared" si="22"/>
        <v/>
      </c>
      <c r="AC110" s="158" t="str">
        <f>IF(AB110="","",IFERROR(INDEX(HELPER!$D$8:$D$48,IF(AB110&gt;=HELPER!$B$8,1,MATCH(AB110,HELPER!$B$8:$B$48,-1)+1)),""))</f>
        <v/>
      </c>
      <c r="AD110" s="155" t="str">
        <f>IF(AC110="","",IFERROR(VLOOKUP(AC110,HELPER!$F$8:$G$48,2,FALSE),""))</f>
        <v/>
      </c>
      <c r="AE110" s="135"/>
      <c r="AF110" s="90"/>
    </row>
    <row r="111" spans="1:32" ht="15" customHeight="1" x14ac:dyDescent="0.25">
      <c r="A111" s="135"/>
      <c r="B111" s="112">
        <v>43</v>
      </c>
      <c r="C111" s="209" t="str">
        <f>IF('INPUT DATA'!N53="","",'INPUT DATA'!N53)</f>
        <v/>
      </c>
      <c r="D111" s="210"/>
      <c r="E111" s="210"/>
      <c r="F111" s="123"/>
      <c r="G111" s="119"/>
      <c r="H111" s="119"/>
      <c r="I111" s="119"/>
      <c r="J111" s="124"/>
      <c r="K111" s="143" t="str">
        <f t="shared" si="23"/>
        <v/>
      </c>
      <c r="L111" s="143" t="str">
        <f t="shared" si="12"/>
        <v/>
      </c>
      <c r="M111" s="146" t="str">
        <f t="shared" si="13"/>
        <v/>
      </c>
      <c r="N111" s="123"/>
      <c r="O111" s="119"/>
      <c r="P111" s="124"/>
      <c r="Q111" s="143" t="str">
        <f t="shared" si="14"/>
        <v/>
      </c>
      <c r="R111" s="143" t="str">
        <f t="shared" si="15"/>
        <v/>
      </c>
      <c r="S111" s="143" t="str">
        <f t="shared" si="16"/>
        <v/>
      </c>
      <c r="T111" s="123"/>
      <c r="U111" s="119"/>
      <c r="V111" s="124"/>
      <c r="W111" s="143" t="str">
        <f t="shared" si="17"/>
        <v/>
      </c>
      <c r="X111" s="143" t="str">
        <f t="shared" si="18"/>
        <v/>
      </c>
      <c r="Y111" s="143" t="str">
        <f t="shared" si="19"/>
        <v/>
      </c>
      <c r="Z111" s="150" t="str">
        <f t="shared" si="20"/>
        <v/>
      </c>
      <c r="AA111" s="143" t="str">
        <f t="shared" si="21"/>
        <v/>
      </c>
      <c r="AB111" s="152" t="str">
        <f t="shared" si="22"/>
        <v/>
      </c>
      <c r="AC111" s="158" t="str">
        <f>IF(AB111="","",IFERROR(INDEX(HELPER!$D$8:$D$48,IF(AB111&gt;=HELPER!$B$8,1,MATCH(AB111,HELPER!$B$8:$B$48,-1)+1)),""))</f>
        <v/>
      </c>
      <c r="AD111" s="155" t="str">
        <f>IF(AC111="","",IFERROR(VLOOKUP(AC111,HELPER!$F$8:$G$48,2,FALSE),""))</f>
        <v/>
      </c>
      <c r="AE111" s="135"/>
      <c r="AF111" s="90"/>
    </row>
    <row r="112" spans="1:32" ht="15" customHeight="1" x14ac:dyDescent="0.25">
      <c r="A112" s="135"/>
      <c r="B112" s="112">
        <v>44</v>
      </c>
      <c r="C112" s="209" t="str">
        <f>IF('INPUT DATA'!N54="","",'INPUT DATA'!N54)</f>
        <v/>
      </c>
      <c r="D112" s="210"/>
      <c r="E112" s="210"/>
      <c r="F112" s="123"/>
      <c r="G112" s="119"/>
      <c r="H112" s="119"/>
      <c r="I112" s="119"/>
      <c r="J112" s="124"/>
      <c r="K112" s="143" t="str">
        <f t="shared" si="23"/>
        <v/>
      </c>
      <c r="L112" s="143" t="str">
        <f t="shared" si="12"/>
        <v/>
      </c>
      <c r="M112" s="146" t="str">
        <f t="shared" si="13"/>
        <v/>
      </c>
      <c r="N112" s="123"/>
      <c r="O112" s="119"/>
      <c r="P112" s="124"/>
      <c r="Q112" s="143" t="str">
        <f t="shared" si="14"/>
        <v/>
      </c>
      <c r="R112" s="143" t="str">
        <f t="shared" si="15"/>
        <v/>
      </c>
      <c r="S112" s="143" t="str">
        <f t="shared" si="16"/>
        <v/>
      </c>
      <c r="T112" s="123"/>
      <c r="U112" s="119"/>
      <c r="V112" s="124"/>
      <c r="W112" s="143" t="str">
        <f t="shared" si="17"/>
        <v/>
      </c>
      <c r="X112" s="143" t="str">
        <f t="shared" si="18"/>
        <v/>
      </c>
      <c r="Y112" s="143" t="str">
        <f t="shared" si="19"/>
        <v/>
      </c>
      <c r="Z112" s="150" t="str">
        <f t="shared" si="20"/>
        <v/>
      </c>
      <c r="AA112" s="143" t="str">
        <f t="shared" si="21"/>
        <v/>
      </c>
      <c r="AB112" s="152" t="str">
        <f t="shared" si="22"/>
        <v/>
      </c>
      <c r="AC112" s="158" t="str">
        <f>IF(AB112="","",IFERROR(INDEX(HELPER!$D$8:$D$48,IF(AB112&gt;=HELPER!$B$8,1,MATCH(AB112,HELPER!$B$8:$B$48,-1)+1)),""))</f>
        <v/>
      </c>
      <c r="AD112" s="155" t="str">
        <f>IF(AC112="","",IFERROR(VLOOKUP(AC112,HELPER!$F$8:$G$48,2,FALSE),""))</f>
        <v/>
      </c>
      <c r="AE112" s="135"/>
      <c r="AF112" s="90"/>
    </row>
    <row r="113" spans="1:32" ht="15" customHeight="1" x14ac:dyDescent="0.25">
      <c r="A113" s="135"/>
      <c r="B113" s="112">
        <v>45</v>
      </c>
      <c r="C113" s="209" t="str">
        <f>IF('INPUT DATA'!N55="","",'INPUT DATA'!N55)</f>
        <v/>
      </c>
      <c r="D113" s="210"/>
      <c r="E113" s="210"/>
      <c r="F113" s="123"/>
      <c r="G113" s="119"/>
      <c r="H113" s="119"/>
      <c r="I113" s="119"/>
      <c r="J113" s="124"/>
      <c r="K113" s="143" t="str">
        <f t="shared" si="23"/>
        <v/>
      </c>
      <c r="L113" s="143" t="str">
        <f t="shared" si="12"/>
        <v/>
      </c>
      <c r="M113" s="146" t="str">
        <f t="shared" si="13"/>
        <v/>
      </c>
      <c r="N113" s="123"/>
      <c r="O113" s="119"/>
      <c r="P113" s="124"/>
      <c r="Q113" s="143" t="str">
        <f t="shared" si="14"/>
        <v/>
      </c>
      <c r="R113" s="143" t="str">
        <f t="shared" si="15"/>
        <v/>
      </c>
      <c r="S113" s="143" t="str">
        <f t="shared" si="16"/>
        <v/>
      </c>
      <c r="T113" s="123"/>
      <c r="U113" s="119"/>
      <c r="V113" s="124"/>
      <c r="W113" s="143" t="str">
        <f t="shared" si="17"/>
        <v/>
      </c>
      <c r="X113" s="143" t="str">
        <f t="shared" si="18"/>
        <v/>
      </c>
      <c r="Y113" s="143" t="str">
        <f t="shared" si="19"/>
        <v/>
      </c>
      <c r="Z113" s="150" t="str">
        <f t="shared" si="20"/>
        <v/>
      </c>
      <c r="AA113" s="143" t="str">
        <f t="shared" si="21"/>
        <v/>
      </c>
      <c r="AB113" s="152" t="str">
        <f t="shared" si="22"/>
        <v/>
      </c>
      <c r="AC113" s="158" t="str">
        <f>IF(AB113="","",IFERROR(INDEX(HELPER!$D$8:$D$48,IF(AB113&gt;=HELPER!$B$8,1,MATCH(AB113,HELPER!$B$8:$B$48,-1)+1)),""))</f>
        <v/>
      </c>
      <c r="AD113" s="155" t="str">
        <f>IF(AC113="","",IFERROR(VLOOKUP(AC113,HELPER!$F$8:$G$48,2,FALSE),""))</f>
        <v/>
      </c>
      <c r="AE113" s="135"/>
      <c r="AF113" s="90"/>
    </row>
    <row r="114" spans="1:32" ht="15" customHeight="1" x14ac:dyDescent="0.25">
      <c r="A114" s="135"/>
      <c r="B114" s="112">
        <v>46</v>
      </c>
      <c r="C114" s="209" t="str">
        <f>IF('INPUT DATA'!N56="","",'INPUT DATA'!N56)</f>
        <v/>
      </c>
      <c r="D114" s="210"/>
      <c r="E114" s="210"/>
      <c r="F114" s="123"/>
      <c r="G114" s="119"/>
      <c r="H114" s="119"/>
      <c r="I114" s="119"/>
      <c r="J114" s="124"/>
      <c r="K114" s="143" t="str">
        <f t="shared" si="23"/>
        <v/>
      </c>
      <c r="L114" s="143" t="str">
        <f t="shared" si="12"/>
        <v/>
      </c>
      <c r="M114" s="146" t="str">
        <f t="shared" si="13"/>
        <v/>
      </c>
      <c r="N114" s="123"/>
      <c r="O114" s="119"/>
      <c r="P114" s="124"/>
      <c r="Q114" s="143" t="str">
        <f t="shared" si="14"/>
        <v/>
      </c>
      <c r="R114" s="143" t="str">
        <f t="shared" si="15"/>
        <v/>
      </c>
      <c r="S114" s="143" t="str">
        <f t="shared" si="16"/>
        <v/>
      </c>
      <c r="T114" s="123"/>
      <c r="U114" s="119"/>
      <c r="V114" s="124"/>
      <c r="W114" s="143" t="str">
        <f t="shared" si="17"/>
        <v/>
      </c>
      <c r="X114" s="143" t="str">
        <f t="shared" si="18"/>
        <v/>
      </c>
      <c r="Y114" s="143" t="str">
        <f t="shared" si="19"/>
        <v/>
      </c>
      <c r="Z114" s="150" t="str">
        <f t="shared" si="20"/>
        <v/>
      </c>
      <c r="AA114" s="143" t="str">
        <f t="shared" si="21"/>
        <v/>
      </c>
      <c r="AB114" s="152" t="str">
        <f t="shared" si="22"/>
        <v/>
      </c>
      <c r="AC114" s="158" t="str">
        <f>IF(AB114="","",IFERROR(INDEX(HELPER!$D$8:$D$48,IF(AB114&gt;=HELPER!$B$8,1,MATCH(AB114,HELPER!$B$8:$B$48,-1)+1)),""))</f>
        <v/>
      </c>
      <c r="AD114" s="155" t="str">
        <f>IF(AC114="","",IFERROR(VLOOKUP(AC114,HELPER!$F$8:$G$48,2,FALSE),""))</f>
        <v/>
      </c>
      <c r="AE114" s="135"/>
      <c r="AF114" s="90"/>
    </row>
    <row r="115" spans="1:32" ht="15" customHeight="1" x14ac:dyDescent="0.25">
      <c r="A115" s="135"/>
      <c r="B115" s="112">
        <v>47</v>
      </c>
      <c r="C115" s="209" t="str">
        <f>IF('INPUT DATA'!N57="","",'INPUT DATA'!N57)</f>
        <v/>
      </c>
      <c r="D115" s="210"/>
      <c r="E115" s="210"/>
      <c r="F115" s="123"/>
      <c r="G115" s="119"/>
      <c r="H115" s="119"/>
      <c r="I115" s="119"/>
      <c r="J115" s="124"/>
      <c r="K115" s="143" t="str">
        <f t="shared" si="23"/>
        <v/>
      </c>
      <c r="L115" s="143" t="str">
        <f t="shared" si="12"/>
        <v/>
      </c>
      <c r="M115" s="146" t="str">
        <f t="shared" si="13"/>
        <v/>
      </c>
      <c r="N115" s="123"/>
      <c r="O115" s="119"/>
      <c r="P115" s="124"/>
      <c r="Q115" s="143" t="str">
        <f t="shared" si="14"/>
        <v/>
      </c>
      <c r="R115" s="143" t="str">
        <f t="shared" si="15"/>
        <v/>
      </c>
      <c r="S115" s="143" t="str">
        <f t="shared" si="16"/>
        <v/>
      </c>
      <c r="T115" s="123"/>
      <c r="U115" s="119"/>
      <c r="V115" s="124"/>
      <c r="W115" s="143" t="str">
        <f t="shared" si="17"/>
        <v/>
      </c>
      <c r="X115" s="143" t="str">
        <f t="shared" si="18"/>
        <v/>
      </c>
      <c r="Y115" s="143" t="str">
        <f t="shared" si="19"/>
        <v/>
      </c>
      <c r="Z115" s="150" t="str">
        <f t="shared" si="20"/>
        <v/>
      </c>
      <c r="AA115" s="143" t="str">
        <f t="shared" si="21"/>
        <v/>
      </c>
      <c r="AB115" s="152" t="str">
        <f t="shared" si="22"/>
        <v/>
      </c>
      <c r="AC115" s="158" t="str">
        <f>IF(AB115="","",IFERROR(INDEX(HELPER!$D$8:$D$48,IF(AB115&gt;=HELPER!$B$8,1,MATCH(AB115,HELPER!$B$8:$B$48,-1)+1)),""))</f>
        <v/>
      </c>
      <c r="AD115" s="155" t="str">
        <f>IF(AC115="","",IFERROR(VLOOKUP(AC115,HELPER!$F$8:$G$48,2,FALSE),""))</f>
        <v/>
      </c>
      <c r="AE115" s="135"/>
      <c r="AF115" s="90"/>
    </row>
    <row r="116" spans="1:32" ht="15" customHeight="1" x14ac:dyDescent="0.25">
      <c r="A116" s="135"/>
      <c r="B116" s="112">
        <v>48</v>
      </c>
      <c r="C116" s="209" t="str">
        <f>IF('INPUT DATA'!N58="","",'INPUT DATA'!N58)</f>
        <v/>
      </c>
      <c r="D116" s="210"/>
      <c r="E116" s="210"/>
      <c r="F116" s="123"/>
      <c r="G116" s="119"/>
      <c r="H116" s="119"/>
      <c r="I116" s="119"/>
      <c r="J116" s="124"/>
      <c r="K116" s="143" t="str">
        <f t="shared" si="23"/>
        <v/>
      </c>
      <c r="L116" s="143" t="str">
        <f t="shared" si="12"/>
        <v/>
      </c>
      <c r="M116" s="146" t="str">
        <f t="shared" si="13"/>
        <v/>
      </c>
      <c r="N116" s="123"/>
      <c r="O116" s="119"/>
      <c r="P116" s="124"/>
      <c r="Q116" s="143" t="str">
        <f t="shared" si="14"/>
        <v/>
      </c>
      <c r="R116" s="143" t="str">
        <f t="shared" si="15"/>
        <v/>
      </c>
      <c r="S116" s="143" t="str">
        <f t="shared" si="16"/>
        <v/>
      </c>
      <c r="T116" s="123"/>
      <c r="U116" s="119"/>
      <c r="V116" s="124"/>
      <c r="W116" s="143" t="str">
        <f t="shared" si="17"/>
        <v/>
      </c>
      <c r="X116" s="143" t="str">
        <f t="shared" si="18"/>
        <v/>
      </c>
      <c r="Y116" s="143" t="str">
        <f t="shared" si="19"/>
        <v/>
      </c>
      <c r="Z116" s="150" t="str">
        <f t="shared" si="20"/>
        <v/>
      </c>
      <c r="AA116" s="143" t="str">
        <f t="shared" si="21"/>
        <v/>
      </c>
      <c r="AB116" s="152" t="str">
        <f t="shared" si="22"/>
        <v/>
      </c>
      <c r="AC116" s="158" t="str">
        <f>IF(AB116="","",IFERROR(INDEX(HELPER!$D$8:$D$48,IF(AB116&gt;=HELPER!$B$8,1,MATCH(AB116,HELPER!$B$8:$B$48,-1)+1)),""))</f>
        <v/>
      </c>
      <c r="AD116" s="155" t="str">
        <f>IF(AC116="","",IFERROR(VLOOKUP(AC116,HELPER!$F$8:$G$48,2,FALSE),""))</f>
        <v/>
      </c>
      <c r="AE116" s="135"/>
      <c r="AF116" s="90"/>
    </row>
    <row r="117" spans="1:32" ht="15" customHeight="1" x14ac:dyDescent="0.25">
      <c r="A117" s="135"/>
      <c r="B117" s="112">
        <v>49</v>
      </c>
      <c r="C117" s="209" t="str">
        <f>IF('INPUT DATA'!N59="","",'INPUT DATA'!N59)</f>
        <v/>
      </c>
      <c r="D117" s="210"/>
      <c r="E117" s="210"/>
      <c r="F117" s="123"/>
      <c r="G117" s="119"/>
      <c r="H117" s="119"/>
      <c r="I117" s="119"/>
      <c r="J117" s="124"/>
      <c r="K117" s="143" t="str">
        <f t="shared" si="23"/>
        <v/>
      </c>
      <c r="L117" s="143" t="str">
        <f t="shared" si="12"/>
        <v/>
      </c>
      <c r="M117" s="146" t="str">
        <f t="shared" si="13"/>
        <v/>
      </c>
      <c r="N117" s="123"/>
      <c r="O117" s="119"/>
      <c r="P117" s="124"/>
      <c r="Q117" s="143" t="str">
        <f t="shared" si="14"/>
        <v/>
      </c>
      <c r="R117" s="143" t="str">
        <f t="shared" si="15"/>
        <v/>
      </c>
      <c r="S117" s="143" t="str">
        <f t="shared" si="16"/>
        <v/>
      </c>
      <c r="T117" s="123"/>
      <c r="U117" s="119"/>
      <c r="V117" s="124"/>
      <c r="W117" s="143" t="str">
        <f t="shared" si="17"/>
        <v/>
      </c>
      <c r="X117" s="143" t="str">
        <f t="shared" si="18"/>
        <v/>
      </c>
      <c r="Y117" s="143" t="str">
        <f t="shared" si="19"/>
        <v/>
      </c>
      <c r="Z117" s="150" t="str">
        <f t="shared" si="20"/>
        <v/>
      </c>
      <c r="AA117" s="143" t="str">
        <f t="shared" si="21"/>
        <v/>
      </c>
      <c r="AB117" s="152" t="str">
        <f t="shared" si="22"/>
        <v/>
      </c>
      <c r="AC117" s="158" t="str">
        <f>IF(AB117="","",IFERROR(INDEX(HELPER!$D$8:$D$48,IF(AB117&gt;=HELPER!$B$8,1,MATCH(AB117,HELPER!$B$8:$B$48,-1)+1)),""))</f>
        <v/>
      </c>
      <c r="AD117" s="155" t="str">
        <f>IF(AC117="","",IFERROR(VLOOKUP(AC117,HELPER!$F$8:$G$48,2,FALSE),""))</f>
        <v/>
      </c>
      <c r="AE117" s="135"/>
      <c r="AF117" s="90"/>
    </row>
    <row r="118" spans="1:32" ht="15" customHeight="1" thickBot="1" x14ac:dyDescent="0.3">
      <c r="A118" s="135"/>
      <c r="B118" s="113">
        <v>50</v>
      </c>
      <c r="C118" s="229" t="str">
        <f>IF('INPUT DATA'!N60="","",'INPUT DATA'!N60)</f>
        <v/>
      </c>
      <c r="D118" s="230"/>
      <c r="E118" s="230"/>
      <c r="F118" s="125"/>
      <c r="G118" s="126"/>
      <c r="H118" s="126"/>
      <c r="I118" s="126"/>
      <c r="J118" s="127"/>
      <c r="K118" s="144" t="str">
        <f t="shared" si="23"/>
        <v/>
      </c>
      <c r="L118" s="144" t="str">
        <f t="shared" si="12"/>
        <v/>
      </c>
      <c r="M118" s="147" t="str">
        <f t="shared" si="13"/>
        <v/>
      </c>
      <c r="N118" s="125"/>
      <c r="O118" s="126"/>
      <c r="P118" s="127"/>
      <c r="Q118" s="144" t="str">
        <f t="shared" si="14"/>
        <v/>
      </c>
      <c r="R118" s="144" t="str">
        <f t="shared" si="15"/>
        <v/>
      </c>
      <c r="S118" s="144" t="str">
        <f t="shared" si="16"/>
        <v/>
      </c>
      <c r="T118" s="125"/>
      <c r="U118" s="126"/>
      <c r="V118" s="127"/>
      <c r="W118" s="144" t="str">
        <f t="shared" si="17"/>
        <v/>
      </c>
      <c r="X118" s="144" t="str">
        <f t="shared" si="18"/>
        <v/>
      </c>
      <c r="Y118" s="144" t="str">
        <f t="shared" si="19"/>
        <v/>
      </c>
      <c r="Z118" s="148" t="str">
        <f t="shared" si="20"/>
        <v/>
      </c>
      <c r="AA118" s="144" t="str">
        <f t="shared" si="21"/>
        <v/>
      </c>
      <c r="AB118" s="153" t="str">
        <f t="shared" si="22"/>
        <v/>
      </c>
      <c r="AC118" s="159" t="str">
        <f>IF(AB118="","",IFERROR(INDEX(HELPER!$D$8:$D$48,IF(AB118&gt;=HELPER!$B$8,1,MATCH(AB118,HELPER!$B$8:$B$48,-1)+1)),""))</f>
        <v/>
      </c>
      <c r="AD118" s="156" t="str">
        <f>IF(AC118="","",IFERROR(VLOOKUP(AC118,HELPER!$F$8:$G$48,2,FALSE),""))</f>
        <v/>
      </c>
      <c r="AE118" s="135"/>
      <c r="AF118" s="90"/>
    </row>
    <row r="119" spans="1:32" ht="13.2" customHeight="1" x14ac:dyDescent="0.25">
      <c r="A119" s="135"/>
      <c r="B119" s="135"/>
      <c r="C119" s="239"/>
      <c r="D119" s="226"/>
      <c r="E119" s="226"/>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c r="AB119" s="135"/>
      <c r="AC119" s="135"/>
      <c r="AD119" s="135"/>
      <c r="AE119" s="135"/>
      <c r="AF119" s="90"/>
    </row>
    <row r="120" spans="1:32" ht="13.2" customHeight="1" x14ac:dyDescent="0.25">
      <c r="A120" s="135"/>
      <c r="B120" s="135"/>
      <c r="C120" s="239"/>
      <c r="D120" s="226"/>
      <c r="E120" s="226"/>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c r="AB120" s="135"/>
      <c r="AC120" s="135"/>
      <c r="AD120" s="135"/>
      <c r="AE120" s="135"/>
      <c r="AF120" s="90"/>
    </row>
  </sheetData>
  <sheetProtection algorithmName="SHA-512" hashValue="EfToOqqG2BFOVJKAT3fUhwlkWmpJdLx3HGB2EWlif+zX4XxoodEF7Z8dHcLvcLjZOcJ77KVA3UmJH6Rnz3s1Cw==" saltValue="4+38yIlsS6+lKGd0LcC2dQ==" spinCount="100000" sheet="1" objects="1" scenarios="1" formatCells="0" formatColumns="0" formatRows="0"/>
  <mergeCells count="128">
    <mergeCell ref="B2:AD3"/>
    <mergeCell ref="F5:L5"/>
    <mergeCell ref="R5:V5"/>
    <mergeCell ref="Z5:AB5"/>
    <mergeCell ref="F7:V7"/>
    <mergeCell ref="Z7:AB7"/>
    <mergeCell ref="F12:M13"/>
    <mergeCell ref="N12:S13"/>
    <mergeCell ref="T12:AA13"/>
    <mergeCell ref="AB12:AB15"/>
    <mergeCell ref="AC12:AC15"/>
    <mergeCell ref="AD12:AD15"/>
    <mergeCell ref="B9:AD9"/>
    <mergeCell ref="B10:E14"/>
    <mergeCell ref="F10:I10"/>
    <mergeCell ref="J10:M10"/>
    <mergeCell ref="N10:P11"/>
    <mergeCell ref="Q10:X11"/>
    <mergeCell ref="Y10:Z11"/>
    <mergeCell ref="AA10:AD11"/>
    <mergeCell ref="F11:I11"/>
    <mergeCell ref="J11:M11"/>
    <mergeCell ref="C21:E21"/>
    <mergeCell ref="C22:E22"/>
    <mergeCell ref="C23:E23"/>
    <mergeCell ref="C24:E24"/>
    <mergeCell ref="C25:E25"/>
    <mergeCell ref="C26:E26"/>
    <mergeCell ref="B15:E15"/>
    <mergeCell ref="B16:AD16"/>
    <mergeCell ref="B17:AD17"/>
    <mergeCell ref="C18:E18"/>
    <mergeCell ref="C19:E19"/>
    <mergeCell ref="C20:E20"/>
    <mergeCell ref="C33:E33"/>
    <mergeCell ref="C34:E34"/>
    <mergeCell ref="C35:E35"/>
    <mergeCell ref="C36:E36"/>
    <mergeCell ref="C37:E37"/>
    <mergeCell ref="C38:E38"/>
    <mergeCell ref="C27:E27"/>
    <mergeCell ref="C28:E28"/>
    <mergeCell ref="C29:E29"/>
    <mergeCell ref="C30:E30"/>
    <mergeCell ref="C31:E31"/>
    <mergeCell ref="C32:E32"/>
    <mergeCell ref="C45:E45"/>
    <mergeCell ref="C46:E46"/>
    <mergeCell ref="C47:E47"/>
    <mergeCell ref="C48:E48"/>
    <mergeCell ref="C49:E49"/>
    <mergeCell ref="C50:E50"/>
    <mergeCell ref="C39:E39"/>
    <mergeCell ref="C40:E40"/>
    <mergeCell ref="C41:E41"/>
    <mergeCell ref="C42:E42"/>
    <mergeCell ref="C43:E43"/>
    <mergeCell ref="C44:E44"/>
    <mergeCell ref="C57:E57"/>
    <mergeCell ref="C58:E58"/>
    <mergeCell ref="C59:E59"/>
    <mergeCell ref="C60:E60"/>
    <mergeCell ref="C61:E61"/>
    <mergeCell ref="C62:E62"/>
    <mergeCell ref="C51:E51"/>
    <mergeCell ref="C52:E52"/>
    <mergeCell ref="C53:E53"/>
    <mergeCell ref="C54:E54"/>
    <mergeCell ref="C55:E55"/>
    <mergeCell ref="C56:E56"/>
    <mergeCell ref="C69:E69"/>
    <mergeCell ref="C70:E70"/>
    <mergeCell ref="C71:E71"/>
    <mergeCell ref="C72:E72"/>
    <mergeCell ref="C73:E73"/>
    <mergeCell ref="C74:E74"/>
    <mergeCell ref="C63:E63"/>
    <mergeCell ref="C64:E64"/>
    <mergeCell ref="C65:E65"/>
    <mergeCell ref="C66:E66"/>
    <mergeCell ref="C67:E67"/>
    <mergeCell ref="B68:AD68"/>
    <mergeCell ref="C81:E81"/>
    <mergeCell ref="C82:E82"/>
    <mergeCell ref="C83:E83"/>
    <mergeCell ref="C84:E84"/>
    <mergeCell ref="C85:E85"/>
    <mergeCell ref="C86:E86"/>
    <mergeCell ref="C75:E75"/>
    <mergeCell ref="C76:E76"/>
    <mergeCell ref="C77:E77"/>
    <mergeCell ref="C78:E78"/>
    <mergeCell ref="C79:E79"/>
    <mergeCell ref="C80:E80"/>
    <mergeCell ref="C93:E93"/>
    <mergeCell ref="C94:E94"/>
    <mergeCell ref="C95:E95"/>
    <mergeCell ref="C96:E96"/>
    <mergeCell ref="C97:E97"/>
    <mergeCell ref="C98:E98"/>
    <mergeCell ref="C87:E87"/>
    <mergeCell ref="C88:E88"/>
    <mergeCell ref="C89:E89"/>
    <mergeCell ref="C90:E90"/>
    <mergeCell ref="C91:E91"/>
    <mergeCell ref="C92:E92"/>
    <mergeCell ref="C105:E105"/>
    <mergeCell ref="C106:E106"/>
    <mergeCell ref="C107:E107"/>
    <mergeCell ref="C108:E108"/>
    <mergeCell ref="C109:E109"/>
    <mergeCell ref="C110:E110"/>
    <mergeCell ref="C99:E99"/>
    <mergeCell ref="C100:E100"/>
    <mergeCell ref="C101:E101"/>
    <mergeCell ref="C102:E102"/>
    <mergeCell ref="C103:E103"/>
    <mergeCell ref="C104:E104"/>
    <mergeCell ref="C117:E117"/>
    <mergeCell ref="C118:E118"/>
    <mergeCell ref="C119:E119"/>
    <mergeCell ref="C120:E120"/>
    <mergeCell ref="C111:E111"/>
    <mergeCell ref="C112:E112"/>
    <mergeCell ref="C113:E113"/>
    <mergeCell ref="C114:E114"/>
    <mergeCell ref="C115:E115"/>
    <mergeCell ref="C116:E116"/>
  </mergeCells>
  <dataValidations count="27">
    <dataValidation type="custom" allowBlank="1" showInputMessage="1" showErrorMessage="1" errorTitle="Invalid Input" error="The score cannot be greater than the HPS." promptTitle="Score Entry" prompt="Enter learners' raw scores." sqref="V18:V67 V69:V118" xr:uid="{37CDB2B6-AD29-4508-8AE4-F8EFB4DB1143}">
      <formula1>V18&lt;=$V$15</formula1>
    </dataValidation>
    <dataValidation type="custom" allowBlank="1" showInputMessage="1" showErrorMessage="1" errorTitle="Invalid Input" error="The score cannot be greater than the HPS." promptTitle="Score Entry" prompt="Enter learners' raw scores." sqref="U18:U67 U69:U118" xr:uid="{4CD7C183-70E1-47D6-8FFB-DF4834E57B60}">
      <formula1>U18&lt;=$U$15</formula1>
    </dataValidation>
    <dataValidation type="custom" allowBlank="1" showInputMessage="1" showErrorMessage="1" errorTitle="Invalid Input" error="The score cannot be greater than the HPS." promptTitle="Score Entry" prompt="Enter learners' raw scores." sqref="T18:T67 T69:T118" xr:uid="{BC40035B-C6F6-4F0A-8B86-563406D4B7AB}">
      <formula1>T18&lt;=$T$15</formula1>
    </dataValidation>
    <dataValidation type="custom" allowBlank="1" showInputMessage="1" showErrorMessage="1" errorTitle="Invalid Input" error="The score cannot be greater than the HPS." promptTitle="Score Entry" prompt="Enter learners' raw scores." sqref="P18:P67 P69:P118" xr:uid="{976F5D6C-BAF7-427C-944C-55E03D25EF8B}">
      <formula1>P18&lt;=$P$15</formula1>
    </dataValidation>
    <dataValidation type="custom" allowBlank="1" showInputMessage="1" showErrorMessage="1" errorTitle="Invalid Input" error="The score cannot be greater than the HPS." promptTitle="Score Entry" prompt="Enter learners' raw scores." sqref="O18:O67 O69:O118" xr:uid="{5023CDE8-04DB-47CE-A1D4-0A080F23A84D}">
      <formula1>O18&lt;=$O$15</formula1>
    </dataValidation>
    <dataValidation type="custom" allowBlank="1" showInputMessage="1" showErrorMessage="1" errorTitle="Invalid Input" error="The score cannot be greater than the HPS." promptTitle="Score Entry" prompt="Enter learners' raw scores." sqref="N18:N67 N69:N118" xr:uid="{5B97E8C2-C735-4D3F-A348-5A6978A79FB4}">
      <formula1>N18&lt;=$N$15</formula1>
    </dataValidation>
    <dataValidation type="custom" allowBlank="1" showInputMessage="1" showErrorMessage="1" errorTitle="Invalid Input" error="The score cannot be greater than the HPS." promptTitle="Score Entry" prompt="Enter learners' raw scores." sqref="J18:J67 J69:J118" xr:uid="{3FAA6992-F009-45F5-8D6F-89996544F3B3}">
      <formula1>J18&lt;=$J$15</formula1>
    </dataValidation>
    <dataValidation type="custom" allowBlank="1" showInputMessage="1" showErrorMessage="1" errorTitle="Invalid Input" error="The score cannot be greater than the HPS." promptTitle="Score Entry" prompt="Enter learners' raw scores." sqref="I18:I67 I69:I118" xr:uid="{955ECC8E-E33A-40B5-962C-17AEEFCE5CFE}">
      <formula1>I18&lt;=$I$15</formula1>
    </dataValidation>
    <dataValidation type="custom" allowBlank="1" showInputMessage="1" showErrorMessage="1" errorTitle="Invalid Input" error="The score cannot be greater than the HPS." promptTitle="Score Entry" prompt="Enter learners' raw scores." sqref="H18:H67 H69:H118" xr:uid="{743EA9B2-84D8-4635-8BDF-4D7AA3533626}">
      <formula1>H18&lt;=$H$15</formula1>
    </dataValidation>
    <dataValidation type="custom" allowBlank="1" showInputMessage="1" showErrorMessage="1" errorTitle="Invalid Input" error="The score cannot be greater than the HPS." promptTitle="Score Entry" prompt="Enter learners' raw scores." sqref="G18:G67 G69:G118" xr:uid="{DE3FBD82-B266-4548-BD66-5543ED6B6300}">
      <formula1>G18&lt;=$G$15</formula1>
    </dataValidation>
    <dataValidation type="custom" allowBlank="1" showInputMessage="1" showErrorMessage="1" errorTitle="Invalid Input" error="The score cannot be greater than the HPS." promptTitle="Score Entry" prompt="Enter learners' raw scores." sqref="F18:F67 F69:F118" xr:uid="{1263B28B-8234-4985-9982-2AC52D1F24EB}">
      <formula1>F18&lt;=$F$15</formula1>
    </dataValidation>
    <dataValidation type="whole" allowBlank="1" showInputMessage="1" showErrorMessage="1" promptTitle="Highest Possible Score" prompt="Enter HPS." sqref="U15:V15 T15" xr:uid="{CB370EAD-71AC-4EAD-9D40-6AFB5140890E}">
      <formula1>0</formula1>
      <formula2>1000</formula2>
    </dataValidation>
    <dataValidation allowBlank="1" showInputMessage="1" showErrorMessage="1" prompt="Transmuted Term Grade" sqref="AC18:AC67 AC69:AC118" xr:uid="{83095428-D05F-4081-9552-B1103289B98E}"/>
    <dataValidation allowBlank="1" showInputMessage="1" showErrorMessage="1" prompt="INITIAL GRADE" sqref="AB18:AB67 AB69:AB118" xr:uid="{3F0F149C-5D1E-4AE8-931A-1F063106FAB9}"/>
    <dataValidation allowBlank="1" showInputMessage="1" showErrorMessage="1" prompt="Examinations' Weighted Score" sqref="AA15 AA18:AA67 AA69:AA118" xr:uid="{200FA3BB-B604-4421-BD06-D6DB19A1993E}"/>
    <dataValidation allowBlank="1" showInputMessage="1" showErrorMessage="1" prompt="Examinations' Percetage Score" sqref="Z15 Z18:Z67 Z69:Z118" xr:uid="{5BAEB159-95A0-4429-9A54-E38EF4B6527B}"/>
    <dataValidation allowBlank="1" showInputMessage="1" showErrorMessage="1" prompt="Weighted Score for Term Exam" sqref="Y15 Y18:Y67 Y69:Y118" xr:uid="{E5D4D240-BE1D-4EAA-B339-EAD256198FBB}"/>
    <dataValidation allowBlank="1" showInputMessage="1" showErrorMessage="1" prompt="Weighted Score for Summative Test 2" sqref="X15 X18:X67 X69:X118" xr:uid="{EC3732E9-780F-4112-A655-1DE4BFD106B8}"/>
    <dataValidation allowBlank="1" showInputMessage="1" showErrorMessage="1" prompt="Weighted Score for Summative Test 1" sqref="W15 W18:W67 W69:W118" xr:uid="{65EB8E09-C5CE-46B3-AC2E-0944DC4AF5B9}"/>
    <dataValidation allowBlank="1" showInputMessage="1" showErrorMessage="1" prompt="Products/Performance Tasks' Weighted Score." sqref="S15 S18:S67 S69:S118" xr:uid="{9E176788-F3FF-4B91-B4AE-F7A9430C0332}"/>
    <dataValidation allowBlank="1" showInputMessage="1" showErrorMessage="1" prompt="Products/Performance Tasks' Percentage Score." sqref="R15 R18:R67 R69:R118" xr:uid="{39BDAF0F-957D-4370-A706-4A4768765C8C}"/>
    <dataValidation allowBlank="1" showInputMessage="1" showErrorMessage="1" prompt="Written/Oral Works' Weighted Score." sqref="M15 M18:M67 M69:M118" xr:uid="{D9CC71D4-39F4-45D1-B10F-BA7C873229D8}"/>
    <dataValidation allowBlank="1" showInputMessage="1" showErrorMessage="1" prompt="Written/Oral Works' Percentage Score." sqref="L15 L18:L67 L69:L118" xr:uid="{9B97BE99-3DEA-4AE0-B083-F694D13838E8}"/>
    <dataValidation allowBlank="1" showInputMessage="1" showErrorMessage="1" prompt="Products/Performance Tasks' Highest Possible Score." sqref="Q15 Q18:Q67 Q69:Q118" xr:uid="{636F8483-41CF-4D3B-A7C1-BF395134FA90}"/>
    <dataValidation allowBlank="1" showInputMessage="1" showErrorMessage="1" prompt="Written/Oral Works' Highest Possible Score." sqref="K15 K18:K67 K69:K118" xr:uid="{D13786A9-B8FB-4D62-94D2-112F10B3FD94}"/>
    <dataValidation allowBlank="1" showInputMessage="1" showErrorMessage="1" prompt="Do not type name of learners here. Go to INPUT DATA sheet." sqref="C18:E67 C69:E118" xr:uid="{2FDED83E-11DE-4074-A575-7E3BC868B4BD}"/>
    <dataValidation type="whole" allowBlank="1" showInputMessage="1" showErrorMessage="1" promptTitle="Highest Possible Score" prompt="Enter HPS." sqref="F15:J15 N15:P15" xr:uid="{5E06E166-3F99-432D-9C07-094C9B8E0FB1}">
      <formula1>0</formula1>
      <formula2>1000</formula2>
    </dataValidation>
  </dataValidations>
  <pageMargins left="0.23622047244094491" right="0.23622047244094491" top="0.39370078740157483" bottom="0.39370078740157483" header="0.31496062992125978" footer="0.31496062992125978"/>
  <pageSetup paperSize="9" scale="76" fitToHeight="0"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50"/>
    <outlinePr summaryBelow="0" summaryRight="0"/>
    <pageSetUpPr fitToPage="1"/>
  </sheetPr>
  <dimension ref="A1:X118"/>
  <sheetViews>
    <sheetView showGridLines="0" zoomScale="85" zoomScaleNormal="85" workbookViewId="0">
      <pane ySplit="13" topLeftCell="A14" activePane="bottomLeft" state="frozen"/>
      <selection pane="bottomLeft"/>
    </sheetView>
  </sheetViews>
  <sheetFormatPr defaultColWidth="12.6640625" defaultRowHeight="15.75" customHeight="1" x14ac:dyDescent="0.25"/>
  <cols>
    <col min="1" max="2" width="3.88671875" style="138" customWidth="1"/>
    <col min="6" max="14" width="10.77734375" style="138" customWidth="1"/>
    <col min="15" max="15" width="17.88671875" style="138" customWidth="1"/>
    <col min="16" max="16" width="21.44140625" style="138" customWidth="1"/>
    <col min="17" max="17" width="17.33203125" style="138" customWidth="1"/>
    <col min="18" max="18" width="3.88671875" style="138" customWidth="1"/>
    <col min="20" max="20" width="16.33203125" style="138" customWidth="1"/>
  </cols>
  <sheetData>
    <row r="1" spans="1:24" ht="15.75" customHeight="1" x14ac:dyDescent="0.5">
      <c r="A1" s="36"/>
      <c r="R1" s="137"/>
      <c r="S1" s="137"/>
    </row>
    <row r="2" spans="1:24" ht="15.75" customHeight="1" x14ac:dyDescent="0.25">
      <c r="B2" s="274" t="s">
        <v>42</v>
      </c>
      <c r="C2" s="188"/>
      <c r="D2" s="188"/>
      <c r="E2" s="188"/>
      <c r="F2" s="188"/>
      <c r="G2" s="188"/>
      <c r="H2" s="188"/>
      <c r="I2" s="188"/>
      <c r="J2" s="188"/>
      <c r="K2" s="188"/>
      <c r="L2" s="188"/>
      <c r="M2" s="188"/>
      <c r="N2" s="188"/>
      <c r="O2" s="188"/>
      <c r="P2" s="188"/>
      <c r="Q2" s="188"/>
      <c r="R2" s="137"/>
      <c r="S2" s="137"/>
    </row>
    <row r="3" spans="1:24" ht="15.75" customHeight="1" x14ac:dyDescent="0.25">
      <c r="B3" s="188"/>
      <c r="C3" s="188"/>
      <c r="D3" s="188"/>
      <c r="E3" s="188"/>
      <c r="F3" s="188"/>
      <c r="G3" s="188"/>
      <c r="H3" s="188"/>
      <c r="I3" s="188"/>
      <c r="J3" s="188"/>
      <c r="K3" s="188"/>
      <c r="L3" s="188"/>
      <c r="M3" s="188"/>
      <c r="N3" s="188"/>
      <c r="O3" s="188"/>
      <c r="P3" s="188"/>
      <c r="Q3" s="188"/>
      <c r="R3" s="137"/>
      <c r="S3" s="137"/>
    </row>
    <row r="4" spans="1:24" ht="15.75" customHeight="1" thickBot="1" x14ac:dyDescent="0.3">
      <c r="R4" s="137"/>
      <c r="S4" s="137"/>
    </row>
    <row r="5" spans="1:24" ht="15.75" customHeight="1" thickBot="1" x14ac:dyDescent="0.3">
      <c r="A5" s="137"/>
      <c r="B5" s="137"/>
      <c r="C5" s="96" t="s">
        <v>3</v>
      </c>
      <c r="D5" s="254" t="str">
        <f>IF('INPUT DATA'!E10="","",'INPUT DATA'!E10)</f>
        <v/>
      </c>
      <c r="E5" s="252"/>
      <c r="F5" s="255"/>
      <c r="G5" s="264" t="s">
        <v>7</v>
      </c>
      <c r="H5" s="216"/>
      <c r="I5" s="248" t="str">
        <f>IF('INPUT DATA'!E11="","",'INPUT DATA'!E11)</f>
        <v/>
      </c>
      <c r="J5" s="202"/>
      <c r="K5" s="202"/>
      <c r="L5" s="203"/>
      <c r="M5" s="128"/>
      <c r="N5" s="96" t="s">
        <v>8</v>
      </c>
      <c r="O5" s="254" t="str">
        <f>IF('INPUT DATA'!E13="","",'INPUT DATA'!E13)</f>
        <v/>
      </c>
      <c r="P5" s="252"/>
      <c r="Q5" s="255"/>
      <c r="R5" s="137"/>
      <c r="S5" s="137"/>
    </row>
    <row r="6" spans="1:24" ht="15.75" customHeight="1" thickBot="1" x14ac:dyDescent="0.3">
      <c r="A6" s="137"/>
      <c r="B6" s="137"/>
      <c r="C6" s="96" t="s">
        <v>9</v>
      </c>
      <c r="D6" s="276" t="str">
        <f>IF('INPUT DATA'!E14="","",'INPUT DATA'!E14)</f>
        <v/>
      </c>
      <c r="E6" s="215"/>
      <c r="F6" s="215"/>
      <c r="G6" s="215"/>
      <c r="H6" s="215"/>
      <c r="I6" s="215"/>
      <c r="J6" s="215"/>
      <c r="K6" s="215"/>
      <c r="L6" s="216"/>
      <c r="M6" s="129"/>
      <c r="N6" s="96" t="s">
        <v>10</v>
      </c>
      <c r="O6" s="254" t="str">
        <f>IF('INPUT DATA'!E15="","",'INPUT DATA'!E15)</f>
        <v/>
      </c>
      <c r="P6" s="252"/>
      <c r="Q6" s="255"/>
      <c r="R6" s="137"/>
      <c r="S6" s="137"/>
    </row>
    <row r="7" spans="1:24" ht="15.75" customHeight="1" x14ac:dyDescent="0.3">
      <c r="A7" s="137"/>
      <c r="B7" s="137"/>
      <c r="C7" s="2"/>
      <c r="D7" s="39"/>
      <c r="E7" s="140"/>
      <c r="F7" s="140"/>
      <c r="G7" s="140"/>
      <c r="H7" s="140"/>
      <c r="I7" s="140"/>
      <c r="J7" s="140"/>
      <c r="K7" s="140"/>
      <c r="L7" s="140"/>
      <c r="M7" s="140"/>
      <c r="N7" s="140"/>
      <c r="O7" s="2"/>
      <c r="P7" s="40"/>
      <c r="Q7" s="140"/>
      <c r="R7" s="137"/>
      <c r="S7" s="137"/>
    </row>
    <row r="8" spans="1:24" ht="13.8" customHeight="1" thickBot="1" x14ac:dyDescent="0.3">
      <c r="A8" s="137"/>
      <c r="B8" s="268"/>
      <c r="C8" s="269"/>
      <c r="D8" s="269"/>
      <c r="E8" s="269"/>
      <c r="F8" s="269"/>
      <c r="G8" s="269"/>
      <c r="H8" s="269"/>
      <c r="I8" s="269"/>
      <c r="J8" s="269"/>
      <c r="K8" s="269"/>
      <c r="L8" s="269"/>
      <c r="M8" s="269"/>
      <c r="N8" s="269"/>
      <c r="O8" s="269"/>
      <c r="P8" s="269"/>
      <c r="Q8" s="269"/>
      <c r="R8" s="137"/>
      <c r="S8" s="137"/>
    </row>
    <row r="9" spans="1:24" ht="15.75" customHeight="1" thickBot="1" x14ac:dyDescent="0.3">
      <c r="A9" s="137"/>
      <c r="B9" s="240" t="s">
        <v>15</v>
      </c>
      <c r="C9" s="203"/>
      <c r="D9" s="227" t="str">
        <f>IF('INPUT DATA'!E25="","",'INPUT DATA'!E25)</f>
        <v/>
      </c>
      <c r="E9" s="202"/>
      <c r="F9" s="202"/>
      <c r="G9" s="202"/>
      <c r="H9" s="202"/>
      <c r="I9" s="203"/>
      <c r="J9" s="250" t="s">
        <v>14</v>
      </c>
      <c r="K9" s="202"/>
      <c r="L9" s="275" t="str">
        <f>IF('INPUT DATA'!E24="","",'INPUT DATA'!E24)</f>
        <v/>
      </c>
      <c r="M9" s="252"/>
      <c r="N9" s="252"/>
      <c r="O9" s="252"/>
      <c r="P9" s="252"/>
      <c r="Q9" s="255"/>
      <c r="R9" s="137"/>
      <c r="S9" s="137"/>
    </row>
    <row r="10" spans="1:24" ht="15.75" customHeight="1" thickBot="1" x14ac:dyDescent="0.3">
      <c r="A10" s="137"/>
      <c r="B10" s="240" t="s">
        <v>16</v>
      </c>
      <c r="C10" s="203"/>
      <c r="D10" s="257" t="str">
        <f>IF('INPUT DATA'!E26="","",'INPUT DATA'!E26)</f>
        <v/>
      </c>
      <c r="E10" s="202"/>
      <c r="F10" s="202"/>
      <c r="G10" s="202"/>
      <c r="H10" s="202"/>
      <c r="I10" s="203"/>
      <c r="J10" s="258" t="s">
        <v>21</v>
      </c>
      <c r="K10" s="259"/>
      <c r="L10" s="254" t="str">
        <f>IF('INPUT DATA'!E23="","",'INPUT DATA'!E23)</f>
        <v/>
      </c>
      <c r="M10" s="252"/>
      <c r="N10" s="252"/>
      <c r="O10" s="252"/>
      <c r="P10" s="252"/>
      <c r="Q10" s="255"/>
      <c r="R10" s="137"/>
      <c r="S10" s="137"/>
    </row>
    <row r="11" spans="1:24" ht="14.4" customHeight="1" thickBot="1" x14ac:dyDescent="0.3">
      <c r="A11" s="137"/>
      <c r="B11" s="250" t="s">
        <v>2</v>
      </c>
      <c r="C11" s="212"/>
      <c r="D11" s="212"/>
      <c r="E11" s="212"/>
      <c r="F11" s="251" t="s">
        <v>43</v>
      </c>
      <c r="G11" s="252"/>
      <c r="H11" s="252"/>
      <c r="I11" s="252"/>
      <c r="J11" s="252"/>
      <c r="K11" s="252"/>
      <c r="L11" s="252"/>
      <c r="M11" s="252"/>
      <c r="N11" s="253"/>
      <c r="O11" s="277" t="s">
        <v>44</v>
      </c>
      <c r="P11" s="270" t="s">
        <v>45</v>
      </c>
      <c r="Q11" s="270" t="s">
        <v>46</v>
      </c>
      <c r="R11" s="137"/>
      <c r="S11" s="137"/>
      <c r="T11" s="81"/>
      <c r="U11" s="81"/>
      <c r="V11" s="81"/>
      <c r="W11" s="81"/>
      <c r="X11" s="81"/>
    </row>
    <row r="12" spans="1:24" ht="14.4" customHeight="1" thickBot="1" x14ac:dyDescent="0.3">
      <c r="A12" s="137"/>
      <c r="B12" s="223"/>
      <c r="C12" s="221"/>
      <c r="D12" s="221"/>
      <c r="E12" s="221"/>
      <c r="F12" s="256" t="s">
        <v>47</v>
      </c>
      <c r="G12" s="252"/>
      <c r="H12" s="255"/>
      <c r="I12" s="256" t="s">
        <v>48</v>
      </c>
      <c r="J12" s="252"/>
      <c r="K12" s="255"/>
      <c r="L12" s="256" t="s">
        <v>49</v>
      </c>
      <c r="M12" s="252"/>
      <c r="N12" s="255"/>
      <c r="O12" s="222"/>
      <c r="P12" s="207"/>
      <c r="Q12" s="207"/>
      <c r="R12" s="137"/>
      <c r="S12" s="137"/>
      <c r="T12" s="81"/>
      <c r="U12" s="81"/>
      <c r="V12" s="81"/>
      <c r="W12" s="81"/>
      <c r="X12" s="81"/>
    </row>
    <row r="13" spans="1:24" ht="39" customHeight="1" thickBot="1" x14ac:dyDescent="0.3">
      <c r="A13" s="137"/>
      <c r="B13" s="214"/>
      <c r="C13" s="215"/>
      <c r="D13" s="215"/>
      <c r="E13" s="215"/>
      <c r="F13" s="130" t="s">
        <v>22</v>
      </c>
      <c r="G13" s="130" t="s">
        <v>39</v>
      </c>
      <c r="H13" s="130" t="s">
        <v>50</v>
      </c>
      <c r="I13" s="130" t="s">
        <v>22</v>
      </c>
      <c r="J13" s="130" t="s">
        <v>39</v>
      </c>
      <c r="K13" s="130" t="s">
        <v>50</v>
      </c>
      <c r="L13" s="130" t="s">
        <v>22</v>
      </c>
      <c r="M13" s="130" t="s">
        <v>39</v>
      </c>
      <c r="N13" s="130" t="s">
        <v>50</v>
      </c>
      <c r="O13" s="216"/>
      <c r="P13" s="208"/>
      <c r="Q13" s="208"/>
      <c r="R13" s="137"/>
      <c r="S13" s="137"/>
      <c r="T13" s="81"/>
      <c r="U13" s="81"/>
      <c r="V13" s="81"/>
      <c r="W13" s="81"/>
      <c r="X13" s="81"/>
    </row>
    <row r="14" spans="1:24" ht="14.4" customHeight="1" thickBot="1" x14ac:dyDescent="0.3">
      <c r="A14" s="137"/>
      <c r="B14" s="265" t="s">
        <v>5</v>
      </c>
      <c r="C14" s="266"/>
      <c r="D14" s="266"/>
      <c r="E14" s="266"/>
      <c r="F14" s="266"/>
      <c r="G14" s="197"/>
      <c r="H14" s="266"/>
      <c r="I14" s="197"/>
      <c r="J14" s="197"/>
      <c r="K14" s="266"/>
      <c r="L14" s="197"/>
      <c r="M14" s="197"/>
      <c r="N14" s="266"/>
      <c r="O14" s="266"/>
      <c r="P14" s="266"/>
      <c r="Q14" s="267"/>
      <c r="R14" s="137"/>
      <c r="S14" s="137"/>
      <c r="T14" s="263"/>
      <c r="U14" s="188"/>
      <c r="V14" s="188"/>
      <c r="W14" s="188"/>
      <c r="X14" s="81"/>
    </row>
    <row r="15" spans="1:24" ht="15" customHeight="1" x14ac:dyDescent="0.25">
      <c r="A15" s="137"/>
      <c r="B15" s="87">
        <v>1</v>
      </c>
      <c r="C15" s="249" t="str">
        <f>IF('INPUT DATA'!K11="","",'INPUT DATA'!K11)</f>
        <v/>
      </c>
      <c r="D15" s="205"/>
      <c r="E15" s="205"/>
      <c r="F15" s="163" t="str">
        <f>IF('TERM 1 M and A'!AC18="","",'TERM 1 M and A'!AC18)</f>
        <v/>
      </c>
      <c r="G15" s="166" t="str">
        <f>IF('TERM 1 PE and H'!AC18="","",'TERM 1 PE and H'!AC18)</f>
        <v/>
      </c>
      <c r="H15" s="160" t="str">
        <f t="shared" ref="H15:H46" si="0">IF(COUNT(F15:G15)=0,"",ROUND(AVERAGE(F15:G15),0))</f>
        <v/>
      </c>
      <c r="I15" s="163" t="str">
        <f>IF('TERM 2 M and A'!AC18="","",'TERM 2 M and A'!AC18)</f>
        <v/>
      </c>
      <c r="J15" s="166" t="str">
        <f>IF('TERM 2 PE and H'!AC18="","",'TERM 2 PE and H'!AC18)</f>
        <v/>
      </c>
      <c r="K15" s="160" t="str">
        <f t="shared" ref="K15:K46" si="1">IF(COUNT(I15:J15)=0,"",ROUND(AVERAGE(I15:J15),0))</f>
        <v/>
      </c>
      <c r="L15" s="163" t="str">
        <f>IF('TERM 3 M and A'!AC18="","",'TERM 3 M and A'!AC18)</f>
        <v/>
      </c>
      <c r="M15" s="166" t="str">
        <f>IF('TERM 3 PE and H'!AC18="","",'TERM 3 PE and H'!AC18)</f>
        <v/>
      </c>
      <c r="N15" s="160" t="str">
        <f t="shared" ref="N15:N46" si="2">IF(COUNT(L15:M15)=0,"",ROUND(AVERAGE(L15:M15),0))</f>
        <v/>
      </c>
      <c r="O15" s="131" t="str">
        <f>IF(COUNT(H15,K15,N15)&lt;3,"",ROUND(AVERAGE(H15,K15,N15),0))</f>
        <v/>
      </c>
      <c r="P15" s="108" t="str">
        <f>IF(O15="","",IFERROR(VLOOKUP(O15,HELPER!$F$8:$G$48,2,FALSE),""))</f>
        <v/>
      </c>
      <c r="Q15" s="109"/>
      <c r="R15" s="137"/>
      <c r="S15" s="137"/>
      <c r="T15" s="82"/>
      <c r="U15" s="139"/>
      <c r="V15" s="139"/>
      <c r="W15" s="139"/>
      <c r="X15" s="81"/>
    </row>
    <row r="16" spans="1:24" ht="15" customHeight="1" x14ac:dyDescent="0.25">
      <c r="A16" s="137"/>
      <c r="B16" s="65">
        <v>2</v>
      </c>
      <c r="C16" s="249" t="str">
        <f>IF('INPUT DATA'!K12="","",'INPUT DATA'!K12)</f>
        <v/>
      </c>
      <c r="D16" s="205"/>
      <c r="E16" s="205"/>
      <c r="F16" s="164" t="str">
        <f>IF('TERM 1 M and A'!AC19="","",'TERM 1 M and A'!AC19)</f>
        <v/>
      </c>
      <c r="G16" s="167" t="str">
        <f>IF('TERM 1 PE and H'!AC19="","",'TERM 1 PE and H'!AC19)</f>
        <v/>
      </c>
      <c r="H16" s="161" t="str">
        <f t="shared" si="0"/>
        <v/>
      </c>
      <c r="I16" s="164" t="str">
        <f>IF('TERM 2 M and A'!AC19="","",'TERM 2 M and A'!AC19)</f>
        <v/>
      </c>
      <c r="J16" s="167" t="str">
        <f>IF('TERM 2 PE and H'!AC19="","",'TERM 2 PE and H'!AC19)</f>
        <v/>
      </c>
      <c r="K16" s="161" t="str">
        <f t="shared" si="1"/>
        <v/>
      </c>
      <c r="L16" s="164" t="str">
        <f>IF('TERM 3 M and A'!AC19="","",'TERM 3 M and A'!AC19)</f>
        <v/>
      </c>
      <c r="M16" s="167" t="str">
        <f>IF('TERM 3 PE and H'!AC19="","",'TERM 3 PE and H'!AC19)</f>
        <v/>
      </c>
      <c r="N16" s="161" t="str">
        <f t="shared" si="2"/>
        <v/>
      </c>
      <c r="O16" s="132" t="str">
        <f t="shared" ref="O16:O46" si="3">IF(COUNT(H16,K16,N16)&lt;3,"",ROUND(AVERAGE(H16,K16,N16),0))</f>
        <v/>
      </c>
      <c r="P16" s="104" t="str">
        <f>IF(O16="","",IFERROR(VLOOKUP(O16,HELPER!$F$8:$G$48,2,FALSE),""))</f>
        <v/>
      </c>
      <c r="Q16" s="105"/>
      <c r="R16" s="137"/>
      <c r="S16" s="137"/>
      <c r="T16" s="83"/>
      <c r="U16" s="81"/>
      <c r="V16" s="81"/>
      <c r="W16" s="81"/>
      <c r="X16" s="81"/>
    </row>
    <row r="17" spans="1:24" ht="15" customHeight="1" x14ac:dyDescent="0.25">
      <c r="A17" s="137"/>
      <c r="B17" s="65">
        <v>3</v>
      </c>
      <c r="C17" s="249" t="str">
        <f>IF('INPUT DATA'!K13="","",'INPUT DATA'!K13)</f>
        <v/>
      </c>
      <c r="D17" s="205"/>
      <c r="E17" s="205"/>
      <c r="F17" s="164" t="str">
        <f>IF('TERM 1 M and A'!AC20="","",'TERM 1 M and A'!AC20)</f>
        <v/>
      </c>
      <c r="G17" s="167" t="str">
        <f>IF('TERM 1 PE and H'!AC20="","",'TERM 1 PE and H'!AC20)</f>
        <v/>
      </c>
      <c r="H17" s="161" t="str">
        <f t="shared" si="0"/>
        <v/>
      </c>
      <c r="I17" s="164" t="str">
        <f>IF('TERM 2 M and A'!AC20="","",'TERM 2 M and A'!AC20)</f>
        <v/>
      </c>
      <c r="J17" s="167" t="str">
        <f>IF('TERM 2 PE and H'!AC20="","",'TERM 2 PE and H'!AC20)</f>
        <v/>
      </c>
      <c r="K17" s="161" t="str">
        <f t="shared" si="1"/>
        <v/>
      </c>
      <c r="L17" s="164" t="str">
        <f>IF('TERM 3 M and A'!AC20="","",'TERM 3 M and A'!AC20)</f>
        <v/>
      </c>
      <c r="M17" s="167" t="str">
        <f>IF('TERM 3 PE and H'!AC20="","",'TERM 3 PE and H'!AC20)</f>
        <v/>
      </c>
      <c r="N17" s="161" t="str">
        <f t="shared" si="2"/>
        <v/>
      </c>
      <c r="O17" s="132" t="str">
        <f t="shared" si="3"/>
        <v/>
      </c>
      <c r="P17" s="104" t="str">
        <f>IF(O17="","",IFERROR(VLOOKUP(O17,HELPER!$F$8:$G$48,2,FALSE),""))</f>
        <v/>
      </c>
      <c r="Q17" s="105"/>
      <c r="R17" s="137"/>
      <c r="S17" s="137"/>
      <c r="T17" s="83"/>
      <c r="U17" s="81"/>
      <c r="V17" s="81"/>
      <c r="W17" s="81"/>
      <c r="X17" s="81"/>
    </row>
    <row r="18" spans="1:24" ht="15" customHeight="1" x14ac:dyDescent="0.25">
      <c r="A18" s="137"/>
      <c r="B18" s="65">
        <v>4</v>
      </c>
      <c r="C18" s="249" t="str">
        <f>IF('INPUT DATA'!K14="","",'INPUT DATA'!K14)</f>
        <v/>
      </c>
      <c r="D18" s="205"/>
      <c r="E18" s="205"/>
      <c r="F18" s="164" t="str">
        <f>IF('TERM 1 M and A'!AC21="","",'TERM 1 M and A'!AC21)</f>
        <v/>
      </c>
      <c r="G18" s="167" t="str">
        <f>IF('TERM 1 PE and H'!AC21="","",'TERM 1 PE and H'!AC21)</f>
        <v/>
      </c>
      <c r="H18" s="161" t="str">
        <f t="shared" si="0"/>
        <v/>
      </c>
      <c r="I18" s="164" t="str">
        <f>IF('TERM 2 M and A'!AC21="","",'TERM 2 M and A'!AC21)</f>
        <v/>
      </c>
      <c r="J18" s="167" t="str">
        <f>IF('TERM 2 PE and H'!AC21="","",'TERM 2 PE and H'!AC21)</f>
        <v/>
      </c>
      <c r="K18" s="161" t="str">
        <f t="shared" si="1"/>
        <v/>
      </c>
      <c r="L18" s="164" t="str">
        <f>IF('TERM 3 M and A'!AC21="","",'TERM 3 M and A'!AC21)</f>
        <v/>
      </c>
      <c r="M18" s="167" t="str">
        <f>IF('TERM 3 PE and H'!AC21="","",'TERM 3 PE and H'!AC21)</f>
        <v/>
      </c>
      <c r="N18" s="161" t="str">
        <f t="shared" si="2"/>
        <v/>
      </c>
      <c r="O18" s="132" t="str">
        <f t="shared" si="3"/>
        <v/>
      </c>
      <c r="P18" s="104" t="str">
        <f>IF(O18="","",IFERROR(VLOOKUP(O18,HELPER!$F$8:$G$48,2,FALSE),""))</f>
        <v/>
      </c>
      <c r="Q18" s="105"/>
      <c r="R18" s="137"/>
      <c r="S18" s="137"/>
      <c r="T18" s="83"/>
      <c r="U18" s="81"/>
      <c r="V18" s="81"/>
      <c r="W18" s="81"/>
      <c r="X18" s="81"/>
    </row>
    <row r="19" spans="1:24" ht="15" customHeight="1" x14ac:dyDescent="0.25">
      <c r="A19" s="137"/>
      <c r="B19" s="65">
        <v>5</v>
      </c>
      <c r="C19" s="249" t="str">
        <f>IF('INPUT DATA'!K15="","",'INPUT DATA'!K15)</f>
        <v/>
      </c>
      <c r="D19" s="205"/>
      <c r="E19" s="205"/>
      <c r="F19" s="164" t="str">
        <f>IF('TERM 1 M and A'!AC22="","",'TERM 1 M and A'!AC22)</f>
        <v/>
      </c>
      <c r="G19" s="167" t="str">
        <f>IF('TERM 1 PE and H'!AC22="","",'TERM 1 PE and H'!AC22)</f>
        <v/>
      </c>
      <c r="H19" s="161" t="str">
        <f t="shared" si="0"/>
        <v/>
      </c>
      <c r="I19" s="164" t="str">
        <f>IF('TERM 2 M and A'!AC22="","",'TERM 2 M and A'!AC22)</f>
        <v/>
      </c>
      <c r="J19" s="167" t="str">
        <f>IF('TERM 2 PE and H'!AC22="","",'TERM 2 PE and H'!AC22)</f>
        <v/>
      </c>
      <c r="K19" s="161" t="str">
        <f t="shared" si="1"/>
        <v/>
      </c>
      <c r="L19" s="164" t="str">
        <f>IF('TERM 3 M and A'!AC22="","",'TERM 3 M and A'!AC22)</f>
        <v/>
      </c>
      <c r="M19" s="167" t="str">
        <f>IF('TERM 3 PE and H'!AC22="","",'TERM 3 PE and H'!AC22)</f>
        <v/>
      </c>
      <c r="N19" s="161" t="str">
        <f t="shared" si="2"/>
        <v/>
      </c>
      <c r="O19" s="132" t="str">
        <f t="shared" si="3"/>
        <v/>
      </c>
      <c r="P19" s="104" t="str">
        <f>IF(O19="","",IFERROR(VLOOKUP(O19,HELPER!$F$8:$G$48,2,FALSE),""))</f>
        <v/>
      </c>
      <c r="Q19" s="105"/>
      <c r="R19" s="137"/>
      <c r="S19" s="137"/>
      <c r="T19" s="83"/>
      <c r="U19" s="81"/>
      <c r="V19" s="81"/>
      <c r="W19" s="81"/>
      <c r="X19" s="81"/>
    </row>
    <row r="20" spans="1:24" ht="15" customHeight="1" x14ac:dyDescent="0.25">
      <c r="A20" s="137"/>
      <c r="B20" s="65">
        <v>6</v>
      </c>
      <c r="C20" s="249" t="str">
        <f>IF('INPUT DATA'!K16="","",'INPUT DATA'!K16)</f>
        <v/>
      </c>
      <c r="D20" s="205"/>
      <c r="E20" s="205"/>
      <c r="F20" s="164" t="str">
        <f>IF('TERM 1 M and A'!AC23="","",'TERM 1 M and A'!AC23)</f>
        <v/>
      </c>
      <c r="G20" s="167" t="str">
        <f>IF('TERM 1 PE and H'!AC23="","",'TERM 1 PE and H'!AC23)</f>
        <v/>
      </c>
      <c r="H20" s="161" t="str">
        <f t="shared" si="0"/>
        <v/>
      </c>
      <c r="I20" s="164" t="str">
        <f>IF('TERM 2 M and A'!AC23="","",'TERM 2 M and A'!AC23)</f>
        <v/>
      </c>
      <c r="J20" s="167" t="str">
        <f>IF('TERM 2 PE and H'!AC23="","",'TERM 2 PE and H'!AC23)</f>
        <v/>
      </c>
      <c r="K20" s="161" t="str">
        <f t="shared" si="1"/>
        <v/>
      </c>
      <c r="L20" s="164" t="str">
        <f>IF('TERM 3 M and A'!AC23="","",'TERM 3 M and A'!AC23)</f>
        <v/>
      </c>
      <c r="M20" s="167" t="str">
        <f>IF('TERM 3 PE and H'!AC23="","",'TERM 3 PE and H'!AC23)</f>
        <v/>
      </c>
      <c r="N20" s="161" t="str">
        <f t="shared" si="2"/>
        <v/>
      </c>
      <c r="O20" s="132" t="str">
        <f t="shared" si="3"/>
        <v/>
      </c>
      <c r="P20" s="104" t="str">
        <f>IF(O20="","",IFERROR(VLOOKUP(O20,HELPER!$F$8:$G$48,2,FALSE),""))</f>
        <v/>
      </c>
      <c r="Q20" s="105"/>
      <c r="R20" s="137"/>
      <c r="S20" s="137"/>
      <c r="T20" s="83"/>
      <c r="U20" s="81"/>
      <c r="V20" s="81"/>
      <c r="W20" s="81"/>
      <c r="X20" s="81"/>
    </row>
    <row r="21" spans="1:24" ht="15" customHeight="1" x14ac:dyDescent="0.25">
      <c r="A21" s="137"/>
      <c r="B21" s="65">
        <v>7</v>
      </c>
      <c r="C21" s="249" t="str">
        <f>IF('INPUT DATA'!K17="","",'INPUT DATA'!K17)</f>
        <v/>
      </c>
      <c r="D21" s="205"/>
      <c r="E21" s="205"/>
      <c r="F21" s="164" t="str">
        <f>IF('TERM 1 M and A'!AC24="","",'TERM 1 M and A'!AC24)</f>
        <v/>
      </c>
      <c r="G21" s="167" t="str">
        <f>IF('TERM 1 PE and H'!AC24="","",'TERM 1 PE and H'!AC24)</f>
        <v/>
      </c>
      <c r="H21" s="161" t="str">
        <f t="shared" si="0"/>
        <v/>
      </c>
      <c r="I21" s="164" t="str">
        <f>IF('TERM 2 M and A'!AC24="","",'TERM 2 M and A'!AC24)</f>
        <v/>
      </c>
      <c r="J21" s="167" t="str">
        <f>IF('TERM 2 PE and H'!AC24="","",'TERM 2 PE and H'!AC24)</f>
        <v/>
      </c>
      <c r="K21" s="161" t="str">
        <f t="shared" si="1"/>
        <v/>
      </c>
      <c r="L21" s="164" t="str">
        <f>IF('TERM 3 M and A'!AC24="","",'TERM 3 M and A'!AC24)</f>
        <v/>
      </c>
      <c r="M21" s="167" t="str">
        <f>IF('TERM 3 PE and H'!AC24="","",'TERM 3 PE and H'!AC24)</f>
        <v/>
      </c>
      <c r="N21" s="161" t="str">
        <f t="shared" si="2"/>
        <v/>
      </c>
      <c r="O21" s="132" t="str">
        <f t="shared" si="3"/>
        <v/>
      </c>
      <c r="P21" s="104" t="str">
        <f>IF(O21="","",IFERROR(VLOOKUP(O21,HELPER!$F$8:$G$48,2,FALSE),""))</f>
        <v/>
      </c>
      <c r="Q21" s="105"/>
      <c r="R21" s="137"/>
      <c r="S21" s="137"/>
      <c r="T21" s="81"/>
      <c r="U21" s="81"/>
      <c r="V21" s="81"/>
      <c r="W21" s="81"/>
      <c r="X21" s="81"/>
    </row>
    <row r="22" spans="1:24" ht="15" customHeight="1" x14ac:dyDescent="0.25">
      <c r="A22" s="137"/>
      <c r="B22" s="65">
        <v>8</v>
      </c>
      <c r="C22" s="249" t="str">
        <f>IF('INPUT DATA'!K18="","",'INPUT DATA'!K18)</f>
        <v/>
      </c>
      <c r="D22" s="205"/>
      <c r="E22" s="205"/>
      <c r="F22" s="164" t="str">
        <f>IF('TERM 1 M and A'!AC25="","",'TERM 1 M and A'!AC25)</f>
        <v/>
      </c>
      <c r="G22" s="167" t="str">
        <f>IF('TERM 1 PE and H'!AC25="","",'TERM 1 PE and H'!AC25)</f>
        <v/>
      </c>
      <c r="H22" s="161" t="str">
        <f t="shared" si="0"/>
        <v/>
      </c>
      <c r="I22" s="164" t="str">
        <f>IF('TERM 2 M and A'!AC25="","",'TERM 2 M and A'!AC25)</f>
        <v/>
      </c>
      <c r="J22" s="167" t="str">
        <f>IF('TERM 2 PE and H'!AC25="","",'TERM 2 PE and H'!AC25)</f>
        <v/>
      </c>
      <c r="K22" s="161" t="str">
        <f t="shared" si="1"/>
        <v/>
      </c>
      <c r="L22" s="164" t="str">
        <f>IF('TERM 3 M and A'!AC25="","",'TERM 3 M and A'!AC25)</f>
        <v/>
      </c>
      <c r="M22" s="167" t="str">
        <f>IF('TERM 3 PE and H'!AC25="","",'TERM 3 PE and H'!AC25)</f>
        <v/>
      </c>
      <c r="N22" s="161" t="str">
        <f t="shared" si="2"/>
        <v/>
      </c>
      <c r="O22" s="132" t="str">
        <f t="shared" si="3"/>
        <v/>
      </c>
      <c r="P22" s="104" t="str">
        <f>IF(O22="","",IFERROR(VLOOKUP(O22,HELPER!$F$8:$G$48,2,FALSE),""))</f>
        <v/>
      </c>
      <c r="Q22" s="105"/>
      <c r="R22" s="137"/>
      <c r="S22" s="137"/>
      <c r="T22" s="81"/>
      <c r="U22" s="81"/>
      <c r="V22" s="81"/>
      <c r="W22" s="81"/>
      <c r="X22" s="81"/>
    </row>
    <row r="23" spans="1:24" ht="15" customHeight="1" x14ac:dyDescent="0.25">
      <c r="A23" s="137"/>
      <c r="B23" s="65">
        <v>9</v>
      </c>
      <c r="C23" s="249" t="str">
        <f>IF('INPUT DATA'!K19="","",'INPUT DATA'!K19)</f>
        <v/>
      </c>
      <c r="D23" s="205"/>
      <c r="E23" s="205"/>
      <c r="F23" s="164" t="str">
        <f>IF('TERM 1 M and A'!AC26="","",'TERM 1 M and A'!AC26)</f>
        <v/>
      </c>
      <c r="G23" s="167" t="str">
        <f>IF('TERM 1 PE and H'!AC26="","",'TERM 1 PE and H'!AC26)</f>
        <v/>
      </c>
      <c r="H23" s="161" t="str">
        <f t="shared" si="0"/>
        <v/>
      </c>
      <c r="I23" s="164" t="str">
        <f>IF('TERM 2 M and A'!AC26="","",'TERM 2 M and A'!AC26)</f>
        <v/>
      </c>
      <c r="J23" s="167" t="str">
        <f>IF('TERM 2 PE and H'!AC26="","",'TERM 2 PE and H'!AC26)</f>
        <v/>
      </c>
      <c r="K23" s="161" t="str">
        <f t="shared" si="1"/>
        <v/>
      </c>
      <c r="L23" s="164" t="str">
        <f>IF('TERM 3 M and A'!AC26="","",'TERM 3 M and A'!AC26)</f>
        <v/>
      </c>
      <c r="M23" s="167" t="str">
        <f>IF('TERM 3 PE and H'!AC26="","",'TERM 3 PE and H'!AC26)</f>
        <v/>
      </c>
      <c r="N23" s="161" t="str">
        <f t="shared" si="2"/>
        <v/>
      </c>
      <c r="O23" s="132" t="str">
        <f t="shared" si="3"/>
        <v/>
      </c>
      <c r="P23" s="104" t="str">
        <f>IF(O23="","",IFERROR(VLOOKUP(O23,HELPER!$F$8:$G$48,2,FALSE),""))</f>
        <v/>
      </c>
      <c r="Q23" s="105"/>
      <c r="R23" s="137"/>
      <c r="S23" s="137"/>
      <c r="T23" s="81"/>
      <c r="U23" s="81"/>
      <c r="V23" s="81"/>
      <c r="W23" s="81"/>
      <c r="X23" s="81"/>
    </row>
    <row r="24" spans="1:24" ht="15" customHeight="1" x14ac:dyDescent="0.25">
      <c r="A24" s="137"/>
      <c r="B24" s="65">
        <v>10</v>
      </c>
      <c r="C24" s="249" t="str">
        <f>IF('INPUT DATA'!K20="","",'INPUT DATA'!K20)</f>
        <v/>
      </c>
      <c r="D24" s="205"/>
      <c r="E24" s="205"/>
      <c r="F24" s="164" t="str">
        <f>IF('TERM 1 M and A'!AC27="","",'TERM 1 M and A'!AC27)</f>
        <v/>
      </c>
      <c r="G24" s="167" t="str">
        <f>IF('TERM 1 PE and H'!AC27="","",'TERM 1 PE and H'!AC27)</f>
        <v/>
      </c>
      <c r="H24" s="161" t="str">
        <f t="shared" si="0"/>
        <v/>
      </c>
      <c r="I24" s="164" t="str">
        <f>IF('TERM 2 M and A'!AC27="","",'TERM 2 M and A'!AC27)</f>
        <v/>
      </c>
      <c r="J24" s="167" t="str">
        <f>IF('TERM 2 PE and H'!AC27="","",'TERM 2 PE and H'!AC27)</f>
        <v/>
      </c>
      <c r="K24" s="161" t="str">
        <f t="shared" si="1"/>
        <v/>
      </c>
      <c r="L24" s="164" t="str">
        <f>IF('TERM 3 M and A'!AC27="","",'TERM 3 M and A'!AC27)</f>
        <v/>
      </c>
      <c r="M24" s="167" t="str">
        <f>IF('TERM 3 PE and H'!AC27="","",'TERM 3 PE and H'!AC27)</f>
        <v/>
      </c>
      <c r="N24" s="161" t="str">
        <f t="shared" si="2"/>
        <v/>
      </c>
      <c r="O24" s="132" t="str">
        <f t="shared" si="3"/>
        <v/>
      </c>
      <c r="P24" s="104" t="str">
        <f>IF(O24="","",IFERROR(VLOOKUP(O24,HELPER!$F$8:$G$48,2,FALSE),""))</f>
        <v/>
      </c>
      <c r="Q24" s="105"/>
      <c r="R24" s="137"/>
      <c r="S24" s="137"/>
    </row>
    <row r="25" spans="1:24" ht="15" customHeight="1" x14ac:dyDescent="0.25">
      <c r="A25" s="137"/>
      <c r="B25" s="65">
        <v>11</v>
      </c>
      <c r="C25" s="249" t="str">
        <f>IF('INPUT DATA'!K21="","",'INPUT DATA'!K21)</f>
        <v/>
      </c>
      <c r="D25" s="205"/>
      <c r="E25" s="205"/>
      <c r="F25" s="164" t="str">
        <f>IF('TERM 1 M and A'!AC28="","",'TERM 1 M and A'!AC28)</f>
        <v/>
      </c>
      <c r="G25" s="167" t="str">
        <f>IF('TERM 1 PE and H'!AC28="","",'TERM 1 PE and H'!AC28)</f>
        <v/>
      </c>
      <c r="H25" s="161" t="str">
        <f t="shared" si="0"/>
        <v/>
      </c>
      <c r="I25" s="164" t="str">
        <f>IF('TERM 2 M and A'!AC28="","",'TERM 2 M and A'!AC28)</f>
        <v/>
      </c>
      <c r="J25" s="167" t="str">
        <f>IF('TERM 2 PE and H'!AC28="","",'TERM 2 PE and H'!AC28)</f>
        <v/>
      </c>
      <c r="K25" s="161" t="str">
        <f t="shared" si="1"/>
        <v/>
      </c>
      <c r="L25" s="164" t="str">
        <f>IF('TERM 3 M and A'!AC28="","",'TERM 3 M and A'!AC28)</f>
        <v/>
      </c>
      <c r="M25" s="167" t="str">
        <f>IF('TERM 3 PE and H'!AC28="","",'TERM 3 PE and H'!AC28)</f>
        <v/>
      </c>
      <c r="N25" s="161" t="str">
        <f t="shared" si="2"/>
        <v/>
      </c>
      <c r="O25" s="132" t="str">
        <f t="shared" si="3"/>
        <v/>
      </c>
      <c r="P25" s="104" t="str">
        <f>IF(O25="","",IFERROR(VLOOKUP(O25,HELPER!$F$8:$G$48,2,FALSE),""))</f>
        <v/>
      </c>
      <c r="Q25" s="105"/>
      <c r="R25" s="137"/>
      <c r="S25" s="137"/>
    </row>
    <row r="26" spans="1:24" ht="15" customHeight="1" x14ac:dyDescent="0.25">
      <c r="A26" s="137"/>
      <c r="B26" s="65">
        <v>12</v>
      </c>
      <c r="C26" s="249" t="str">
        <f>IF('INPUT DATA'!K22="","",'INPUT DATA'!K22)</f>
        <v/>
      </c>
      <c r="D26" s="205"/>
      <c r="E26" s="205"/>
      <c r="F26" s="164" t="str">
        <f>IF('TERM 1 M and A'!AC29="","",'TERM 1 M and A'!AC29)</f>
        <v/>
      </c>
      <c r="G26" s="167" t="str">
        <f>IF('TERM 1 PE and H'!AC29="","",'TERM 1 PE and H'!AC29)</f>
        <v/>
      </c>
      <c r="H26" s="161" t="str">
        <f t="shared" si="0"/>
        <v/>
      </c>
      <c r="I26" s="164" t="str">
        <f>IF('TERM 2 M and A'!AC29="","",'TERM 2 M and A'!AC29)</f>
        <v/>
      </c>
      <c r="J26" s="167" t="str">
        <f>IF('TERM 2 PE and H'!AC29="","",'TERM 2 PE and H'!AC29)</f>
        <v/>
      </c>
      <c r="K26" s="161" t="str">
        <f t="shared" si="1"/>
        <v/>
      </c>
      <c r="L26" s="164" t="str">
        <f>IF('TERM 3 M and A'!AC29="","",'TERM 3 M and A'!AC29)</f>
        <v/>
      </c>
      <c r="M26" s="167" t="str">
        <f>IF('TERM 3 PE and H'!AC29="","",'TERM 3 PE and H'!AC29)</f>
        <v/>
      </c>
      <c r="N26" s="161" t="str">
        <f t="shared" si="2"/>
        <v/>
      </c>
      <c r="O26" s="132" t="str">
        <f t="shared" si="3"/>
        <v/>
      </c>
      <c r="P26" s="104" t="str">
        <f>IF(O26="","",IFERROR(VLOOKUP(O26,HELPER!$F$8:$G$48,2,FALSE),""))</f>
        <v/>
      </c>
      <c r="Q26" s="105"/>
      <c r="R26" s="137"/>
      <c r="S26" s="137"/>
    </row>
    <row r="27" spans="1:24" ht="15" customHeight="1" x14ac:dyDescent="0.25">
      <c r="A27" s="137"/>
      <c r="B27" s="65">
        <v>13</v>
      </c>
      <c r="C27" s="249" t="str">
        <f>IF('INPUT DATA'!K23="","",'INPUT DATA'!K23)</f>
        <v/>
      </c>
      <c r="D27" s="205"/>
      <c r="E27" s="205"/>
      <c r="F27" s="164" t="str">
        <f>IF('TERM 1 M and A'!AC30="","",'TERM 1 M and A'!AC30)</f>
        <v/>
      </c>
      <c r="G27" s="167" t="str">
        <f>IF('TERM 1 PE and H'!AC30="","",'TERM 1 PE and H'!AC30)</f>
        <v/>
      </c>
      <c r="H27" s="161" t="str">
        <f t="shared" si="0"/>
        <v/>
      </c>
      <c r="I27" s="164" t="str">
        <f>IF('TERM 2 M and A'!AC30="","",'TERM 2 M and A'!AC30)</f>
        <v/>
      </c>
      <c r="J27" s="167" t="str">
        <f>IF('TERM 2 PE and H'!AC30="","",'TERM 2 PE and H'!AC30)</f>
        <v/>
      </c>
      <c r="K27" s="161" t="str">
        <f t="shared" si="1"/>
        <v/>
      </c>
      <c r="L27" s="164" t="str">
        <f>IF('TERM 3 M and A'!AC30="","",'TERM 3 M and A'!AC30)</f>
        <v/>
      </c>
      <c r="M27" s="167" t="str">
        <f>IF('TERM 3 PE and H'!AC30="","",'TERM 3 PE and H'!AC30)</f>
        <v/>
      </c>
      <c r="N27" s="161" t="str">
        <f t="shared" si="2"/>
        <v/>
      </c>
      <c r="O27" s="132" t="str">
        <f t="shared" si="3"/>
        <v/>
      </c>
      <c r="P27" s="104" t="str">
        <f>IF(O27="","",IFERROR(VLOOKUP(O27,HELPER!$F$8:$G$48,2,FALSE),""))</f>
        <v/>
      </c>
      <c r="Q27" s="105"/>
      <c r="R27" s="137"/>
      <c r="S27" s="137"/>
    </row>
    <row r="28" spans="1:24" ht="15" customHeight="1" x14ac:dyDescent="0.25">
      <c r="A28" s="137"/>
      <c r="B28" s="65">
        <v>14</v>
      </c>
      <c r="C28" s="249" t="str">
        <f>IF('INPUT DATA'!K24="","",'INPUT DATA'!K24)</f>
        <v/>
      </c>
      <c r="D28" s="205"/>
      <c r="E28" s="205"/>
      <c r="F28" s="164" t="str">
        <f>IF('TERM 1 M and A'!AC31="","",'TERM 1 M and A'!AC31)</f>
        <v/>
      </c>
      <c r="G28" s="167" t="str">
        <f>IF('TERM 1 PE and H'!AC31="","",'TERM 1 PE and H'!AC31)</f>
        <v/>
      </c>
      <c r="H28" s="161" t="str">
        <f t="shared" si="0"/>
        <v/>
      </c>
      <c r="I28" s="164" t="str">
        <f>IF('TERM 2 M and A'!AC31="","",'TERM 2 M and A'!AC31)</f>
        <v/>
      </c>
      <c r="J28" s="167" t="str">
        <f>IF('TERM 2 PE and H'!AC31="","",'TERM 2 PE and H'!AC31)</f>
        <v/>
      </c>
      <c r="K28" s="161" t="str">
        <f t="shared" si="1"/>
        <v/>
      </c>
      <c r="L28" s="164" t="str">
        <f>IF('TERM 3 M and A'!AC31="","",'TERM 3 M and A'!AC31)</f>
        <v/>
      </c>
      <c r="M28" s="167" t="str">
        <f>IF('TERM 3 PE and H'!AC31="","",'TERM 3 PE and H'!AC31)</f>
        <v/>
      </c>
      <c r="N28" s="161" t="str">
        <f t="shared" si="2"/>
        <v/>
      </c>
      <c r="O28" s="132" t="str">
        <f t="shared" si="3"/>
        <v/>
      </c>
      <c r="P28" s="104" t="str">
        <f>IF(O28="","",IFERROR(VLOOKUP(O28,HELPER!$F$8:$G$48,2,FALSE),""))</f>
        <v/>
      </c>
      <c r="Q28" s="105"/>
      <c r="R28" s="137"/>
      <c r="S28" s="137"/>
    </row>
    <row r="29" spans="1:24" ht="15" customHeight="1" x14ac:dyDescent="0.25">
      <c r="A29" s="137"/>
      <c r="B29" s="65">
        <v>15</v>
      </c>
      <c r="C29" s="249" t="str">
        <f>IF('INPUT DATA'!K25="","",'INPUT DATA'!K25)</f>
        <v/>
      </c>
      <c r="D29" s="205"/>
      <c r="E29" s="205"/>
      <c r="F29" s="164" t="str">
        <f>IF('TERM 1 M and A'!AC32="","",'TERM 1 M and A'!AC32)</f>
        <v/>
      </c>
      <c r="G29" s="167" t="str">
        <f>IF('TERM 1 PE and H'!AC32="","",'TERM 1 PE and H'!AC32)</f>
        <v/>
      </c>
      <c r="H29" s="161" t="str">
        <f t="shared" si="0"/>
        <v/>
      </c>
      <c r="I29" s="164" t="str">
        <f>IF('TERM 2 M and A'!AC32="","",'TERM 2 M and A'!AC32)</f>
        <v/>
      </c>
      <c r="J29" s="167" t="str">
        <f>IF('TERM 2 PE and H'!AC32="","",'TERM 2 PE and H'!AC32)</f>
        <v/>
      </c>
      <c r="K29" s="161" t="str">
        <f t="shared" si="1"/>
        <v/>
      </c>
      <c r="L29" s="164" t="str">
        <f>IF('TERM 3 M and A'!AC32="","",'TERM 3 M and A'!AC32)</f>
        <v/>
      </c>
      <c r="M29" s="167" t="str">
        <f>IF('TERM 3 PE and H'!AC32="","",'TERM 3 PE and H'!AC32)</f>
        <v/>
      </c>
      <c r="N29" s="161" t="str">
        <f t="shared" si="2"/>
        <v/>
      </c>
      <c r="O29" s="132" t="str">
        <f t="shared" si="3"/>
        <v/>
      </c>
      <c r="P29" s="104" t="str">
        <f>IF(O29="","",IFERROR(VLOOKUP(O29,HELPER!$F$8:$G$48,2,FALSE),""))</f>
        <v/>
      </c>
      <c r="Q29" s="105"/>
      <c r="R29" s="137"/>
      <c r="S29" s="137"/>
    </row>
    <row r="30" spans="1:24" ht="15" customHeight="1" x14ac:dyDescent="0.25">
      <c r="A30" s="137"/>
      <c r="B30" s="65">
        <v>16</v>
      </c>
      <c r="C30" s="249" t="str">
        <f>IF('INPUT DATA'!K26="","",'INPUT DATA'!K26)</f>
        <v/>
      </c>
      <c r="D30" s="205"/>
      <c r="E30" s="205"/>
      <c r="F30" s="164" t="str">
        <f>IF('TERM 1 M and A'!AC33="","",'TERM 1 M and A'!AC33)</f>
        <v/>
      </c>
      <c r="G30" s="167" t="str">
        <f>IF('TERM 1 PE and H'!AC33="","",'TERM 1 PE and H'!AC33)</f>
        <v/>
      </c>
      <c r="H30" s="161" t="str">
        <f t="shared" si="0"/>
        <v/>
      </c>
      <c r="I30" s="164" t="str">
        <f>IF('TERM 2 M and A'!AC33="","",'TERM 2 M and A'!AC33)</f>
        <v/>
      </c>
      <c r="J30" s="167" t="str">
        <f>IF('TERM 2 PE and H'!AC33="","",'TERM 2 PE and H'!AC33)</f>
        <v/>
      </c>
      <c r="K30" s="161" t="str">
        <f t="shared" si="1"/>
        <v/>
      </c>
      <c r="L30" s="164" t="str">
        <f>IF('TERM 3 M and A'!AC33="","",'TERM 3 M and A'!AC33)</f>
        <v/>
      </c>
      <c r="M30" s="167" t="str">
        <f>IF('TERM 3 PE and H'!AC33="","",'TERM 3 PE and H'!AC33)</f>
        <v/>
      </c>
      <c r="N30" s="161" t="str">
        <f t="shared" si="2"/>
        <v/>
      </c>
      <c r="O30" s="132" t="str">
        <f t="shared" si="3"/>
        <v/>
      </c>
      <c r="P30" s="104" t="str">
        <f>IF(O30="","",IFERROR(VLOOKUP(O30,HELPER!$F$8:$G$48,2,FALSE),""))</f>
        <v/>
      </c>
      <c r="Q30" s="105"/>
      <c r="R30" s="137"/>
      <c r="S30" s="137"/>
    </row>
    <row r="31" spans="1:24" ht="15" customHeight="1" x14ac:dyDescent="0.25">
      <c r="A31" s="137"/>
      <c r="B31" s="65">
        <v>17</v>
      </c>
      <c r="C31" s="249" t="str">
        <f>IF('INPUT DATA'!K27="","",'INPUT DATA'!K27)</f>
        <v/>
      </c>
      <c r="D31" s="205"/>
      <c r="E31" s="205"/>
      <c r="F31" s="164" t="str">
        <f>IF('TERM 1 M and A'!AC34="","",'TERM 1 M and A'!AC34)</f>
        <v/>
      </c>
      <c r="G31" s="167" t="str">
        <f>IF('TERM 1 PE and H'!AC34="","",'TERM 1 PE and H'!AC34)</f>
        <v/>
      </c>
      <c r="H31" s="161" t="str">
        <f t="shared" si="0"/>
        <v/>
      </c>
      <c r="I31" s="164" t="str">
        <f>IF('TERM 2 M and A'!AC34="","",'TERM 2 M and A'!AC34)</f>
        <v/>
      </c>
      <c r="J31" s="167" t="str">
        <f>IF('TERM 2 PE and H'!AC34="","",'TERM 2 PE and H'!AC34)</f>
        <v/>
      </c>
      <c r="K31" s="161" t="str">
        <f t="shared" si="1"/>
        <v/>
      </c>
      <c r="L31" s="164" t="str">
        <f>IF('TERM 3 M and A'!AC34="","",'TERM 3 M and A'!AC34)</f>
        <v/>
      </c>
      <c r="M31" s="167" t="str">
        <f>IF('TERM 3 PE and H'!AC34="","",'TERM 3 PE and H'!AC34)</f>
        <v/>
      </c>
      <c r="N31" s="161" t="str">
        <f t="shared" si="2"/>
        <v/>
      </c>
      <c r="O31" s="132" t="str">
        <f t="shared" si="3"/>
        <v/>
      </c>
      <c r="P31" s="104" t="str">
        <f>IF(O31="","",IFERROR(VLOOKUP(O31,HELPER!$F$8:$G$48,2,FALSE),""))</f>
        <v/>
      </c>
      <c r="Q31" s="105"/>
      <c r="R31" s="137"/>
      <c r="S31" s="137"/>
    </row>
    <row r="32" spans="1:24" ht="15" customHeight="1" x14ac:dyDescent="0.25">
      <c r="A32" s="137"/>
      <c r="B32" s="65">
        <v>18</v>
      </c>
      <c r="C32" s="249" t="str">
        <f>IF('INPUT DATA'!K28="","",'INPUT DATA'!K28)</f>
        <v/>
      </c>
      <c r="D32" s="205"/>
      <c r="E32" s="205"/>
      <c r="F32" s="164" t="str">
        <f>IF('TERM 1 M and A'!AC35="","",'TERM 1 M and A'!AC35)</f>
        <v/>
      </c>
      <c r="G32" s="167" t="str">
        <f>IF('TERM 1 PE and H'!AC35="","",'TERM 1 PE and H'!AC35)</f>
        <v/>
      </c>
      <c r="H32" s="161" t="str">
        <f t="shared" si="0"/>
        <v/>
      </c>
      <c r="I32" s="164" t="str">
        <f>IF('TERM 2 M and A'!AC35="","",'TERM 2 M and A'!AC35)</f>
        <v/>
      </c>
      <c r="J32" s="167" t="str">
        <f>IF('TERM 2 PE and H'!AC35="","",'TERM 2 PE and H'!AC35)</f>
        <v/>
      </c>
      <c r="K32" s="161" t="str">
        <f t="shared" si="1"/>
        <v/>
      </c>
      <c r="L32" s="164" t="str">
        <f>IF('TERM 3 M and A'!AC35="","",'TERM 3 M and A'!AC35)</f>
        <v/>
      </c>
      <c r="M32" s="167" t="str">
        <f>IF('TERM 3 PE and H'!AC35="","",'TERM 3 PE and H'!AC35)</f>
        <v/>
      </c>
      <c r="N32" s="161" t="str">
        <f t="shared" si="2"/>
        <v/>
      </c>
      <c r="O32" s="132" t="str">
        <f t="shared" si="3"/>
        <v/>
      </c>
      <c r="P32" s="104" t="str">
        <f>IF(O32="","",IFERROR(VLOOKUP(O32,HELPER!$F$8:$G$48,2,FALSE),""))</f>
        <v/>
      </c>
      <c r="Q32" s="105"/>
      <c r="R32" s="137"/>
      <c r="S32" s="137"/>
    </row>
    <row r="33" spans="1:19" ht="15" customHeight="1" x14ac:dyDescent="0.25">
      <c r="A33" s="137"/>
      <c r="B33" s="65">
        <v>19</v>
      </c>
      <c r="C33" s="249" t="str">
        <f>IF('INPUT DATA'!K29="","",'INPUT DATA'!K29)</f>
        <v/>
      </c>
      <c r="D33" s="205"/>
      <c r="E33" s="205"/>
      <c r="F33" s="164" t="str">
        <f>IF('TERM 1 M and A'!AC36="","",'TERM 1 M and A'!AC36)</f>
        <v/>
      </c>
      <c r="G33" s="167" t="str">
        <f>IF('TERM 1 PE and H'!AC36="","",'TERM 1 PE and H'!AC36)</f>
        <v/>
      </c>
      <c r="H33" s="161" t="str">
        <f t="shared" si="0"/>
        <v/>
      </c>
      <c r="I33" s="164" t="str">
        <f>IF('TERM 2 M and A'!AC36="","",'TERM 2 M and A'!AC36)</f>
        <v/>
      </c>
      <c r="J33" s="167" t="str">
        <f>IF('TERM 2 PE and H'!AC36="","",'TERM 2 PE and H'!AC36)</f>
        <v/>
      </c>
      <c r="K33" s="161" t="str">
        <f t="shared" si="1"/>
        <v/>
      </c>
      <c r="L33" s="164" t="str">
        <f>IF('TERM 3 M and A'!AC36="","",'TERM 3 M and A'!AC36)</f>
        <v/>
      </c>
      <c r="M33" s="167" t="str">
        <f>IF('TERM 3 PE and H'!AC36="","",'TERM 3 PE and H'!AC36)</f>
        <v/>
      </c>
      <c r="N33" s="161" t="str">
        <f t="shared" si="2"/>
        <v/>
      </c>
      <c r="O33" s="132" t="str">
        <f t="shared" si="3"/>
        <v/>
      </c>
      <c r="P33" s="104" t="str">
        <f>IF(O33="","",IFERROR(VLOOKUP(O33,HELPER!$F$8:$G$48,2,FALSE),""))</f>
        <v/>
      </c>
      <c r="Q33" s="105"/>
      <c r="R33" s="137"/>
      <c r="S33" s="137"/>
    </row>
    <row r="34" spans="1:19" ht="15" customHeight="1" x14ac:dyDescent="0.25">
      <c r="A34" s="137"/>
      <c r="B34" s="66">
        <v>20</v>
      </c>
      <c r="C34" s="249" t="str">
        <f>IF('INPUT DATA'!K30="","",'INPUT DATA'!K30)</f>
        <v/>
      </c>
      <c r="D34" s="205"/>
      <c r="E34" s="205"/>
      <c r="F34" s="164" t="str">
        <f>IF('TERM 1 M and A'!AC37="","",'TERM 1 M and A'!AC37)</f>
        <v/>
      </c>
      <c r="G34" s="167" t="str">
        <f>IF('TERM 1 PE and H'!AC37="","",'TERM 1 PE and H'!AC37)</f>
        <v/>
      </c>
      <c r="H34" s="161" t="str">
        <f t="shared" si="0"/>
        <v/>
      </c>
      <c r="I34" s="164" t="str">
        <f>IF('TERM 2 M and A'!AC37="","",'TERM 2 M and A'!AC37)</f>
        <v/>
      </c>
      <c r="J34" s="167" t="str">
        <f>IF('TERM 2 PE and H'!AC37="","",'TERM 2 PE and H'!AC37)</f>
        <v/>
      </c>
      <c r="K34" s="161" t="str">
        <f t="shared" si="1"/>
        <v/>
      </c>
      <c r="L34" s="164" t="str">
        <f>IF('TERM 3 M and A'!AC37="","",'TERM 3 M and A'!AC37)</f>
        <v/>
      </c>
      <c r="M34" s="167" t="str">
        <f>IF('TERM 3 PE and H'!AC37="","",'TERM 3 PE and H'!AC37)</f>
        <v/>
      </c>
      <c r="N34" s="161" t="str">
        <f t="shared" si="2"/>
        <v/>
      </c>
      <c r="O34" s="132" t="str">
        <f t="shared" si="3"/>
        <v/>
      </c>
      <c r="P34" s="104" t="str">
        <f>IF(O34="","",IFERROR(VLOOKUP(O34,HELPER!$F$8:$G$48,2,FALSE),""))</f>
        <v/>
      </c>
      <c r="Q34" s="105"/>
      <c r="R34" s="137"/>
      <c r="S34" s="137"/>
    </row>
    <row r="35" spans="1:19" ht="15" customHeight="1" x14ac:dyDescent="0.25">
      <c r="A35" s="137"/>
      <c r="B35" s="66">
        <v>21</v>
      </c>
      <c r="C35" s="249" t="str">
        <f>IF('INPUT DATA'!K31="","",'INPUT DATA'!K31)</f>
        <v/>
      </c>
      <c r="D35" s="205"/>
      <c r="E35" s="205"/>
      <c r="F35" s="164" t="str">
        <f>IF('TERM 1 M and A'!AC38="","",'TERM 1 M and A'!AC38)</f>
        <v/>
      </c>
      <c r="G35" s="167" t="str">
        <f>IF('TERM 1 PE and H'!AC38="","",'TERM 1 PE and H'!AC38)</f>
        <v/>
      </c>
      <c r="H35" s="161" t="str">
        <f t="shared" si="0"/>
        <v/>
      </c>
      <c r="I35" s="164" t="str">
        <f>IF('TERM 2 M and A'!AC38="","",'TERM 2 M and A'!AC38)</f>
        <v/>
      </c>
      <c r="J35" s="167" t="str">
        <f>IF('TERM 2 PE and H'!AC38="","",'TERM 2 PE and H'!AC38)</f>
        <v/>
      </c>
      <c r="K35" s="161" t="str">
        <f t="shared" si="1"/>
        <v/>
      </c>
      <c r="L35" s="164" t="str">
        <f>IF('TERM 3 M and A'!AC38="","",'TERM 3 M and A'!AC38)</f>
        <v/>
      </c>
      <c r="M35" s="167" t="str">
        <f>IF('TERM 3 PE and H'!AC38="","",'TERM 3 PE and H'!AC38)</f>
        <v/>
      </c>
      <c r="N35" s="161" t="str">
        <f t="shared" si="2"/>
        <v/>
      </c>
      <c r="O35" s="132" t="str">
        <f t="shared" si="3"/>
        <v/>
      </c>
      <c r="P35" s="104" t="str">
        <f>IF(O35="","",IFERROR(VLOOKUP(O35,HELPER!$F$8:$G$48,2,FALSE),""))</f>
        <v/>
      </c>
      <c r="Q35" s="105"/>
      <c r="R35" s="137"/>
      <c r="S35" s="137"/>
    </row>
    <row r="36" spans="1:19" ht="15" customHeight="1" x14ac:dyDescent="0.25">
      <c r="A36" s="137"/>
      <c r="B36" s="66">
        <v>22</v>
      </c>
      <c r="C36" s="249" t="str">
        <f>IF('INPUT DATA'!K32="","",'INPUT DATA'!K32)</f>
        <v/>
      </c>
      <c r="D36" s="205"/>
      <c r="E36" s="205"/>
      <c r="F36" s="164" t="str">
        <f>IF('TERM 1 M and A'!AC39="","",'TERM 1 M and A'!AC39)</f>
        <v/>
      </c>
      <c r="G36" s="167" t="str">
        <f>IF('TERM 1 PE and H'!AC39="","",'TERM 1 PE and H'!AC39)</f>
        <v/>
      </c>
      <c r="H36" s="161" t="str">
        <f t="shared" si="0"/>
        <v/>
      </c>
      <c r="I36" s="164" t="str">
        <f>IF('TERM 2 M and A'!AC39="","",'TERM 2 M and A'!AC39)</f>
        <v/>
      </c>
      <c r="J36" s="167" t="str">
        <f>IF('TERM 2 PE and H'!AC39="","",'TERM 2 PE and H'!AC39)</f>
        <v/>
      </c>
      <c r="K36" s="161" t="str">
        <f t="shared" si="1"/>
        <v/>
      </c>
      <c r="L36" s="164" t="str">
        <f>IF('TERM 3 M and A'!AC39="","",'TERM 3 M and A'!AC39)</f>
        <v/>
      </c>
      <c r="M36" s="167" t="str">
        <f>IF('TERM 3 PE and H'!AC39="","",'TERM 3 PE and H'!AC39)</f>
        <v/>
      </c>
      <c r="N36" s="161" t="str">
        <f t="shared" si="2"/>
        <v/>
      </c>
      <c r="O36" s="132" t="str">
        <f t="shared" si="3"/>
        <v/>
      </c>
      <c r="P36" s="104" t="str">
        <f>IF(O36="","",IFERROR(VLOOKUP(O36,HELPER!$F$8:$G$48,2,FALSE),""))</f>
        <v/>
      </c>
      <c r="Q36" s="105"/>
      <c r="R36" s="137"/>
      <c r="S36" s="137"/>
    </row>
    <row r="37" spans="1:19" ht="15" customHeight="1" x14ac:dyDescent="0.25">
      <c r="A37" s="137"/>
      <c r="B37" s="66">
        <v>23</v>
      </c>
      <c r="C37" s="249" t="str">
        <f>IF('INPUT DATA'!K33="","",'INPUT DATA'!K33)</f>
        <v/>
      </c>
      <c r="D37" s="205"/>
      <c r="E37" s="205"/>
      <c r="F37" s="164" t="str">
        <f>IF('TERM 1 M and A'!AC40="","",'TERM 1 M and A'!AC40)</f>
        <v/>
      </c>
      <c r="G37" s="167" t="str">
        <f>IF('TERM 1 PE and H'!AC40="","",'TERM 1 PE and H'!AC40)</f>
        <v/>
      </c>
      <c r="H37" s="161" t="str">
        <f t="shared" si="0"/>
        <v/>
      </c>
      <c r="I37" s="164" t="str">
        <f>IF('TERM 2 M and A'!AC40="","",'TERM 2 M and A'!AC40)</f>
        <v/>
      </c>
      <c r="J37" s="167" t="str">
        <f>IF('TERM 2 PE and H'!AC40="","",'TERM 2 PE and H'!AC40)</f>
        <v/>
      </c>
      <c r="K37" s="161" t="str">
        <f t="shared" si="1"/>
        <v/>
      </c>
      <c r="L37" s="164" t="str">
        <f>IF('TERM 3 M and A'!AC40="","",'TERM 3 M and A'!AC40)</f>
        <v/>
      </c>
      <c r="M37" s="167" t="str">
        <f>IF('TERM 3 PE and H'!AC40="","",'TERM 3 PE and H'!AC40)</f>
        <v/>
      </c>
      <c r="N37" s="161" t="str">
        <f t="shared" si="2"/>
        <v/>
      </c>
      <c r="O37" s="132" t="str">
        <f t="shared" si="3"/>
        <v/>
      </c>
      <c r="P37" s="104" t="str">
        <f>IF(O37="","",IFERROR(VLOOKUP(O37,HELPER!$F$8:$G$48,2,FALSE),""))</f>
        <v/>
      </c>
      <c r="Q37" s="105"/>
      <c r="R37" s="137"/>
      <c r="S37" s="137"/>
    </row>
    <row r="38" spans="1:19" ht="15" customHeight="1" x14ac:dyDescent="0.25">
      <c r="A38" s="137"/>
      <c r="B38" s="66">
        <v>24</v>
      </c>
      <c r="C38" s="249" t="str">
        <f>IF('INPUT DATA'!K34="","",'INPUT DATA'!K34)</f>
        <v/>
      </c>
      <c r="D38" s="205"/>
      <c r="E38" s="205"/>
      <c r="F38" s="164" t="str">
        <f>IF('TERM 1 M and A'!AC41="","",'TERM 1 M and A'!AC41)</f>
        <v/>
      </c>
      <c r="G38" s="167" t="str">
        <f>IF('TERM 1 PE and H'!AC41="","",'TERM 1 PE and H'!AC41)</f>
        <v/>
      </c>
      <c r="H38" s="161" t="str">
        <f t="shared" si="0"/>
        <v/>
      </c>
      <c r="I38" s="164" t="str">
        <f>IF('TERM 2 M and A'!AC41="","",'TERM 2 M and A'!AC41)</f>
        <v/>
      </c>
      <c r="J38" s="167" t="str">
        <f>IF('TERM 2 PE and H'!AC41="","",'TERM 2 PE and H'!AC41)</f>
        <v/>
      </c>
      <c r="K38" s="161" t="str">
        <f t="shared" si="1"/>
        <v/>
      </c>
      <c r="L38" s="164" t="str">
        <f>IF('TERM 3 M and A'!AC41="","",'TERM 3 M and A'!AC41)</f>
        <v/>
      </c>
      <c r="M38" s="167" t="str">
        <f>IF('TERM 3 PE and H'!AC41="","",'TERM 3 PE and H'!AC41)</f>
        <v/>
      </c>
      <c r="N38" s="161" t="str">
        <f t="shared" si="2"/>
        <v/>
      </c>
      <c r="O38" s="132" t="str">
        <f t="shared" si="3"/>
        <v/>
      </c>
      <c r="P38" s="104" t="str">
        <f>IF(O38="","",IFERROR(VLOOKUP(O38,HELPER!$F$8:$G$48,2,FALSE),""))</f>
        <v/>
      </c>
      <c r="Q38" s="105"/>
      <c r="R38" s="137"/>
      <c r="S38" s="137"/>
    </row>
    <row r="39" spans="1:19" ht="15" customHeight="1" x14ac:dyDescent="0.25">
      <c r="A39" s="137"/>
      <c r="B39" s="66">
        <v>25</v>
      </c>
      <c r="C39" s="249" t="str">
        <f>IF('INPUT DATA'!K35="","",'INPUT DATA'!K35)</f>
        <v/>
      </c>
      <c r="D39" s="205"/>
      <c r="E39" s="205"/>
      <c r="F39" s="164" t="str">
        <f>IF('TERM 1 M and A'!AC42="","",'TERM 1 M and A'!AC42)</f>
        <v/>
      </c>
      <c r="G39" s="167" t="str">
        <f>IF('TERM 1 PE and H'!AC42="","",'TERM 1 PE and H'!AC42)</f>
        <v/>
      </c>
      <c r="H39" s="161" t="str">
        <f t="shared" si="0"/>
        <v/>
      </c>
      <c r="I39" s="164" t="str">
        <f>IF('TERM 2 M and A'!AC42="","",'TERM 2 M and A'!AC42)</f>
        <v/>
      </c>
      <c r="J39" s="167" t="str">
        <f>IF('TERM 2 PE and H'!AC42="","",'TERM 2 PE and H'!AC42)</f>
        <v/>
      </c>
      <c r="K39" s="161" t="str">
        <f t="shared" si="1"/>
        <v/>
      </c>
      <c r="L39" s="164" t="str">
        <f>IF('TERM 3 M and A'!AC42="","",'TERM 3 M and A'!AC42)</f>
        <v/>
      </c>
      <c r="M39" s="167" t="str">
        <f>IF('TERM 3 PE and H'!AC42="","",'TERM 3 PE and H'!AC42)</f>
        <v/>
      </c>
      <c r="N39" s="161" t="str">
        <f t="shared" si="2"/>
        <v/>
      </c>
      <c r="O39" s="132" t="str">
        <f t="shared" si="3"/>
        <v/>
      </c>
      <c r="P39" s="104" t="str">
        <f>IF(O39="","",IFERROR(VLOOKUP(O39,HELPER!$F$8:$G$48,2,FALSE),""))</f>
        <v/>
      </c>
      <c r="Q39" s="105"/>
      <c r="R39" s="137"/>
      <c r="S39" s="137"/>
    </row>
    <row r="40" spans="1:19" ht="15" customHeight="1" x14ac:dyDescent="0.25">
      <c r="A40" s="137"/>
      <c r="B40" s="66">
        <v>26</v>
      </c>
      <c r="C40" s="249" t="str">
        <f>IF('INPUT DATA'!K36="","",'INPUT DATA'!K36)</f>
        <v/>
      </c>
      <c r="D40" s="205"/>
      <c r="E40" s="205"/>
      <c r="F40" s="164" t="str">
        <f>IF('TERM 1 M and A'!AC43="","",'TERM 1 M and A'!AC43)</f>
        <v/>
      </c>
      <c r="G40" s="167" t="str">
        <f>IF('TERM 1 PE and H'!AC43="","",'TERM 1 PE and H'!AC43)</f>
        <v/>
      </c>
      <c r="H40" s="161" t="str">
        <f t="shared" si="0"/>
        <v/>
      </c>
      <c r="I40" s="164" t="str">
        <f>IF('TERM 2 M and A'!AC43="","",'TERM 2 M and A'!AC43)</f>
        <v/>
      </c>
      <c r="J40" s="167" t="str">
        <f>IF('TERM 2 PE and H'!AC43="","",'TERM 2 PE and H'!AC43)</f>
        <v/>
      </c>
      <c r="K40" s="161" t="str">
        <f t="shared" si="1"/>
        <v/>
      </c>
      <c r="L40" s="164" t="str">
        <f>IF('TERM 3 M and A'!AC43="","",'TERM 3 M and A'!AC43)</f>
        <v/>
      </c>
      <c r="M40" s="167" t="str">
        <f>IF('TERM 3 PE and H'!AC43="","",'TERM 3 PE and H'!AC43)</f>
        <v/>
      </c>
      <c r="N40" s="161" t="str">
        <f t="shared" si="2"/>
        <v/>
      </c>
      <c r="O40" s="132" t="str">
        <f t="shared" si="3"/>
        <v/>
      </c>
      <c r="P40" s="104" t="str">
        <f>IF(O40="","",IFERROR(VLOOKUP(O40,HELPER!$F$8:$G$48,2,FALSE),""))</f>
        <v/>
      </c>
      <c r="Q40" s="105"/>
      <c r="R40" s="137"/>
      <c r="S40" s="137"/>
    </row>
    <row r="41" spans="1:19" ht="15" customHeight="1" x14ac:dyDescent="0.25">
      <c r="A41" s="137"/>
      <c r="B41" s="66">
        <v>27</v>
      </c>
      <c r="C41" s="249" t="str">
        <f>IF('INPUT DATA'!K37="","",'INPUT DATA'!K37)</f>
        <v/>
      </c>
      <c r="D41" s="205"/>
      <c r="E41" s="205"/>
      <c r="F41" s="164" t="str">
        <f>IF('TERM 1 M and A'!AC44="","",'TERM 1 M and A'!AC44)</f>
        <v/>
      </c>
      <c r="G41" s="167" t="str">
        <f>IF('TERM 1 PE and H'!AC44="","",'TERM 1 PE and H'!AC44)</f>
        <v/>
      </c>
      <c r="H41" s="161" t="str">
        <f t="shared" si="0"/>
        <v/>
      </c>
      <c r="I41" s="164" t="str">
        <f>IF('TERM 2 M and A'!AC44="","",'TERM 2 M and A'!AC44)</f>
        <v/>
      </c>
      <c r="J41" s="167" t="str">
        <f>IF('TERM 2 PE and H'!AC44="","",'TERM 2 PE and H'!AC44)</f>
        <v/>
      </c>
      <c r="K41" s="161" t="str">
        <f t="shared" si="1"/>
        <v/>
      </c>
      <c r="L41" s="164" t="str">
        <f>IF('TERM 3 M and A'!AC44="","",'TERM 3 M and A'!AC44)</f>
        <v/>
      </c>
      <c r="M41" s="167" t="str">
        <f>IF('TERM 3 PE and H'!AC44="","",'TERM 3 PE and H'!AC44)</f>
        <v/>
      </c>
      <c r="N41" s="161" t="str">
        <f t="shared" si="2"/>
        <v/>
      </c>
      <c r="O41" s="132" t="str">
        <f t="shared" si="3"/>
        <v/>
      </c>
      <c r="P41" s="104" t="str">
        <f>IF(O41="","",IFERROR(VLOOKUP(O41,HELPER!$F$8:$G$48,2,FALSE),""))</f>
        <v/>
      </c>
      <c r="Q41" s="105"/>
      <c r="R41" s="137"/>
      <c r="S41" s="137"/>
    </row>
    <row r="42" spans="1:19" ht="15" customHeight="1" x14ac:dyDescent="0.25">
      <c r="A42" s="137"/>
      <c r="B42" s="66">
        <v>28</v>
      </c>
      <c r="C42" s="249" t="str">
        <f>IF('INPUT DATA'!K38="","",'INPUT DATA'!K38)</f>
        <v/>
      </c>
      <c r="D42" s="205"/>
      <c r="E42" s="205"/>
      <c r="F42" s="164" t="str">
        <f>IF('TERM 1 M and A'!AC45="","",'TERM 1 M and A'!AC45)</f>
        <v/>
      </c>
      <c r="G42" s="167" t="str">
        <f>IF('TERM 1 PE and H'!AC45="","",'TERM 1 PE and H'!AC45)</f>
        <v/>
      </c>
      <c r="H42" s="161" t="str">
        <f t="shared" si="0"/>
        <v/>
      </c>
      <c r="I42" s="164" t="str">
        <f>IF('TERM 2 M and A'!AC45="","",'TERM 2 M and A'!AC45)</f>
        <v/>
      </c>
      <c r="J42" s="167" t="str">
        <f>IF('TERM 2 PE and H'!AC45="","",'TERM 2 PE and H'!AC45)</f>
        <v/>
      </c>
      <c r="K42" s="161" t="str">
        <f t="shared" si="1"/>
        <v/>
      </c>
      <c r="L42" s="164" t="str">
        <f>IF('TERM 3 M and A'!AC45="","",'TERM 3 M and A'!AC45)</f>
        <v/>
      </c>
      <c r="M42" s="167" t="str">
        <f>IF('TERM 3 PE and H'!AC45="","",'TERM 3 PE and H'!AC45)</f>
        <v/>
      </c>
      <c r="N42" s="161" t="str">
        <f t="shared" si="2"/>
        <v/>
      </c>
      <c r="O42" s="132" t="str">
        <f t="shared" si="3"/>
        <v/>
      </c>
      <c r="P42" s="104" t="str">
        <f>IF(O42="","",IFERROR(VLOOKUP(O42,HELPER!$F$8:$G$48,2,FALSE),""))</f>
        <v/>
      </c>
      <c r="Q42" s="105"/>
      <c r="R42" s="137"/>
      <c r="S42" s="137"/>
    </row>
    <row r="43" spans="1:19" ht="15" customHeight="1" x14ac:dyDescent="0.25">
      <c r="A43" s="137"/>
      <c r="B43" s="66">
        <v>29</v>
      </c>
      <c r="C43" s="249" t="str">
        <f>IF('INPUT DATA'!K39="","",'INPUT DATA'!K39)</f>
        <v/>
      </c>
      <c r="D43" s="205"/>
      <c r="E43" s="205"/>
      <c r="F43" s="164" t="str">
        <f>IF('TERM 1 M and A'!AC46="","",'TERM 1 M and A'!AC46)</f>
        <v/>
      </c>
      <c r="G43" s="167" t="str">
        <f>IF('TERM 1 PE and H'!AC46="","",'TERM 1 PE and H'!AC46)</f>
        <v/>
      </c>
      <c r="H43" s="161" t="str">
        <f t="shared" si="0"/>
        <v/>
      </c>
      <c r="I43" s="164" t="str">
        <f>IF('TERM 2 M and A'!AC46="","",'TERM 2 M and A'!AC46)</f>
        <v/>
      </c>
      <c r="J43" s="167" t="str">
        <f>IF('TERM 2 PE and H'!AC46="","",'TERM 2 PE and H'!AC46)</f>
        <v/>
      </c>
      <c r="K43" s="161" t="str">
        <f t="shared" si="1"/>
        <v/>
      </c>
      <c r="L43" s="164" t="str">
        <f>IF('TERM 3 M and A'!AC46="","",'TERM 3 M and A'!AC46)</f>
        <v/>
      </c>
      <c r="M43" s="167" t="str">
        <f>IF('TERM 3 PE and H'!AC46="","",'TERM 3 PE and H'!AC46)</f>
        <v/>
      </c>
      <c r="N43" s="161" t="str">
        <f t="shared" si="2"/>
        <v/>
      </c>
      <c r="O43" s="132" t="str">
        <f t="shared" si="3"/>
        <v/>
      </c>
      <c r="P43" s="104" t="str">
        <f>IF(O43="","",IFERROR(VLOOKUP(O43,HELPER!$F$8:$G$48,2,FALSE),""))</f>
        <v/>
      </c>
      <c r="Q43" s="105"/>
      <c r="R43" s="137"/>
      <c r="S43" s="137"/>
    </row>
    <row r="44" spans="1:19" ht="15" customHeight="1" x14ac:dyDescent="0.25">
      <c r="A44" s="137"/>
      <c r="B44" s="66">
        <v>30</v>
      </c>
      <c r="C44" s="249" t="str">
        <f>IF('INPUT DATA'!K40="","",'INPUT DATA'!K40)</f>
        <v/>
      </c>
      <c r="D44" s="205"/>
      <c r="E44" s="205"/>
      <c r="F44" s="164" t="str">
        <f>IF('TERM 1 M and A'!AC47="","",'TERM 1 M and A'!AC47)</f>
        <v/>
      </c>
      <c r="G44" s="167" t="str">
        <f>IF('TERM 1 PE and H'!AC47="","",'TERM 1 PE and H'!AC47)</f>
        <v/>
      </c>
      <c r="H44" s="161" t="str">
        <f t="shared" si="0"/>
        <v/>
      </c>
      <c r="I44" s="164" t="str">
        <f>IF('TERM 2 M and A'!AC47="","",'TERM 2 M and A'!AC47)</f>
        <v/>
      </c>
      <c r="J44" s="167" t="str">
        <f>IF('TERM 2 PE and H'!AC47="","",'TERM 2 PE and H'!AC47)</f>
        <v/>
      </c>
      <c r="K44" s="161" t="str">
        <f t="shared" si="1"/>
        <v/>
      </c>
      <c r="L44" s="164" t="str">
        <f>IF('TERM 3 M and A'!AC47="","",'TERM 3 M and A'!AC47)</f>
        <v/>
      </c>
      <c r="M44" s="167" t="str">
        <f>IF('TERM 3 PE and H'!AC47="","",'TERM 3 PE and H'!AC47)</f>
        <v/>
      </c>
      <c r="N44" s="161" t="str">
        <f t="shared" si="2"/>
        <v/>
      </c>
      <c r="O44" s="132" t="str">
        <f t="shared" si="3"/>
        <v/>
      </c>
      <c r="P44" s="104" t="str">
        <f>IF(O44="","",IFERROR(VLOOKUP(O44,HELPER!$F$8:$G$48,2,FALSE),""))</f>
        <v/>
      </c>
      <c r="Q44" s="105"/>
      <c r="R44" s="137"/>
      <c r="S44" s="137"/>
    </row>
    <row r="45" spans="1:19" ht="15" customHeight="1" x14ac:dyDescent="0.25">
      <c r="A45" s="137"/>
      <c r="B45" s="66">
        <v>31</v>
      </c>
      <c r="C45" s="249" t="str">
        <f>IF('INPUT DATA'!K41="","",'INPUT DATA'!K41)</f>
        <v/>
      </c>
      <c r="D45" s="205"/>
      <c r="E45" s="205"/>
      <c r="F45" s="164" t="str">
        <f>IF('TERM 1 M and A'!AC48="","",'TERM 1 M and A'!AC48)</f>
        <v/>
      </c>
      <c r="G45" s="167" t="str">
        <f>IF('TERM 1 PE and H'!AC48="","",'TERM 1 PE and H'!AC48)</f>
        <v/>
      </c>
      <c r="H45" s="161" t="str">
        <f t="shared" si="0"/>
        <v/>
      </c>
      <c r="I45" s="164" t="str">
        <f>IF('TERM 2 M and A'!AC48="","",'TERM 2 M and A'!AC48)</f>
        <v/>
      </c>
      <c r="J45" s="167" t="str">
        <f>IF('TERM 2 PE and H'!AC48="","",'TERM 2 PE and H'!AC48)</f>
        <v/>
      </c>
      <c r="K45" s="161" t="str">
        <f t="shared" si="1"/>
        <v/>
      </c>
      <c r="L45" s="164" t="str">
        <f>IF('TERM 3 M and A'!AC48="","",'TERM 3 M and A'!AC48)</f>
        <v/>
      </c>
      <c r="M45" s="167" t="str">
        <f>IF('TERM 3 PE and H'!AC48="","",'TERM 3 PE and H'!AC48)</f>
        <v/>
      </c>
      <c r="N45" s="161" t="str">
        <f t="shared" si="2"/>
        <v/>
      </c>
      <c r="O45" s="132" t="str">
        <f t="shared" si="3"/>
        <v/>
      </c>
      <c r="P45" s="104" t="str">
        <f>IF(O45="","",IFERROR(VLOOKUP(O45,HELPER!$F$8:$G$48,2,FALSE),""))</f>
        <v/>
      </c>
      <c r="Q45" s="105"/>
      <c r="R45" s="137"/>
      <c r="S45" s="137"/>
    </row>
    <row r="46" spans="1:19" ht="15" customHeight="1" x14ac:dyDescent="0.25">
      <c r="A46" s="137"/>
      <c r="B46" s="66">
        <v>32</v>
      </c>
      <c r="C46" s="249" t="str">
        <f>IF('INPUT DATA'!K42="","",'INPUT DATA'!K42)</f>
        <v/>
      </c>
      <c r="D46" s="205"/>
      <c r="E46" s="205"/>
      <c r="F46" s="164" t="str">
        <f>IF('TERM 1 M and A'!AC49="","",'TERM 1 M and A'!AC49)</f>
        <v/>
      </c>
      <c r="G46" s="167" t="str">
        <f>IF('TERM 1 PE and H'!AC49="","",'TERM 1 PE and H'!AC49)</f>
        <v/>
      </c>
      <c r="H46" s="161" t="str">
        <f t="shared" si="0"/>
        <v/>
      </c>
      <c r="I46" s="164" t="str">
        <f>IF('TERM 2 M and A'!AC49="","",'TERM 2 M and A'!AC49)</f>
        <v/>
      </c>
      <c r="J46" s="167" t="str">
        <f>IF('TERM 2 PE and H'!AC49="","",'TERM 2 PE and H'!AC49)</f>
        <v/>
      </c>
      <c r="K46" s="161" t="str">
        <f t="shared" si="1"/>
        <v/>
      </c>
      <c r="L46" s="164" t="str">
        <f>IF('TERM 3 M and A'!AC49="","",'TERM 3 M and A'!AC49)</f>
        <v/>
      </c>
      <c r="M46" s="167" t="str">
        <f>IF('TERM 3 PE and H'!AC49="","",'TERM 3 PE and H'!AC49)</f>
        <v/>
      </c>
      <c r="N46" s="161" t="str">
        <f t="shared" si="2"/>
        <v/>
      </c>
      <c r="O46" s="132" t="str">
        <f t="shared" si="3"/>
        <v/>
      </c>
      <c r="P46" s="104" t="str">
        <f>IF(O46="","",IFERROR(VLOOKUP(O46,HELPER!$F$8:$G$48,2,FALSE),""))</f>
        <v/>
      </c>
      <c r="Q46" s="105"/>
      <c r="R46" s="137"/>
      <c r="S46" s="137"/>
    </row>
    <row r="47" spans="1:19" ht="15" customHeight="1" x14ac:dyDescent="0.25">
      <c r="A47" s="137"/>
      <c r="B47" s="66">
        <v>33</v>
      </c>
      <c r="C47" s="249" t="str">
        <f>IF('INPUT DATA'!K43="","",'INPUT DATA'!K43)</f>
        <v/>
      </c>
      <c r="D47" s="205"/>
      <c r="E47" s="205"/>
      <c r="F47" s="164" t="str">
        <f>IF('TERM 1 M and A'!AC50="","",'TERM 1 M and A'!AC50)</f>
        <v/>
      </c>
      <c r="G47" s="167" t="str">
        <f>IF('TERM 1 PE and H'!AC50="","",'TERM 1 PE and H'!AC50)</f>
        <v/>
      </c>
      <c r="H47" s="161" t="str">
        <f t="shared" ref="H47:H64" si="4">IF(COUNT(F47:G47)=0,"",ROUND(AVERAGE(F47:G47),0))</f>
        <v/>
      </c>
      <c r="I47" s="164" t="str">
        <f>IF('TERM 2 M and A'!AC50="","",'TERM 2 M and A'!AC50)</f>
        <v/>
      </c>
      <c r="J47" s="167" t="str">
        <f>IF('TERM 2 PE and H'!AC50="","",'TERM 2 PE and H'!AC50)</f>
        <v/>
      </c>
      <c r="K47" s="161" t="str">
        <f t="shared" ref="K47:K64" si="5">IF(COUNT(I47:J47)=0,"",ROUND(AVERAGE(I47:J47),0))</f>
        <v/>
      </c>
      <c r="L47" s="164" t="str">
        <f>IF('TERM 3 M and A'!AC50="","",'TERM 3 M and A'!AC50)</f>
        <v/>
      </c>
      <c r="M47" s="167" t="str">
        <f>IF('TERM 3 PE and H'!AC50="","",'TERM 3 PE and H'!AC50)</f>
        <v/>
      </c>
      <c r="N47" s="161" t="str">
        <f t="shared" ref="N47:N64" si="6">IF(COUNT(L47:M47)=0,"",ROUND(AVERAGE(L47:M47),0))</f>
        <v/>
      </c>
      <c r="O47" s="132" t="str">
        <f t="shared" ref="O47:O64" si="7">IF(COUNT(H47,K47,N47)&lt;3,"",ROUND(AVERAGE(H47,K47,N47),0))</f>
        <v/>
      </c>
      <c r="P47" s="104" t="str">
        <f>IF(O47="","",IFERROR(VLOOKUP(O47,HELPER!$F$8:$G$48,2,FALSE),""))</f>
        <v/>
      </c>
      <c r="Q47" s="105"/>
      <c r="R47" s="137"/>
      <c r="S47" s="137"/>
    </row>
    <row r="48" spans="1:19" ht="15" customHeight="1" x14ac:dyDescent="0.25">
      <c r="A48" s="137"/>
      <c r="B48" s="66">
        <v>34</v>
      </c>
      <c r="C48" s="249" t="str">
        <f>IF('INPUT DATA'!K44="","",'INPUT DATA'!K44)</f>
        <v/>
      </c>
      <c r="D48" s="205"/>
      <c r="E48" s="205"/>
      <c r="F48" s="164" t="str">
        <f>IF('TERM 1 M and A'!AC51="","",'TERM 1 M and A'!AC51)</f>
        <v/>
      </c>
      <c r="G48" s="167" t="str">
        <f>IF('TERM 1 PE and H'!AC51="","",'TERM 1 PE and H'!AC51)</f>
        <v/>
      </c>
      <c r="H48" s="161" t="str">
        <f t="shared" si="4"/>
        <v/>
      </c>
      <c r="I48" s="164" t="str">
        <f>IF('TERM 2 M and A'!AC51="","",'TERM 2 M and A'!AC51)</f>
        <v/>
      </c>
      <c r="J48" s="167" t="str">
        <f>IF('TERM 2 PE and H'!AC51="","",'TERM 2 PE and H'!AC51)</f>
        <v/>
      </c>
      <c r="K48" s="161" t="str">
        <f t="shared" si="5"/>
        <v/>
      </c>
      <c r="L48" s="164" t="str">
        <f>IF('TERM 3 M and A'!AC51="","",'TERM 3 M and A'!AC51)</f>
        <v/>
      </c>
      <c r="M48" s="167" t="str">
        <f>IF('TERM 3 PE and H'!AC51="","",'TERM 3 PE and H'!AC51)</f>
        <v/>
      </c>
      <c r="N48" s="161" t="str">
        <f t="shared" si="6"/>
        <v/>
      </c>
      <c r="O48" s="132" t="str">
        <f t="shared" si="7"/>
        <v/>
      </c>
      <c r="P48" s="104" t="str">
        <f>IF(O48="","",IFERROR(VLOOKUP(O48,HELPER!$F$8:$G$48,2,FALSE),""))</f>
        <v/>
      </c>
      <c r="Q48" s="105"/>
      <c r="R48" s="137"/>
      <c r="S48" s="137"/>
    </row>
    <row r="49" spans="1:19" ht="15" customHeight="1" x14ac:dyDescent="0.25">
      <c r="A49" s="137"/>
      <c r="B49" s="66">
        <v>35</v>
      </c>
      <c r="C49" s="249" t="str">
        <f>IF('INPUT DATA'!K45="","",'INPUT DATA'!K45)</f>
        <v/>
      </c>
      <c r="D49" s="205"/>
      <c r="E49" s="205"/>
      <c r="F49" s="164" t="str">
        <f>IF('TERM 1 M and A'!AC52="","",'TERM 1 M and A'!AC52)</f>
        <v/>
      </c>
      <c r="G49" s="167" t="str">
        <f>IF('TERM 1 PE and H'!AC52="","",'TERM 1 PE and H'!AC52)</f>
        <v/>
      </c>
      <c r="H49" s="161" t="str">
        <f t="shared" si="4"/>
        <v/>
      </c>
      <c r="I49" s="164" t="str">
        <f>IF('TERM 2 M and A'!AC52="","",'TERM 2 M and A'!AC52)</f>
        <v/>
      </c>
      <c r="J49" s="167" t="str">
        <f>IF('TERM 2 PE and H'!AC52="","",'TERM 2 PE and H'!AC52)</f>
        <v/>
      </c>
      <c r="K49" s="161" t="str">
        <f t="shared" si="5"/>
        <v/>
      </c>
      <c r="L49" s="164" t="str">
        <f>IF('TERM 3 M and A'!AC52="","",'TERM 3 M and A'!AC52)</f>
        <v/>
      </c>
      <c r="M49" s="167" t="str">
        <f>IF('TERM 3 PE and H'!AC52="","",'TERM 3 PE and H'!AC52)</f>
        <v/>
      </c>
      <c r="N49" s="161" t="str">
        <f t="shared" si="6"/>
        <v/>
      </c>
      <c r="O49" s="132" t="str">
        <f t="shared" si="7"/>
        <v/>
      </c>
      <c r="P49" s="104" t="str">
        <f>IF(O49="","",IFERROR(VLOOKUP(O49,HELPER!$F$8:$G$48,2,FALSE),""))</f>
        <v/>
      </c>
      <c r="Q49" s="105"/>
      <c r="R49" s="137"/>
      <c r="S49" s="137"/>
    </row>
    <row r="50" spans="1:19" ht="15" customHeight="1" x14ac:dyDescent="0.25">
      <c r="A50" s="137"/>
      <c r="B50" s="66">
        <v>36</v>
      </c>
      <c r="C50" s="249" t="str">
        <f>IF('INPUT DATA'!K46="","",'INPUT DATA'!K46)</f>
        <v/>
      </c>
      <c r="D50" s="205"/>
      <c r="E50" s="205"/>
      <c r="F50" s="164" t="str">
        <f>IF('TERM 1 M and A'!AC53="","",'TERM 1 M and A'!AC53)</f>
        <v/>
      </c>
      <c r="G50" s="167" t="str">
        <f>IF('TERM 1 PE and H'!AC53="","",'TERM 1 PE and H'!AC53)</f>
        <v/>
      </c>
      <c r="H50" s="161" t="str">
        <f t="shared" si="4"/>
        <v/>
      </c>
      <c r="I50" s="164" t="str">
        <f>IF('TERM 2 M and A'!AC53="","",'TERM 2 M and A'!AC53)</f>
        <v/>
      </c>
      <c r="J50" s="167" t="str">
        <f>IF('TERM 2 PE and H'!AC53="","",'TERM 2 PE and H'!AC53)</f>
        <v/>
      </c>
      <c r="K50" s="161" t="str">
        <f t="shared" si="5"/>
        <v/>
      </c>
      <c r="L50" s="164" t="str">
        <f>IF('TERM 3 M and A'!AC53="","",'TERM 3 M and A'!AC53)</f>
        <v/>
      </c>
      <c r="M50" s="167" t="str">
        <f>IF('TERM 3 PE and H'!AC53="","",'TERM 3 PE and H'!AC53)</f>
        <v/>
      </c>
      <c r="N50" s="161" t="str">
        <f t="shared" si="6"/>
        <v/>
      </c>
      <c r="O50" s="132" t="str">
        <f t="shared" si="7"/>
        <v/>
      </c>
      <c r="P50" s="104" t="str">
        <f>IF(O50="","",IFERROR(VLOOKUP(O50,HELPER!$F$8:$G$48,2,FALSE),""))</f>
        <v/>
      </c>
      <c r="Q50" s="105"/>
      <c r="R50" s="137"/>
      <c r="S50" s="137"/>
    </row>
    <row r="51" spans="1:19" ht="15" customHeight="1" x14ac:dyDescent="0.25">
      <c r="A51" s="137"/>
      <c r="B51" s="66">
        <v>37</v>
      </c>
      <c r="C51" s="249" t="str">
        <f>IF('INPUT DATA'!K47="","",'INPUT DATA'!K47)</f>
        <v/>
      </c>
      <c r="D51" s="205"/>
      <c r="E51" s="205"/>
      <c r="F51" s="164" t="str">
        <f>IF('TERM 1 M and A'!AC54="","",'TERM 1 M and A'!AC54)</f>
        <v/>
      </c>
      <c r="G51" s="167" t="str">
        <f>IF('TERM 1 PE and H'!AC54="","",'TERM 1 PE and H'!AC54)</f>
        <v/>
      </c>
      <c r="H51" s="161" t="str">
        <f t="shared" si="4"/>
        <v/>
      </c>
      <c r="I51" s="164" t="str">
        <f>IF('TERM 2 M and A'!AC54="","",'TERM 2 M and A'!AC54)</f>
        <v/>
      </c>
      <c r="J51" s="167" t="str">
        <f>IF('TERM 2 PE and H'!AC54="","",'TERM 2 PE and H'!AC54)</f>
        <v/>
      </c>
      <c r="K51" s="161" t="str">
        <f t="shared" si="5"/>
        <v/>
      </c>
      <c r="L51" s="164" t="str">
        <f>IF('TERM 3 M and A'!AC54="","",'TERM 3 M and A'!AC54)</f>
        <v/>
      </c>
      <c r="M51" s="167" t="str">
        <f>IF('TERM 3 PE and H'!AC54="","",'TERM 3 PE and H'!AC54)</f>
        <v/>
      </c>
      <c r="N51" s="161" t="str">
        <f t="shared" si="6"/>
        <v/>
      </c>
      <c r="O51" s="132" t="str">
        <f t="shared" si="7"/>
        <v/>
      </c>
      <c r="P51" s="104" t="str">
        <f>IF(O51="","",IFERROR(VLOOKUP(O51,HELPER!$F$8:$G$48,2,FALSE),""))</f>
        <v/>
      </c>
      <c r="Q51" s="105"/>
      <c r="R51" s="137"/>
      <c r="S51" s="137"/>
    </row>
    <row r="52" spans="1:19" ht="15" customHeight="1" x14ac:dyDescent="0.25">
      <c r="A52" s="137"/>
      <c r="B52" s="66">
        <v>38</v>
      </c>
      <c r="C52" s="249" t="str">
        <f>IF('INPUT DATA'!K48="","",'INPUT DATA'!K48)</f>
        <v/>
      </c>
      <c r="D52" s="205"/>
      <c r="E52" s="205"/>
      <c r="F52" s="164" t="str">
        <f>IF('TERM 1 M and A'!AC55="","",'TERM 1 M and A'!AC55)</f>
        <v/>
      </c>
      <c r="G52" s="167" t="str">
        <f>IF('TERM 1 PE and H'!AC55="","",'TERM 1 PE and H'!AC55)</f>
        <v/>
      </c>
      <c r="H52" s="161" t="str">
        <f t="shared" si="4"/>
        <v/>
      </c>
      <c r="I52" s="164" t="str">
        <f>IF('TERM 2 M and A'!AC55="","",'TERM 2 M and A'!AC55)</f>
        <v/>
      </c>
      <c r="J52" s="167" t="str">
        <f>IF('TERM 2 PE and H'!AC55="","",'TERM 2 PE and H'!AC55)</f>
        <v/>
      </c>
      <c r="K52" s="161" t="str">
        <f t="shared" si="5"/>
        <v/>
      </c>
      <c r="L52" s="164" t="str">
        <f>IF('TERM 3 M and A'!AC55="","",'TERM 3 M and A'!AC55)</f>
        <v/>
      </c>
      <c r="M52" s="167" t="str">
        <f>IF('TERM 3 PE and H'!AC55="","",'TERM 3 PE and H'!AC55)</f>
        <v/>
      </c>
      <c r="N52" s="161" t="str">
        <f t="shared" si="6"/>
        <v/>
      </c>
      <c r="O52" s="132" t="str">
        <f t="shared" si="7"/>
        <v/>
      </c>
      <c r="P52" s="104" t="str">
        <f>IF(O52="","",IFERROR(VLOOKUP(O52,HELPER!$F$8:$G$48,2,FALSE),""))</f>
        <v/>
      </c>
      <c r="Q52" s="105"/>
      <c r="R52" s="137"/>
      <c r="S52" s="137"/>
    </row>
    <row r="53" spans="1:19" ht="15" customHeight="1" x14ac:dyDescent="0.25">
      <c r="A53" s="137"/>
      <c r="B53" s="66">
        <v>39</v>
      </c>
      <c r="C53" s="249" t="str">
        <f>IF('INPUT DATA'!K49="","",'INPUT DATA'!K49)</f>
        <v/>
      </c>
      <c r="D53" s="205"/>
      <c r="E53" s="205"/>
      <c r="F53" s="164" t="str">
        <f>IF('TERM 1 M and A'!AC56="","",'TERM 1 M and A'!AC56)</f>
        <v/>
      </c>
      <c r="G53" s="167" t="str">
        <f>IF('TERM 1 PE and H'!AC56="","",'TERM 1 PE and H'!AC56)</f>
        <v/>
      </c>
      <c r="H53" s="161" t="str">
        <f t="shared" si="4"/>
        <v/>
      </c>
      <c r="I53" s="164" t="str">
        <f>IF('TERM 2 M and A'!AC56="","",'TERM 2 M and A'!AC56)</f>
        <v/>
      </c>
      <c r="J53" s="167" t="str">
        <f>IF('TERM 2 PE and H'!AC56="","",'TERM 2 PE and H'!AC56)</f>
        <v/>
      </c>
      <c r="K53" s="161" t="str">
        <f t="shared" si="5"/>
        <v/>
      </c>
      <c r="L53" s="164" t="str">
        <f>IF('TERM 3 M and A'!AC56="","",'TERM 3 M and A'!AC56)</f>
        <v/>
      </c>
      <c r="M53" s="167" t="str">
        <f>IF('TERM 3 PE and H'!AC56="","",'TERM 3 PE and H'!AC56)</f>
        <v/>
      </c>
      <c r="N53" s="161" t="str">
        <f t="shared" si="6"/>
        <v/>
      </c>
      <c r="O53" s="132" t="str">
        <f t="shared" si="7"/>
        <v/>
      </c>
      <c r="P53" s="104" t="str">
        <f>IF(O53="","",IFERROR(VLOOKUP(O53,HELPER!$F$8:$G$48,2,FALSE),""))</f>
        <v/>
      </c>
      <c r="Q53" s="105"/>
      <c r="R53" s="137"/>
      <c r="S53" s="137"/>
    </row>
    <row r="54" spans="1:19" ht="15" customHeight="1" x14ac:dyDescent="0.25">
      <c r="A54" s="137"/>
      <c r="B54" s="66">
        <v>40</v>
      </c>
      <c r="C54" s="249" t="str">
        <f>IF('INPUT DATA'!K50="","",'INPUT DATA'!K50)</f>
        <v/>
      </c>
      <c r="D54" s="205"/>
      <c r="E54" s="205"/>
      <c r="F54" s="164" t="str">
        <f>IF('TERM 1 M and A'!AC57="","",'TERM 1 M and A'!AC57)</f>
        <v/>
      </c>
      <c r="G54" s="167" t="str">
        <f>IF('TERM 1 PE and H'!AC57="","",'TERM 1 PE and H'!AC57)</f>
        <v/>
      </c>
      <c r="H54" s="161" t="str">
        <f t="shared" si="4"/>
        <v/>
      </c>
      <c r="I54" s="164" t="str">
        <f>IF('TERM 2 M and A'!AC57="","",'TERM 2 M and A'!AC57)</f>
        <v/>
      </c>
      <c r="J54" s="167" t="str">
        <f>IF('TERM 2 PE and H'!AC57="","",'TERM 2 PE and H'!AC57)</f>
        <v/>
      </c>
      <c r="K54" s="161" t="str">
        <f t="shared" si="5"/>
        <v/>
      </c>
      <c r="L54" s="164" t="str">
        <f>IF('TERM 3 M and A'!AC57="","",'TERM 3 M and A'!AC57)</f>
        <v/>
      </c>
      <c r="M54" s="167" t="str">
        <f>IF('TERM 3 PE and H'!AC57="","",'TERM 3 PE and H'!AC57)</f>
        <v/>
      </c>
      <c r="N54" s="161" t="str">
        <f t="shared" si="6"/>
        <v/>
      </c>
      <c r="O54" s="132" t="str">
        <f t="shared" si="7"/>
        <v/>
      </c>
      <c r="P54" s="104" t="str">
        <f>IF(O54="","",IFERROR(VLOOKUP(O54,HELPER!$F$8:$G$48,2,FALSE),""))</f>
        <v/>
      </c>
      <c r="Q54" s="105"/>
      <c r="R54" s="137"/>
      <c r="S54" s="137"/>
    </row>
    <row r="55" spans="1:19" ht="15" customHeight="1" x14ac:dyDescent="0.25">
      <c r="A55" s="137"/>
      <c r="B55" s="66">
        <v>41</v>
      </c>
      <c r="C55" s="249" t="str">
        <f>IF('INPUT DATA'!K51="","",'INPUT DATA'!K51)</f>
        <v/>
      </c>
      <c r="D55" s="205"/>
      <c r="E55" s="205"/>
      <c r="F55" s="164" t="str">
        <f>IF('TERM 1 M and A'!AC58="","",'TERM 1 M and A'!AC58)</f>
        <v/>
      </c>
      <c r="G55" s="167" t="str">
        <f>IF('TERM 1 PE and H'!AC58="","",'TERM 1 PE and H'!AC58)</f>
        <v/>
      </c>
      <c r="H55" s="161" t="str">
        <f t="shared" si="4"/>
        <v/>
      </c>
      <c r="I55" s="164" t="str">
        <f>IF('TERM 2 M and A'!AC58="","",'TERM 2 M and A'!AC58)</f>
        <v/>
      </c>
      <c r="J55" s="167" t="str">
        <f>IF('TERM 2 PE and H'!AC58="","",'TERM 2 PE and H'!AC58)</f>
        <v/>
      </c>
      <c r="K55" s="161" t="str">
        <f t="shared" si="5"/>
        <v/>
      </c>
      <c r="L55" s="164" t="str">
        <f>IF('TERM 3 M and A'!AC58="","",'TERM 3 M and A'!AC58)</f>
        <v/>
      </c>
      <c r="M55" s="167" t="str">
        <f>IF('TERM 3 PE and H'!AC58="","",'TERM 3 PE and H'!AC58)</f>
        <v/>
      </c>
      <c r="N55" s="161" t="str">
        <f t="shared" si="6"/>
        <v/>
      </c>
      <c r="O55" s="132" t="str">
        <f t="shared" si="7"/>
        <v/>
      </c>
      <c r="P55" s="104" t="str">
        <f>IF(O55="","",IFERROR(VLOOKUP(O55,HELPER!$F$8:$G$48,2,FALSE),""))</f>
        <v/>
      </c>
      <c r="Q55" s="105"/>
      <c r="R55" s="137"/>
      <c r="S55" s="137"/>
    </row>
    <row r="56" spans="1:19" ht="15" customHeight="1" x14ac:dyDescent="0.25">
      <c r="A56" s="137"/>
      <c r="B56" s="66">
        <v>42</v>
      </c>
      <c r="C56" s="249" t="str">
        <f>IF('INPUT DATA'!K52="","",'INPUT DATA'!K52)</f>
        <v/>
      </c>
      <c r="D56" s="205"/>
      <c r="E56" s="205"/>
      <c r="F56" s="164" t="str">
        <f>IF('TERM 1 M and A'!AC59="","",'TERM 1 M and A'!AC59)</f>
        <v/>
      </c>
      <c r="G56" s="167" t="str">
        <f>IF('TERM 1 PE and H'!AC59="","",'TERM 1 PE and H'!AC59)</f>
        <v/>
      </c>
      <c r="H56" s="161" t="str">
        <f t="shared" si="4"/>
        <v/>
      </c>
      <c r="I56" s="164" t="str">
        <f>IF('TERM 2 M and A'!AC59="","",'TERM 2 M and A'!AC59)</f>
        <v/>
      </c>
      <c r="J56" s="167" t="str">
        <f>IF('TERM 2 PE and H'!AC59="","",'TERM 2 PE and H'!AC59)</f>
        <v/>
      </c>
      <c r="K56" s="161" t="str">
        <f t="shared" si="5"/>
        <v/>
      </c>
      <c r="L56" s="164" t="str">
        <f>IF('TERM 3 M and A'!AC59="","",'TERM 3 M and A'!AC59)</f>
        <v/>
      </c>
      <c r="M56" s="167" t="str">
        <f>IF('TERM 3 PE and H'!AC59="","",'TERM 3 PE and H'!AC59)</f>
        <v/>
      </c>
      <c r="N56" s="161" t="str">
        <f t="shared" si="6"/>
        <v/>
      </c>
      <c r="O56" s="132" t="str">
        <f t="shared" si="7"/>
        <v/>
      </c>
      <c r="P56" s="104" t="str">
        <f>IF(O56="","",IFERROR(VLOOKUP(O56,HELPER!$F$8:$G$48,2,FALSE),""))</f>
        <v/>
      </c>
      <c r="Q56" s="105"/>
      <c r="R56" s="137"/>
      <c r="S56" s="137"/>
    </row>
    <row r="57" spans="1:19" ht="15" customHeight="1" x14ac:dyDescent="0.25">
      <c r="A57" s="137"/>
      <c r="B57" s="66">
        <v>43</v>
      </c>
      <c r="C57" s="249" t="str">
        <f>IF('INPUT DATA'!K53="","",'INPUT DATA'!K53)</f>
        <v/>
      </c>
      <c r="D57" s="205"/>
      <c r="E57" s="205"/>
      <c r="F57" s="164" t="str">
        <f>IF('TERM 1 M and A'!AC60="","",'TERM 1 M and A'!AC60)</f>
        <v/>
      </c>
      <c r="G57" s="167" t="str">
        <f>IF('TERM 1 PE and H'!AC60="","",'TERM 1 PE and H'!AC60)</f>
        <v/>
      </c>
      <c r="H57" s="161" t="str">
        <f t="shared" si="4"/>
        <v/>
      </c>
      <c r="I57" s="164" t="str">
        <f>IF('TERM 2 M and A'!AC60="","",'TERM 2 M and A'!AC60)</f>
        <v/>
      </c>
      <c r="J57" s="167" t="str">
        <f>IF('TERM 2 PE and H'!AC60="","",'TERM 2 PE and H'!AC60)</f>
        <v/>
      </c>
      <c r="K57" s="161" t="str">
        <f t="shared" si="5"/>
        <v/>
      </c>
      <c r="L57" s="164" t="str">
        <f>IF('TERM 3 M and A'!AC60="","",'TERM 3 M and A'!AC60)</f>
        <v/>
      </c>
      <c r="M57" s="167" t="str">
        <f>IF('TERM 3 PE and H'!AC60="","",'TERM 3 PE and H'!AC60)</f>
        <v/>
      </c>
      <c r="N57" s="161" t="str">
        <f t="shared" si="6"/>
        <v/>
      </c>
      <c r="O57" s="132" t="str">
        <f t="shared" si="7"/>
        <v/>
      </c>
      <c r="P57" s="104" t="str">
        <f>IF(O57="","",IFERROR(VLOOKUP(O57,HELPER!$F$8:$G$48,2,FALSE),""))</f>
        <v/>
      </c>
      <c r="Q57" s="105"/>
      <c r="R57" s="137"/>
      <c r="S57" s="137"/>
    </row>
    <row r="58" spans="1:19" ht="15" customHeight="1" x14ac:dyDescent="0.25">
      <c r="A58" s="137"/>
      <c r="B58" s="66">
        <v>44</v>
      </c>
      <c r="C58" s="249" t="str">
        <f>IF('INPUT DATA'!K54="","",'INPUT DATA'!K54)</f>
        <v/>
      </c>
      <c r="D58" s="205"/>
      <c r="E58" s="205"/>
      <c r="F58" s="164" t="str">
        <f>IF('TERM 1 M and A'!AC61="","",'TERM 1 M and A'!AC61)</f>
        <v/>
      </c>
      <c r="G58" s="167" t="str">
        <f>IF('TERM 1 PE and H'!AC61="","",'TERM 1 PE and H'!AC61)</f>
        <v/>
      </c>
      <c r="H58" s="161" t="str">
        <f t="shared" si="4"/>
        <v/>
      </c>
      <c r="I58" s="164" t="str">
        <f>IF('TERM 2 M and A'!AC61="","",'TERM 2 M and A'!AC61)</f>
        <v/>
      </c>
      <c r="J58" s="167" t="str">
        <f>IF('TERM 2 PE and H'!AC61="","",'TERM 2 PE and H'!AC61)</f>
        <v/>
      </c>
      <c r="K58" s="161" t="str">
        <f t="shared" si="5"/>
        <v/>
      </c>
      <c r="L58" s="164" t="str">
        <f>IF('TERM 3 M and A'!AC61="","",'TERM 3 M and A'!AC61)</f>
        <v/>
      </c>
      <c r="M58" s="167" t="str">
        <f>IF('TERM 3 PE and H'!AC61="","",'TERM 3 PE and H'!AC61)</f>
        <v/>
      </c>
      <c r="N58" s="161" t="str">
        <f t="shared" si="6"/>
        <v/>
      </c>
      <c r="O58" s="132" t="str">
        <f t="shared" si="7"/>
        <v/>
      </c>
      <c r="P58" s="104" t="str">
        <f>IF(O58="","",IFERROR(VLOOKUP(O58,HELPER!$F$8:$G$48,2,FALSE),""))</f>
        <v/>
      </c>
      <c r="Q58" s="105"/>
      <c r="R58" s="137"/>
      <c r="S58" s="137"/>
    </row>
    <row r="59" spans="1:19" ht="15" customHeight="1" x14ac:dyDescent="0.25">
      <c r="A59" s="137"/>
      <c r="B59" s="66">
        <v>45</v>
      </c>
      <c r="C59" s="249" t="str">
        <f>IF('INPUT DATA'!K55="","",'INPUT DATA'!K55)</f>
        <v/>
      </c>
      <c r="D59" s="205"/>
      <c r="E59" s="205"/>
      <c r="F59" s="164" t="str">
        <f>IF('TERM 1 M and A'!AC62="","",'TERM 1 M and A'!AC62)</f>
        <v/>
      </c>
      <c r="G59" s="167" t="str">
        <f>IF('TERM 1 PE and H'!AC62="","",'TERM 1 PE and H'!AC62)</f>
        <v/>
      </c>
      <c r="H59" s="161" t="str">
        <f t="shared" si="4"/>
        <v/>
      </c>
      <c r="I59" s="164" t="str">
        <f>IF('TERM 2 M and A'!AC62="","",'TERM 2 M and A'!AC62)</f>
        <v/>
      </c>
      <c r="J59" s="167" t="str">
        <f>IF('TERM 2 PE and H'!AC62="","",'TERM 2 PE and H'!AC62)</f>
        <v/>
      </c>
      <c r="K59" s="161" t="str">
        <f t="shared" si="5"/>
        <v/>
      </c>
      <c r="L59" s="164" t="str">
        <f>IF('TERM 3 M and A'!AC62="","",'TERM 3 M and A'!AC62)</f>
        <v/>
      </c>
      <c r="M59" s="167" t="str">
        <f>IF('TERM 3 PE and H'!AC62="","",'TERM 3 PE and H'!AC62)</f>
        <v/>
      </c>
      <c r="N59" s="161" t="str">
        <f t="shared" si="6"/>
        <v/>
      </c>
      <c r="O59" s="132" t="str">
        <f t="shared" si="7"/>
        <v/>
      </c>
      <c r="P59" s="104" t="str">
        <f>IF(O59="","",IFERROR(VLOOKUP(O59,HELPER!$F$8:$G$48,2,FALSE),""))</f>
        <v/>
      </c>
      <c r="Q59" s="105"/>
      <c r="R59" s="137"/>
      <c r="S59" s="137"/>
    </row>
    <row r="60" spans="1:19" ht="15" customHeight="1" x14ac:dyDescent="0.25">
      <c r="A60" s="137"/>
      <c r="B60" s="66">
        <v>46</v>
      </c>
      <c r="C60" s="249" t="str">
        <f>IF('INPUT DATA'!K56="","",'INPUT DATA'!K56)</f>
        <v/>
      </c>
      <c r="D60" s="205"/>
      <c r="E60" s="205"/>
      <c r="F60" s="164" t="str">
        <f>IF('TERM 1 M and A'!AC63="","",'TERM 1 M and A'!AC63)</f>
        <v/>
      </c>
      <c r="G60" s="167" t="str">
        <f>IF('TERM 1 PE and H'!AC63="","",'TERM 1 PE and H'!AC63)</f>
        <v/>
      </c>
      <c r="H60" s="161" t="str">
        <f t="shared" si="4"/>
        <v/>
      </c>
      <c r="I60" s="164" t="str">
        <f>IF('TERM 2 M and A'!AC63="","",'TERM 2 M and A'!AC63)</f>
        <v/>
      </c>
      <c r="J60" s="167" t="str">
        <f>IF('TERM 2 PE and H'!AC63="","",'TERM 2 PE and H'!AC63)</f>
        <v/>
      </c>
      <c r="K60" s="161" t="str">
        <f t="shared" si="5"/>
        <v/>
      </c>
      <c r="L60" s="164" t="str">
        <f>IF('TERM 3 M and A'!AC63="","",'TERM 3 M and A'!AC63)</f>
        <v/>
      </c>
      <c r="M60" s="167" t="str">
        <f>IF('TERM 3 PE and H'!AC63="","",'TERM 3 PE and H'!AC63)</f>
        <v/>
      </c>
      <c r="N60" s="161" t="str">
        <f t="shared" si="6"/>
        <v/>
      </c>
      <c r="O60" s="132" t="str">
        <f t="shared" si="7"/>
        <v/>
      </c>
      <c r="P60" s="104" t="str">
        <f>IF(O60="","",IFERROR(VLOOKUP(O60,HELPER!$F$8:$G$48,2,FALSE),""))</f>
        <v/>
      </c>
      <c r="Q60" s="105"/>
      <c r="R60" s="137"/>
      <c r="S60" s="137"/>
    </row>
    <row r="61" spans="1:19" ht="15" customHeight="1" x14ac:dyDescent="0.25">
      <c r="A61" s="137"/>
      <c r="B61" s="66">
        <v>47</v>
      </c>
      <c r="C61" s="249" t="str">
        <f>IF('INPUT DATA'!K57="","",'INPUT DATA'!K57)</f>
        <v/>
      </c>
      <c r="D61" s="205"/>
      <c r="E61" s="205"/>
      <c r="F61" s="164" t="str">
        <f>IF('TERM 1 M and A'!AC64="","",'TERM 1 M and A'!AC64)</f>
        <v/>
      </c>
      <c r="G61" s="167" t="str">
        <f>IF('TERM 1 PE and H'!AC64="","",'TERM 1 PE and H'!AC64)</f>
        <v/>
      </c>
      <c r="H61" s="161" t="str">
        <f t="shared" si="4"/>
        <v/>
      </c>
      <c r="I61" s="164" t="str">
        <f>IF('TERM 2 M and A'!AC64="","",'TERM 2 M and A'!AC64)</f>
        <v/>
      </c>
      <c r="J61" s="167" t="str">
        <f>IF('TERM 2 PE and H'!AC64="","",'TERM 2 PE and H'!AC64)</f>
        <v/>
      </c>
      <c r="K61" s="161" t="str">
        <f t="shared" si="5"/>
        <v/>
      </c>
      <c r="L61" s="164" t="str">
        <f>IF('TERM 3 M and A'!AC64="","",'TERM 3 M and A'!AC64)</f>
        <v/>
      </c>
      <c r="M61" s="167" t="str">
        <f>IF('TERM 3 PE and H'!AC64="","",'TERM 3 PE and H'!AC64)</f>
        <v/>
      </c>
      <c r="N61" s="161" t="str">
        <f t="shared" si="6"/>
        <v/>
      </c>
      <c r="O61" s="132" t="str">
        <f t="shared" si="7"/>
        <v/>
      </c>
      <c r="P61" s="104" t="str">
        <f>IF(O61="","",IFERROR(VLOOKUP(O61,HELPER!$F$8:$G$48,2,FALSE),""))</f>
        <v/>
      </c>
      <c r="Q61" s="105"/>
      <c r="R61" s="137"/>
      <c r="S61" s="137"/>
    </row>
    <row r="62" spans="1:19" ht="15" customHeight="1" x14ac:dyDescent="0.25">
      <c r="A62" s="137"/>
      <c r="B62" s="66">
        <v>48</v>
      </c>
      <c r="C62" s="249" t="str">
        <f>IF('INPUT DATA'!K58="","",'INPUT DATA'!K58)</f>
        <v/>
      </c>
      <c r="D62" s="205"/>
      <c r="E62" s="205"/>
      <c r="F62" s="164" t="str">
        <f>IF('TERM 1 M and A'!AC65="","",'TERM 1 M and A'!AC65)</f>
        <v/>
      </c>
      <c r="G62" s="167" t="str">
        <f>IF('TERM 1 PE and H'!AC65="","",'TERM 1 PE and H'!AC65)</f>
        <v/>
      </c>
      <c r="H62" s="161" t="str">
        <f t="shared" si="4"/>
        <v/>
      </c>
      <c r="I62" s="164" t="str">
        <f>IF('TERM 2 M and A'!AC65="","",'TERM 2 M and A'!AC65)</f>
        <v/>
      </c>
      <c r="J62" s="167" t="str">
        <f>IF('TERM 2 PE and H'!AC65="","",'TERM 2 PE and H'!AC65)</f>
        <v/>
      </c>
      <c r="K62" s="161" t="str">
        <f t="shared" si="5"/>
        <v/>
      </c>
      <c r="L62" s="164" t="str">
        <f>IF('TERM 3 M and A'!AC65="","",'TERM 3 M and A'!AC65)</f>
        <v/>
      </c>
      <c r="M62" s="167" t="str">
        <f>IF('TERM 3 PE and H'!AC65="","",'TERM 3 PE and H'!AC65)</f>
        <v/>
      </c>
      <c r="N62" s="161" t="str">
        <f t="shared" si="6"/>
        <v/>
      </c>
      <c r="O62" s="132" t="str">
        <f t="shared" si="7"/>
        <v/>
      </c>
      <c r="P62" s="104" t="str">
        <f>IF(O62="","",IFERROR(VLOOKUP(O62,HELPER!$F$8:$G$48,2,FALSE),""))</f>
        <v/>
      </c>
      <c r="Q62" s="105"/>
      <c r="R62" s="137"/>
      <c r="S62" s="137"/>
    </row>
    <row r="63" spans="1:19" ht="15" customHeight="1" x14ac:dyDescent="0.25">
      <c r="A63" s="137"/>
      <c r="B63" s="66">
        <v>49</v>
      </c>
      <c r="C63" s="249" t="str">
        <f>IF('INPUT DATA'!K59="","",'INPUT DATA'!K59)</f>
        <v/>
      </c>
      <c r="D63" s="205"/>
      <c r="E63" s="205"/>
      <c r="F63" s="164" t="str">
        <f>IF('TERM 1 M and A'!AC66="","",'TERM 1 M and A'!AC66)</f>
        <v/>
      </c>
      <c r="G63" s="167" t="str">
        <f>IF('TERM 1 PE and H'!AC66="","",'TERM 1 PE and H'!AC66)</f>
        <v/>
      </c>
      <c r="H63" s="161" t="str">
        <f t="shared" si="4"/>
        <v/>
      </c>
      <c r="I63" s="164" t="str">
        <f>IF('TERM 2 M and A'!AC66="","",'TERM 2 M and A'!AC66)</f>
        <v/>
      </c>
      <c r="J63" s="167" t="str">
        <f>IF('TERM 2 PE and H'!AC66="","",'TERM 2 PE and H'!AC66)</f>
        <v/>
      </c>
      <c r="K63" s="161" t="str">
        <f t="shared" si="5"/>
        <v/>
      </c>
      <c r="L63" s="164" t="str">
        <f>IF('TERM 3 M and A'!AC66="","",'TERM 3 M and A'!AC66)</f>
        <v/>
      </c>
      <c r="M63" s="167" t="str">
        <f>IF('TERM 3 PE and H'!AC66="","",'TERM 3 PE and H'!AC66)</f>
        <v/>
      </c>
      <c r="N63" s="161" t="str">
        <f t="shared" si="6"/>
        <v/>
      </c>
      <c r="O63" s="132" t="str">
        <f t="shared" si="7"/>
        <v/>
      </c>
      <c r="P63" s="104" t="str">
        <f>IF(O63="","",IFERROR(VLOOKUP(O63,HELPER!$F$8:$G$48,2,FALSE),""))</f>
        <v/>
      </c>
      <c r="Q63" s="105"/>
      <c r="R63" s="137"/>
      <c r="S63" s="137"/>
    </row>
    <row r="64" spans="1:19" ht="15" customHeight="1" thickBot="1" x14ac:dyDescent="0.3">
      <c r="A64" s="137"/>
      <c r="B64" s="66">
        <v>50</v>
      </c>
      <c r="C64" s="271" t="str">
        <f>IF('INPUT DATA'!K60="","",'INPUT DATA'!K60)</f>
        <v/>
      </c>
      <c r="D64" s="221"/>
      <c r="E64" s="221"/>
      <c r="F64" s="165" t="str">
        <f>IF('TERM 1 M and A'!AC67="","",'TERM 1 M and A'!AC67)</f>
        <v/>
      </c>
      <c r="G64" s="168" t="str">
        <f>IF('TERM 1 PE and H'!AC67="","",'TERM 1 PE and H'!AC67)</f>
        <v/>
      </c>
      <c r="H64" s="162" t="str">
        <f t="shared" si="4"/>
        <v/>
      </c>
      <c r="I64" s="165" t="str">
        <f>IF('TERM 2 M and A'!AC67="","",'TERM 2 M and A'!AC67)</f>
        <v/>
      </c>
      <c r="J64" s="168" t="str">
        <f>IF('TERM 2 PE and H'!AC67="","",'TERM 2 PE and H'!AC67)</f>
        <v/>
      </c>
      <c r="K64" s="162" t="str">
        <f t="shared" si="5"/>
        <v/>
      </c>
      <c r="L64" s="165" t="str">
        <f>IF('TERM 3 M and A'!AC67="","",'TERM 3 M and A'!AC67)</f>
        <v/>
      </c>
      <c r="M64" s="168" t="str">
        <f>IF('TERM 3 PE and H'!AC67="","",'TERM 3 PE and H'!AC67)</f>
        <v/>
      </c>
      <c r="N64" s="162" t="str">
        <f t="shared" si="6"/>
        <v/>
      </c>
      <c r="O64" s="133" t="str">
        <f t="shared" si="7"/>
        <v/>
      </c>
      <c r="P64" s="114" t="str">
        <f>IF(O64="","",IFERROR(VLOOKUP(O64,HELPER!$F$8:$G$48,2,FALSE),""))</f>
        <v/>
      </c>
      <c r="Q64" s="115"/>
      <c r="R64" s="137"/>
      <c r="S64" s="137"/>
    </row>
    <row r="65" spans="1:19" ht="14.4" customHeight="1" thickBot="1" x14ac:dyDescent="0.3">
      <c r="A65" s="137"/>
      <c r="B65" s="272" t="s">
        <v>6</v>
      </c>
      <c r="C65" s="218"/>
      <c r="D65" s="218"/>
      <c r="E65" s="218"/>
      <c r="F65" s="273"/>
      <c r="G65" s="246"/>
      <c r="H65" s="273"/>
      <c r="I65" s="246"/>
      <c r="J65" s="246"/>
      <c r="K65" s="273"/>
      <c r="L65" s="246"/>
      <c r="M65" s="246"/>
      <c r="N65" s="273"/>
      <c r="O65" s="218"/>
      <c r="P65" s="218"/>
      <c r="Q65" s="219"/>
      <c r="R65" s="137"/>
      <c r="S65" s="137"/>
    </row>
    <row r="66" spans="1:19" ht="15" customHeight="1" x14ac:dyDescent="0.25">
      <c r="A66" s="137"/>
      <c r="B66" s="116">
        <v>1</v>
      </c>
      <c r="C66" s="249" t="str">
        <f>IF('INPUT DATA'!N11="","",'INPUT DATA'!N11)</f>
        <v/>
      </c>
      <c r="D66" s="205"/>
      <c r="E66" s="205"/>
      <c r="F66" s="166" t="str">
        <f>IF('TERM 1 M and A'!AC69="","",'TERM 1 M and A'!AC69)</f>
        <v/>
      </c>
      <c r="G66" s="166" t="str">
        <f>IF('TERM 1 PE and H'!AC69="","",'TERM 1 PE and H'!AC69)</f>
        <v/>
      </c>
      <c r="H66" s="166" t="str">
        <f t="shared" ref="H66:H115" si="8">IF(COUNT(F66:G66)=0,"",ROUND(AVERAGE(F66:G66),0))</f>
        <v/>
      </c>
      <c r="I66" s="166" t="str">
        <f>IF('TERM 2 M and A'!AC69="","",'TERM 2 M and A'!AC69)</f>
        <v/>
      </c>
      <c r="J66" s="166" t="str">
        <f>IF('TERM 2 PE and H'!AC69="","",'TERM 2 PE and H'!AC69)</f>
        <v/>
      </c>
      <c r="K66" s="166" t="str">
        <f t="shared" ref="K66:K115" si="9">IF(COUNT(I66:J66)=0,"",ROUND(AVERAGE(I66:J66),0))</f>
        <v/>
      </c>
      <c r="L66" s="166" t="str">
        <f>IF('TERM 3 M and A'!AC69="","",'TERM 3 M and A'!AC69)</f>
        <v/>
      </c>
      <c r="M66" s="166" t="str">
        <f>IF('TERM 3 PE and H'!AC69="","",'TERM 3 PE and H'!AC69)</f>
        <v/>
      </c>
      <c r="N66" s="172" t="str">
        <f t="shared" ref="N66:N115" si="10">IF(COUNT(L66:M66)=0,"",ROUND(AVERAGE(L66:M66),0))</f>
        <v/>
      </c>
      <c r="O66" s="169" t="str">
        <f t="shared" ref="O66:O97" si="11">IF(COUNT(H66,K66,N66)&lt;3,"",ROUND(AVERAGE(H66,K66,N66),0))</f>
        <v/>
      </c>
      <c r="P66" s="117" t="str">
        <f>IF(O66="","",IFERROR(VLOOKUP(O66,HELPER!$F$8:$G$48,2,FALSE),""))</f>
        <v/>
      </c>
      <c r="Q66" s="118"/>
      <c r="R66" s="137"/>
      <c r="S66" s="137"/>
    </row>
    <row r="67" spans="1:19" ht="15" customHeight="1" x14ac:dyDescent="0.25">
      <c r="A67" s="137"/>
      <c r="B67" s="67">
        <v>2</v>
      </c>
      <c r="C67" s="249" t="str">
        <f>IF('INPUT DATA'!N12="","",'INPUT DATA'!N12)</f>
        <v/>
      </c>
      <c r="D67" s="205"/>
      <c r="E67" s="205"/>
      <c r="F67" s="167" t="str">
        <f>IF('TERM 1 M and A'!AC70="","",'TERM 1 M and A'!AC70)</f>
        <v/>
      </c>
      <c r="G67" s="167" t="str">
        <f>IF('TERM 1 PE and H'!AC70="","",'TERM 1 PE and H'!AC70)</f>
        <v/>
      </c>
      <c r="H67" s="167" t="str">
        <f t="shared" si="8"/>
        <v/>
      </c>
      <c r="I67" s="167" t="str">
        <f>IF('TERM 2 M and A'!AC70="","",'TERM 2 M and A'!AC70)</f>
        <v/>
      </c>
      <c r="J67" s="167" t="str">
        <f>IF('TERM 2 PE and H'!AC70="","",'TERM 2 PE and H'!AC70)</f>
        <v/>
      </c>
      <c r="K67" s="167" t="str">
        <f t="shared" si="9"/>
        <v/>
      </c>
      <c r="L67" s="167" t="str">
        <f>IF('TERM 3 M and A'!AC70="","",'TERM 3 M and A'!AC70)</f>
        <v/>
      </c>
      <c r="M67" s="167" t="str">
        <f>IF('TERM 3 PE and H'!AC70="","",'TERM 3 PE and H'!AC70)</f>
        <v/>
      </c>
      <c r="N67" s="173" t="str">
        <f t="shared" si="10"/>
        <v/>
      </c>
      <c r="O67" s="170" t="str">
        <f t="shared" si="11"/>
        <v/>
      </c>
      <c r="P67" s="104" t="str">
        <f>IF(O67="","",IFERROR(VLOOKUP(O67,HELPER!$F$8:$G$48,2,FALSE),""))</f>
        <v/>
      </c>
      <c r="Q67" s="105"/>
      <c r="R67" s="137"/>
      <c r="S67" s="137"/>
    </row>
    <row r="68" spans="1:19" ht="15" customHeight="1" x14ac:dyDescent="0.25">
      <c r="A68" s="137"/>
      <c r="B68" s="67">
        <v>3</v>
      </c>
      <c r="C68" s="249" t="str">
        <f>IF('INPUT DATA'!N13="","",'INPUT DATA'!N13)</f>
        <v/>
      </c>
      <c r="D68" s="205"/>
      <c r="E68" s="205"/>
      <c r="F68" s="167" t="str">
        <f>IF('TERM 1 M and A'!AC71="","",'TERM 1 M and A'!AC71)</f>
        <v/>
      </c>
      <c r="G68" s="167" t="str">
        <f>IF('TERM 1 PE and H'!AC71="","",'TERM 1 PE and H'!AC71)</f>
        <v/>
      </c>
      <c r="H68" s="167" t="str">
        <f t="shared" si="8"/>
        <v/>
      </c>
      <c r="I68" s="167" t="str">
        <f>IF('TERM 2 M and A'!AC71="","",'TERM 2 M and A'!AC71)</f>
        <v/>
      </c>
      <c r="J68" s="167" t="str">
        <f>IF('TERM 2 PE and H'!AC71="","",'TERM 2 PE and H'!AC71)</f>
        <v/>
      </c>
      <c r="K68" s="167" t="str">
        <f t="shared" si="9"/>
        <v/>
      </c>
      <c r="L68" s="167" t="str">
        <f>IF('TERM 3 M and A'!AC71="","",'TERM 3 M and A'!AC71)</f>
        <v/>
      </c>
      <c r="M68" s="167" t="str">
        <f>IF('TERM 3 PE and H'!AC71="","",'TERM 3 PE and H'!AC71)</f>
        <v/>
      </c>
      <c r="N68" s="173" t="str">
        <f t="shared" si="10"/>
        <v/>
      </c>
      <c r="O68" s="170" t="str">
        <f t="shared" si="11"/>
        <v/>
      </c>
      <c r="P68" s="104" t="str">
        <f>IF(O68="","",IFERROR(VLOOKUP(O68,HELPER!$F$8:$G$48,2,FALSE),""))</f>
        <v/>
      </c>
      <c r="Q68" s="105"/>
      <c r="R68" s="137"/>
      <c r="S68" s="137"/>
    </row>
    <row r="69" spans="1:19" ht="15" customHeight="1" x14ac:dyDescent="0.25">
      <c r="A69" s="137"/>
      <c r="B69" s="67">
        <v>4</v>
      </c>
      <c r="C69" s="249" t="str">
        <f>IF('INPUT DATA'!N14="","",'INPUT DATA'!N14)</f>
        <v/>
      </c>
      <c r="D69" s="205"/>
      <c r="E69" s="205"/>
      <c r="F69" s="167" t="str">
        <f>IF('TERM 1 M and A'!AC72="","",'TERM 1 M and A'!AC72)</f>
        <v/>
      </c>
      <c r="G69" s="167" t="str">
        <f>IF('TERM 1 PE and H'!AC72="","",'TERM 1 PE and H'!AC72)</f>
        <v/>
      </c>
      <c r="H69" s="167" t="str">
        <f t="shared" si="8"/>
        <v/>
      </c>
      <c r="I69" s="167" t="str">
        <f>IF('TERM 2 M and A'!AC72="","",'TERM 2 M and A'!AC72)</f>
        <v/>
      </c>
      <c r="J69" s="167" t="str">
        <f>IF('TERM 2 PE and H'!AC72="","",'TERM 2 PE and H'!AC72)</f>
        <v/>
      </c>
      <c r="K69" s="167" t="str">
        <f t="shared" si="9"/>
        <v/>
      </c>
      <c r="L69" s="167" t="str">
        <f>IF('TERM 3 M and A'!AC72="","",'TERM 3 M and A'!AC72)</f>
        <v/>
      </c>
      <c r="M69" s="167" t="str">
        <f>IF('TERM 3 PE and H'!AC72="","",'TERM 3 PE and H'!AC72)</f>
        <v/>
      </c>
      <c r="N69" s="173" t="str">
        <f t="shared" si="10"/>
        <v/>
      </c>
      <c r="O69" s="170" t="str">
        <f t="shared" si="11"/>
        <v/>
      </c>
      <c r="P69" s="104" t="str">
        <f>IF(O69="","",IFERROR(VLOOKUP(O69,HELPER!$F$8:$G$48,2,FALSE),""))</f>
        <v/>
      </c>
      <c r="Q69" s="105"/>
      <c r="R69" s="137"/>
      <c r="S69" s="137"/>
    </row>
    <row r="70" spans="1:19" ht="15" customHeight="1" x14ac:dyDescent="0.25">
      <c r="A70" s="137"/>
      <c r="B70" s="67">
        <v>5</v>
      </c>
      <c r="C70" s="249" t="str">
        <f>IF('INPUT DATA'!N15="","",'INPUT DATA'!N15)</f>
        <v/>
      </c>
      <c r="D70" s="205"/>
      <c r="E70" s="205"/>
      <c r="F70" s="167" t="str">
        <f>IF('TERM 1 M and A'!AC73="","",'TERM 1 M and A'!AC73)</f>
        <v/>
      </c>
      <c r="G70" s="167" t="str">
        <f>IF('TERM 1 PE and H'!AC73="","",'TERM 1 PE and H'!AC73)</f>
        <v/>
      </c>
      <c r="H70" s="167" t="str">
        <f t="shared" si="8"/>
        <v/>
      </c>
      <c r="I70" s="167" t="str">
        <f>IF('TERM 2 M and A'!AC73="","",'TERM 2 M and A'!AC73)</f>
        <v/>
      </c>
      <c r="J70" s="167" t="str">
        <f>IF('TERM 2 PE and H'!AC73="","",'TERM 2 PE and H'!AC73)</f>
        <v/>
      </c>
      <c r="K70" s="167" t="str">
        <f t="shared" si="9"/>
        <v/>
      </c>
      <c r="L70" s="167" t="str">
        <f>IF('TERM 3 M and A'!AC73="","",'TERM 3 M and A'!AC73)</f>
        <v/>
      </c>
      <c r="M70" s="167" t="str">
        <f>IF('TERM 3 PE and H'!AC73="","",'TERM 3 PE and H'!AC73)</f>
        <v/>
      </c>
      <c r="N70" s="173" t="str">
        <f t="shared" si="10"/>
        <v/>
      </c>
      <c r="O70" s="170" t="str">
        <f t="shared" si="11"/>
        <v/>
      </c>
      <c r="P70" s="104" t="str">
        <f>IF(O70="","",IFERROR(VLOOKUP(O70,HELPER!$F$8:$G$48,2,FALSE),""))</f>
        <v/>
      </c>
      <c r="Q70" s="105"/>
      <c r="R70" s="137"/>
      <c r="S70" s="137"/>
    </row>
    <row r="71" spans="1:19" ht="15" customHeight="1" x14ac:dyDescent="0.25">
      <c r="A71" s="137"/>
      <c r="B71" s="67">
        <v>6</v>
      </c>
      <c r="C71" s="249" t="str">
        <f>IF('INPUT DATA'!N16="","",'INPUT DATA'!N16)</f>
        <v/>
      </c>
      <c r="D71" s="205"/>
      <c r="E71" s="205"/>
      <c r="F71" s="167" t="str">
        <f>IF('TERM 1 M and A'!AC74="","",'TERM 1 M and A'!AC74)</f>
        <v/>
      </c>
      <c r="G71" s="167" t="str">
        <f>IF('TERM 1 PE and H'!AC74="","",'TERM 1 PE and H'!AC74)</f>
        <v/>
      </c>
      <c r="H71" s="167" t="str">
        <f t="shared" si="8"/>
        <v/>
      </c>
      <c r="I71" s="167" t="str">
        <f>IF('TERM 2 M and A'!AC74="","",'TERM 2 M and A'!AC74)</f>
        <v/>
      </c>
      <c r="J71" s="167" t="str">
        <f>IF('TERM 2 PE and H'!AC74="","",'TERM 2 PE and H'!AC74)</f>
        <v/>
      </c>
      <c r="K71" s="167" t="str">
        <f t="shared" si="9"/>
        <v/>
      </c>
      <c r="L71" s="167" t="str">
        <f>IF('TERM 3 M and A'!AC74="","",'TERM 3 M and A'!AC74)</f>
        <v/>
      </c>
      <c r="M71" s="167" t="str">
        <f>IF('TERM 3 PE and H'!AC74="","",'TERM 3 PE and H'!AC74)</f>
        <v/>
      </c>
      <c r="N71" s="173" t="str">
        <f t="shared" si="10"/>
        <v/>
      </c>
      <c r="O71" s="170" t="str">
        <f t="shared" si="11"/>
        <v/>
      </c>
      <c r="P71" s="104" t="str">
        <f>IF(O71="","",IFERROR(VLOOKUP(O71,HELPER!$F$8:$G$48,2,FALSE),""))</f>
        <v/>
      </c>
      <c r="Q71" s="105"/>
      <c r="R71" s="137"/>
      <c r="S71" s="137"/>
    </row>
    <row r="72" spans="1:19" ht="15" customHeight="1" x14ac:dyDescent="0.25">
      <c r="A72" s="137"/>
      <c r="B72" s="67">
        <v>7</v>
      </c>
      <c r="C72" s="249" t="str">
        <f>IF('INPUT DATA'!N17="","",'INPUT DATA'!N17)</f>
        <v/>
      </c>
      <c r="D72" s="205"/>
      <c r="E72" s="205"/>
      <c r="F72" s="167" t="str">
        <f>IF('TERM 1 M and A'!AC75="","",'TERM 1 M and A'!AC75)</f>
        <v/>
      </c>
      <c r="G72" s="167" t="str">
        <f>IF('TERM 1 PE and H'!AC75="","",'TERM 1 PE and H'!AC75)</f>
        <v/>
      </c>
      <c r="H72" s="167" t="str">
        <f t="shared" si="8"/>
        <v/>
      </c>
      <c r="I72" s="167" t="str">
        <f>IF('TERM 2 M and A'!AC75="","",'TERM 2 M and A'!AC75)</f>
        <v/>
      </c>
      <c r="J72" s="167" t="str">
        <f>IF('TERM 2 PE and H'!AC75="","",'TERM 2 PE and H'!AC75)</f>
        <v/>
      </c>
      <c r="K72" s="167" t="str">
        <f t="shared" si="9"/>
        <v/>
      </c>
      <c r="L72" s="167" t="str">
        <f>IF('TERM 3 M and A'!AC75="","",'TERM 3 M and A'!AC75)</f>
        <v/>
      </c>
      <c r="M72" s="167" t="str">
        <f>IF('TERM 3 PE and H'!AC75="","",'TERM 3 PE and H'!AC75)</f>
        <v/>
      </c>
      <c r="N72" s="173" t="str">
        <f t="shared" si="10"/>
        <v/>
      </c>
      <c r="O72" s="170" t="str">
        <f t="shared" si="11"/>
        <v/>
      </c>
      <c r="P72" s="104" t="str">
        <f>IF(O72="","",IFERROR(VLOOKUP(O72,HELPER!$F$8:$G$48,2,FALSE),""))</f>
        <v/>
      </c>
      <c r="Q72" s="105"/>
      <c r="R72" s="137"/>
      <c r="S72" s="137"/>
    </row>
    <row r="73" spans="1:19" ht="15" customHeight="1" x14ac:dyDescent="0.25">
      <c r="A73" s="137"/>
      <c r="B73" s="67">
        <v>8</v>
      </c>
      <c r="C73" s="249" t="str">
        <f>IF('INPUT DATA'!N18="","",'INPUT DATA'!N18)</f>
        <v/>
      </c>
      <c r="D73" s="205"/>
      <c r="E73" s="205"/>
      <c r="F73" s="167" t="str">
        <f>IF('TERM 1 M and A'!AC76="","",'TERM 1 M and A'!AC76)</f>
        <v/>
      </c>
      <c r="G73" s="167" t="str">
        <f>IF('TERM 1 PE and H'!AC76="","",'TERM 1 PE and H'!AC76)</f>
        <v/>
      </c>
      <c r="H73" s="167" t="str">
        <f t="shared" si="8"/>
        <v/>
      </c>
      <c r="I73" s="167" t="str">
        <f>IF('TERM 2 M and A'!AC76="","",'TERM 2 M and A'!AC76)</f>
        <v/>
      </c>
      <c r="J73" s="167" t="str">
        <f>IF('TERM 2 PE and H'!AC76="","",'TERM 2 PE and H'!AC76)</f>
        <v/>
      </c>
      <c r="K73" s="167" t="str">
        <f t="shared" si="9"/>
        <v/>
      </c>
      <c r="L73" s="167" t="str">
        <f>IF('TERM 3 M and A'!AC76="","",'TERM 3 M and A'!AC76)</f>
        <v/>
      </c>
      <c r="M73" s="167" t="str">
        <f>IF('TERM 3 PE and H'!AC76="","",'TERM 3 PE and H'!AC76)</f>
        <v/>
      </c>
      <c r="N73" s="173" t="str">
        <f t="shared" si="10"/>
        <v/>
      </c>
      <c r="O73" s="170" t="str">
        <f t="shared" si="11"/>
        <v/>
      </c>
      <c r="P73" s="104" t="str">
        <f>IF(O73="","",IFERROR(VLOOKUP(O73,HELPER!$F$8:$G$48,2,FALSE),""))</f>
        <v/>
      </c>
      <c r="Q73" s="105"/>
      <c r="R73" s="137"/>
      <c r="S73" s="137"/>
    </row>
    <row r="74" spans="1:19" ht="15" customHeight="1" x14ac:dyDescent="0.25">
      <c r="A74" s="137"/>
      <c r="B74" s="67">
        <v>9</v>
      </c>
      <c r="C74" s="249" t="str">
        <f>IF('INPUT DATA'!N19="","",'INPUT DATA'!N19)</f>
        <v/>
      </c>
      <c r="D74" s="205"/>
      <c r="E74" s="205"/>
      <c r="F74" s="167" t="str">
        <f>IF('TERM 1 M and A'!AC77="","",'TERM 1 M and A'!AC77)</f>
        <v/>
      </c>
      <c r="G74" s="167" t="str">
        <f>IF('TERM 1 PE and H'!AC77="","",'TERM 1 PE and H'!AC77)</f>
        <v/>
      </c>
      <c r="H74" s="167" t="str">
        <f t="shared" si="8"/>
        <v/>
      </c>
      <c r="I74" s="167" t="str">
        <f>IF('TERM 2 M and A'!AC77="","",'TERM 2 M and A'!AC77)</f>
        <v/>
      </c>
      <c r="J74" s="167" t="str">
        <f>IF('TERM 2 PE and H'!AC77="","",'TERM 2 PE and H'!AC77)</f>
        <v/>
      </c>
      <c r="K74" s="167" t="str">
        <f t="shared" si="9"/>
        <v/>
      </c>
      <c r="L74" s="167" t="str">
        <f>IF('TERM 3 M and A'!AC77="","",'TERM 3 M and A'!AC77)</f>
        <v/>
      </c>
      <c r="M74" s="167" t="str">
        <f>IF('TERM 3 PE and H'!AC77="","",'TERM 3 PE and H'!AC77)</f>
        <v/>
      </c>
      <c r="N74" s="173" t="str">
        <f t="shared" si="10"/>
        <v/>
      </c>
      <c r="O74" s="170" t="str">
        <f t="shared" si="11"/>
        <v/>
      </c>
      <c r="P74" s="104" t="str">
        <f>IF(O74="","",IFERROR(VLOOKUP(O74,HELPER!$F$8:$G$48,2,FALSE),""))</f>
        <v/>
      </c>
      <c r="Q74" s="105"/>
      <c r="R74" s="137"/>
      <c r="S74" s="137"/>
    </row>
    <row r="75" spans="1:19" ht="15" customHeight="1" x14ac:dyDescent="0.25">
      <c r="A75" s="137"/>
      <c r="B75" s="67">
        <v>10</v>
      </c>
      <c r="C75" s="249" t="str">
        <f>IF('INPUT DATA'!N20="","",'INPUT DATA'!N20)</f>
        <v/>
      </c>
      <c r="D75" s="205"/>
      <c r="E75" s="205"/>
      <c r="F75" s="167" t="str">
        <f>IF('TERM 1 M and A'!AC78="","",'TERM 1 M and A'!AC78)</f>
        <v/>
      </c>
      <c r="G75" s="167" t="str">
        <f>IF('TERM 1 PE and H'!AC78="","",'TERM 1 PE and H'!AC78)</f>
        <v/>
      </c>
      <c r="H75" s="167" t="str">
        <f t="shared" si="8"/>
        <v/>
      </c>
      <c r="I75" s="167" t="str">
        <f>IF('TERM 2 M and A'!AC78="","",'TERM 2 M and A'!AC78)</f>
        <v/>
      </c>
      <c r="J75" s="167" t="str">
        <f>IF('TERM 2 PE and H'!AC78="","",'TERM 2 PE and H'!AC78)</f>
        <v/>
      </c>
      <c r="K75" s="167" t="str">
        <f t="shared" si="9"/>
        <v/>
      </c>
      <c r="L75" s="167" t="str">
        <f>IF('TERM 3 M and A'!AC78="","",'TERM 3 M and A'!AC78)</f>
        <v/>
      </c>
      <c r="M75" s="167" t="str">
        <f>IF('TERM 3 PE and H'!AC78="","",'TERM 3 PE and H'!AC78)</f>
        <v/>
      </c>
      <c r="N75" s="173" t="str">
        <f t="shared" si="10"/>
        <v/>
      </c>
      <c r="O75" s="170" t="str">
        <f t="shared" si="11"/>
        <v/>
      </c>
      <c r="P75" s="104" t="str">
        <f>IF(O75="","",IFERROR(VLOOKUP(O75,HELPER!$F$8:$G$48,2,FALSE),""))</f>
        <v/>
      </c>
      <c r="Q75" s="105"/>
      <c r="R75" s="137"/>
      <c r="S75" s="137"/>
    </row>
    <row r="76" spans="1:19" ht="15" customHeight="1" x14ac:dyDescent="0.25">
      <c r="A76" s="137"/>
      <c r="B76" s="67">
        <v>11</v>
      </c>
      <c r="C76" s="249" t="str">
        <f>IF('INPUT DATA'!N21="","",'INPUT DATA'!N21)</f>
        <v/>
      </c>
      <c r="D76" s="205"/>
      <c r="E76" s="205"/>
      <c r="F76" s="167" t="str">
        <f>IF('TERM 1 M and A'!AC79="","",'TERM 1 M and A'!AC79)</f>
        <v/>
      </c>
      <c r="G76" s="167" t="str">
        <f>IF('TERM 1 PE and H'!AC79="","",'TERM 1 PE and H'!AC79)</f>
        <v/>
      </c>
      <c r="H76" s="167" t="str">
        <f t="shared" si="8"/>
        <v/>
      </c>
      <c r="I76" s="167" t="str">
        <f>IF('TERM 2 M and A'!AC79="","",'TERM 2 M and A'!AC79)</f>
        <v/>
      </c>
      <c r="J76" s="167" t="str">
        <f>IF('TERM 2 PE and H'!AC79="","",'TERM 2 PE and H'!AC79)</f>
        <v/>
      </c>
      <c r="K76" s="167" t="str">
        <f t="shared" si="9"/>
        <v/>
      </c>
      <c r="L76" s="167" t="str">
        <f>IF('TERM 3 M and A'!AC79="","",'TERM 3 M and A'!AC79)</f>
        <v/>
      </c>
      <c r="M76" s="167" t="str">
        <f>IF('TERM 3 PE and H'!AC79="","",'TERM 3 PE and H'!AC79)</f>
        <v/>
      </c>
      <c r="N76" s="173" t="str">
        <f t="shared" si="10"/>
        <v/>
      </c>
      <c r="O76" s="170" t="str">
        <f t="shared" si="11"/>
        <v/>
      </c>
      <c r="P76" s="104" t="str">
        <f>IF(O76="","",IFERROR(VLOOKUP(O76,HELPER!$F$8:$G$48,2,FALSE),""))</f>
        <v/>
      </c>
      <c r="Q76" s="105"/>
      <c r="R76" s="137"/>
      <c r="S76" s="137"/>
    </row>
    <row r="77" spans="1:19" ht="15" customHeight="1" x14ac:dyDescent="0.25">
      <c r="A77" s="137"/>
      <c r="B77" s="67">
        <v>12</v>
      </c>
      <c r="C77" s="249" t="str">
        <f>IF('INPUT DATA'!N22="","",'INPUT DATA'!N22)</f>
        <v/>
      </c>
      <c r="D77" s="205"/>
      <c r="E77" s="205"/>
      <c r="F77" s="167" t="str">
        <f>IF('TERM 1 M and A'!AC80="","",'TERM 1 M and A'!AC80)</f>
        <v/>
      </c>
      <c r="G77" s="167" t="str">
        <f>IF('TERM 1 PE and H'!AC80="","",'TERM 1 PE and H'!AC80)</f>
        <v/>
      </c>
      <c r="H77" s="167" t="str">
        <f t="shared" si="8"/>
        <v/>
      </c>
      <c r="I77" s="167" t="str">
        <f>IF('TERM 2 M and A'!AC80="","",'TERM 2 M and A'!AC80)</f>
        <v/>
      </c>
      <c r="J77" s="167" t="str">
        <f>IF('TERM 2 PE and H'!AC80="","",'TERM 2 PE and H'!AC80)</f>
        <v/>
      </c>
      <c r="K77" s="167" t="str">
        <f t="shared" si="9"/>
        <v/>
      </c>
      <c r="L77" s="167" t="str">
        <f>IF('TERM 3 M and A'!AC80="","",'TERM 3 M and A'!AC80)</f>
        <v/>
      </c>
      <c r="M77" s="167" t="str">
        <f>IF('TERM 3 PE and H'!AC80="","",'TERM 3 PE and H'!AC80)</f>
        <v/>
      </c>
      <c r="N77" s="173" t="str">
        <f t="shared" si="10"/>
        <v/>
      </c>
      <c r="O77" s="170" t="str">
        <f t="shared" si="11"/>
        <v/>
      </c>
      <c r="P77" s="104" t="str">
        <f>IF(O77="","",IFERROR(VLOOKUP(O77,HELPER!$F$8:$G$48,2,FALSE),""))</f>
        <v/>
      </c>
      <c r="Q77" s="105"/>
      <c r="R77" s="137"/>
      <c r="S77" s="137"/>
    </row>
    <row r="78" spans="1:19" ht="15" customHeight="1" x14ac:dyDescent="0.25">
      <c r="A78" s="137"/>
      <c r="B78" s="67">
        <v>13</v>
      </c>
      <c r="C78" s="249" t="str">
        <f>IF('INPUT DATA'!N23="","",'INPUT DATA'!N23)</f>
        <v/>
      </c>
      <c r="D78" s="205"/>
      <c r="E78" s="205"/>
      <c r="F78" s="167" t="str">
        <f>IF('TERM 1 M and A'!AC81="","",'TERM 1 M and A'!AC81)</f>
        <v/>
      </c>
      <c r="G78" s="167" t="str">
        <f>IF('TERM 1 PE and H'!AC81="","",'TERM 1 PE and H'!AC81)</f>
        <v/>
      </c>
      <c r="H78" s="167" t="str">
        <f t="shared" si="8"/>
        <v/>
      </c>
      <c r="I78" s="167" t="str">
        <f>IF('TERM 2 M and A'!AC81="","",'TERM 2 M and A'!AC81)</f>
        <v/>
      </c>
      <c r="J78" s="167" t="str">
        <f>IF('TERM 2 PE and H'!AC81="","",'TERM 2 PE and H'!AC81)</f>
        <v/>
      </c>
      <c r="K78" s="167" t="str">
        <f t="shared" si="9"/>
        <v/>
      </c>
      <c r="L78" s="167" t="str">
        <f>IF('TERM 3 M and A'!AC81="","",'TERM 3 M and A'!AC81)</f>
        <v/>
      </c>
      <c r="M78" s="167" t="str">
        <f>IF('TERM 3 PE and H'!AC81="","",'TERM 3 PE and H'!AC81)</f>
        <v/>
      </c>
      <c r="N78" s="173" t="str">
        <f t="shared" si="10"/>
        <v/>
      </c>
      <c r="O78" s="170" t="str">
        <f t="shared" si="11"/>
        <v/>
      </c>
      <c r="P78" s="104" t="str">
        <f>IF(O78="","",IFERROR(VLOOKUP(O78,HELPER!$F$8:$G$48,2,FALSE),""))</f>
        <v/>
      </c>
      <c r="Q78" s="105"/>
      <c r="R78" s="137"/>
      <c r="S78" s="137"/>
    </row>
    <row r="79" spans="1:19" ht="15" customHeight="1" x14ac:dyDescent="0.25">
      <c r="A79" s="137"/>
      <c r="B79" s="67">
        <v>14</v>
      </c>
      <c r="C79" s="249" t="str">
        <f>IF('INPUT DATA'!N24="","",'INPUT DATA'!N24)</f>
        <v/>
      </c>
      <c r="D79" s="205"/>
      <c r="E79" s="205"/>
      <c r="F79" s="167" t="str">
        <f>IF('TERM 1 M and A'!AC82="","",'TERM 1 M and A'!AC82)</f>
        <v/>
      </c>
      <c r="G79" s="167" t="str">
        <f>IF('TERM 1 PE and H'!AC82="","",'TERM 1 PE and H'!AC82)</f>
        <v/>
      </c>
      <c r="H79" s="167" t="str">
        <f t="shared" si="8"/>
        <v/>
      </c>
      <c r="I79" s="167" t="str">
        <f>IF('TERM 2 M and A'!AC82="","",'TERM 2 M and A'!AC82)</f>
        <v/>
      </c>
      <c r="J79" s="167" t="str">
        <f>IF('TERM 2 PE and H'!AC82="","",'TERM 2 PE and H'!AC82)</f>
        <v/>
      </c>
      <c r="K79" s="167" t="str">
        <f t="shared" si="9"/>
        <v/>
      </c>
      <c r="L79" s="167" t="str">
        <f>IF('TERM 3 M and A'!AC82="","",'TERM 3 M and A'!AC82)</f>
        <v/>
      </c>
      <c r="M79" s="167" t="str">
        <f>IF('TERM 3 PE and H'!AC82="","",'TERM 3 PE and H'!AC82)</f>
        <v/>
      </c>
      <c r="N79" s="173" t="str">
        <f t="shared" si="10"/>
        <v/>
      </c>
      <c r="O79" s="170" t="str">
        <f t="shared" si="11"/>
        <v/>
      </c>
      <c r="P79" s="104" t="str">
        <f>IF(O79="","",IFERROR(VLOOKUP(O79,HELPER!$F$8:$G$48,2,FALSE),""))</f>
        <v/>
      </c>
      <c r="Q79" s="105"/>
      <c r="R79" s="137"/>
      <c r="S79" s="137"/>
    </row>
    <row r="80" spans="1:19" ht="15" customHeight="1" x14ac:dyDescent="0.25">
      <c r="A80" s="137"/>
      <c r="B80" s="67">
        <v>15</v>
      </c>
      <c r="C80" s="249" t="str">
        <f>IF('INPUT DATA'!N25="","",'INPUT DATA'!N25)</f>
        <v/>
      </c>
      <c r="D80" s="205"/>
      <c r="E80" s="205"/>
      <c r="F80" s="167" t="str">
        <f>IF('TERM 1 M and A'!AC83="","",'TERM 1 M and A'!AC83)</f>
        <v/>
      </c>
      <c r="G80" s="167" t="str">
        <f>IF('TERM 1 PE and H'!AC83="","",'TERM 1 PE and H'!AC83)</f>
        <v/>
      </c>
      <c r="H80" s="167" t="str">
        <f t="shared" si="8"/>
        <v/>
      </c>
      <c r="I80" s="167" t="str">
        <f>IF('TERM 2 M and A'!AC83="","",'TERM 2 M and A'!AC83)</f>
        <v/>
      </c>
      <c r="J80" s="167" t="str">
        <f>IF('TERM 2 PE and H'!AC83="","",'TERM 2 PE and H'!AC83)</f>
        <v/>
      </c>
      <c r="K80" s="167" t="str">
        <f t="shared" si="9"/>
        <v/>
      </c>
      <c r="L80" s="167" t="str">
        <f>IF('TERM 3 M and A'!AC83="","",'TERM 3 M and A'!AC83)</f>
        <v/>
      </c>
      <c r="M80" s="167" t="str">
        <f>IF('TERM 3 PE and H'!AC83="","",'TERM 3 PE and H'!AC83)</f>
        <v/>
      </c>
      <c r="N80" s="173" t="str">
        <f t="shared" si="10"/>
        <v/>
      </c>
      <c r="O80" s="170" t="str">
        <f t="shared" si="11"/>
        <v/>
      </c>
      <c r="P80" s="104" t="str">
        <f>IF(O80="","",IFERROR(VLOOKUP(O80,HELPER!$F$8:$G$48,2,FALSE),""))</f>
        <v/>
      </c>
      <c r="Q80" s="105"/>
      <c r="R80" s="137"/>
      <c r="S80" s="137"/>
    </row>
    <row r="81" spans="1:19" ht="15" customHeight="1" x14ac:dyDescent="0.25">
      <c r="A81" s="137"/>
      <c r="B81" s="67">
        <v>16</v>
      </c>
      <c r="C81" s="249" t="str">
        <f>IF('INPUT DATA'!N26="","",'INPUT DATA'!N26)</f>
        <v/>
      </c>
      <c r="D81" s="205"/>
      <c r="E81" s="205"/>
      <c r="F81" s="167" t="str">
        <f>IF('TERM 1 M and A'!AC84="","",'TERM 1 M and A'!AC84)</f>
        <v/>
      </c>
      <c r="G81" s="167" t="str">
        <f>IF('TERM 1 PE and H'!AC84="","",'TERM 1 PE and H'!AC84)</f>
        <v/>
      </c>
      <c r="H81" s="167" t="str">
        <f t="shared" si="8"/>
        <v/>
      </c>
      <c r="I81" s="167" t="str">
        <f>IF('TERM 2 M and A'!AC84="","",'TERM 2 M and A'!AC84)</f>
        <v/>
      </c>
      <c r="J81" s="167" t="str">
        <f>IF('TERM 2 PE and H'!AC84="","",'TERM 2 PE and H'!AC84)</f>
        <v/>
      </c>
      <c r="K81" s="167" t="str">
        <f t="shared" si="9"/>
        <v/>
      </c>
      <c r="L81" s="167" t="str">
        <f>IF('TERM 3 M and A'!AC84="","",'TERM 3 M and A'!AC84)</f>
        <v/>
      </c>
      <c r="M81" s="167" t="str">
        <f>IF('TERM 3 PE and H'!AC84="","",'TERM 3 PE and H'!AC84)</f>
        <v/>
      </c>
      <c r="N81" s="173" t="str">
        <f t="shared" si="10"/>
        <v/>
      </c>
      <c r="O81" s="170" t="str">
        <f t="shared" si="11"/>
        <v/>
      </c>
      <c r="P81" s="104" t="str">
        <f>IF(O81="","",IFERROR(VLOOKUP(O81,HELPER!$F$8:$G$48,2,FALSE),""))</f>
        <v/>
      </c>
      <c r="Q81" s="105"/>
      <c r="R81" s="137"/>
      <c r="S81" s="137"/>
    </row>
    <row r="82" spans="1:19" ht="15" customHeight="1" x14ac:dyDescent="0.25">
      <c r="A82" s="137"/>
      <c r="B82" s="67">
        <v>17</v>
      </c>
      <c r="C82" s="249" t="str">
        <f>IF('INPUT DATA'!N27="","",'INPUT DATA'!N27)</f>
        <v/>
      </c>
      <c r="D82" s="205"/>
      <c r="E82" s="205"/>
      <c r="F82" s="167" t="str">
        <f>IF('TERM 1 M and A'!AC85="","",'TERM 1 M and A'!AC85)</f>
        <v/>
      </c>
      <c r="G82" s="167" t="str">
        <f>IF('TERM 1 PE and H'!AC85="","",'TERM 1 PE and H'!AC85)</f>
        <v/>
      </c>
      <c r="H82" s="167" t="str">
        <f t="shared" si="8"/>
        <v/>
      </c>
      <c r="I82" s="167" t="str">
        <f>IF('TERM 2 M and A'!AC85="","",'TERM 2 M and A'!AC85)</f>
        <v/>
      </c>
      <c r="J82" s="167" t="str">
        <f>IF('TERM 2 PE and H'!AC85="","",'TERM 2 PE and H'!AC85)</f>
        <v/>
      </c>
      <c r="K82" s="167" t="str">
        <f t="shared" si="9"/>
        <v/>
      </c>
      <c r="L82" s="167" t="str">
        <f>IF('TERM 3 M and A'!AC85="","",'TERM 3 M and A'!AC85)</f>
        <v/>
      </c>
      <c r="M82" s="167" t="str">
        <f>IF('TERM 3 PE and H'!AC85="","",'TERM 3 PE and H'!AC85)</f>
        <v/>
      </c>
      <c r="N82" s="173" t="str">
        <f t="shared" si="10"/>
        <v/>
      </c>
      <c r="O82" s="170" t="str">
        <f t="shared" si="11"/>
        <v/>
      </c>
      <c r="P82" s="104" t="str">
        <f>IF(O82="","",IFERROR(VLOOKUP(O82,HELPER!$F$8:$G$48,2,FALSE),""))</f>
        <v/>
      </c>
      <c r="Q82" s="105"/>
      <c r="R82" s="137"/>
      <c r="S82" s="137"/>
    </row>
    <row r="83" spans="1:19" ht="15" customHeight="1" x14ac:dyDescent="0.25">
      <c r="A83" s="137"/>
      <c r="B83" s="67">
        <v>18</v>
      </c>
      <c r="C83" s="249" t="str">
        <f>IF('INPUT DATA'!N28="","",'INPUT DATA'!N28)</f>
        <v/>
      </c>
      <c r="D83" s="205"/>
      <c r="E83" s="205"/>
      <c r="F83" s="167" t="str">
        <f>IF('TERM 1 M and A'!AC86="","",'TERM 1 M and A'!AC86)</f>
        <v/>
      </c>
      <c r="G83" s="167" t="str">
        <f>IF('TERM 1 PE and H'!AC86="","",'TERM 1 PE and H'!AC86)</f>
        <v/>
      </c>
      <c r="H83" s="167" t="str">
        <f t="shared" si="8"/>
        <v/>
      </c>
      <c r="I83" s="167" t="str">
        <f>IF('TERM 2 M and A'!AC86="","",'TERM 2 M and A'!AC86)</f>
        <v/>
      </c>
      <c r="J83" s="167" t="str">
        <f>IF('TERM 2 PE and H'!AC86="","",'TERM 2 PE and H'!AC86)</f>
        <v/>
      </c>
      <c r="K83" s="167" t="str">
        <f t="shared" si="9"/>
        <v/>
      </c>
      <c r="L83" s="167" t="str">
        <f>IF('TERM 3 M and A'!AC86="","",'TERM 3 M and A'!AC86)</f>
        <v/>
      </c>
      <c r="M83" s="167" t="str">
        <f>IF('TERM 3 PE and H'!AC86="","",'TERM 3 PE and H'!AC86)</f>
        <v/>
      </c>
      <c r="N83" s="173" t="str">
        <f t="shared" si="10"/>
        <v/>
      </c>
      <c r="O83" s="170" t="str">
        <f t="shared" si="11"/>
        <v/>
      </c>
      <c r="P83" s="104" t="str">
        <f>IF(O83="","",IFERROR(VLOOKUP(O83,HELPER!$F$8:$G$48,2,FALSE),""))</f>
        <v/>
      </c>
      <c r="Q83" s="105"/>
      <c r="R83" s="137"/>
      <c r="S83" s="137"/>
    </row>
    <row r="84" spans="1:19" ht="15" customHeight="1" x14ac:dyDescent="0.25">
      <c r="A84" s="137"/>
      <c r="B84" s="67">
        <v>19</v>
      </c>
      <c r="C84" s="249" t="str">
        <f>IF('INPUT DATA'!N29="","",'INPUT DATA'!N29)</f>
        <v/>
      </c>
      <c r="D84" s="205"/>
      <c r="E84" s="205"/>
      <c r="F84" s="167" t="str">
        <f>IF('TERM 1 M and A'!AC87="","",'TERM 1 M and A'!AC87)</f>
        <v/>
      </c>
      <c r="G84" s="167" t="str">
        <f>IF('TERM 1 PE and H'!AC87="","",'TERM 1 PE and H'!AC87)</f>
        <v/>
      </c>
      <c r="H84" s="167" t="str">
        <f t="shared" si="8"/>
        <v/>
      </c>
      <c r="I84" s="167" t="str">
        <f>IF('TERM 2 M and A'!AC87="","",'TERM 2 M and A'!AC87)</f>
        <v/>
      </c>
      <c r="J84" s="167" t="str">
        <f>IF('TERM 2 PE and H'!AC87="","",'TERM 2 PE and H'!AC87)</f>
        <v/>
      </c>
      <c r="K84" s="167" t="str">
        <f t="shared" si="9"/>
        <v/>
      </c>
      <c r="L84" s="167" t="str">
        <f>IF('TERM 3 M and A'!AC87="","",'TERM 3 M and A'!AC87)</f>
        <v/>
      </c>
      <c r="M84" s="167" t="str">
        <f>IF('TERM 3 PE and H'!AC87="","",'TERM 3 PE and H'!AC87)</f>
        <v/>
      </c>
      <c r="N84" s="173" t="str">
        <f t="shared" si="10"/>
        <v/>
      </c>
      <c r="O84" s="170" t="str">
        <f t="shared" si="11"/>
        <v/>
      </c>
      <c r="P84" s="104" t="str">
        <f>IF(O84="","",IFERROR(VLOOKUP(O84,HELPER!$F$8:$G$48,2,FALSE),""))</f>
        <v/>
      </c>
      <c r="Q84" s="105"/>
      <c r="R84" s="137"/>
      <c r="S84" s="137"/>
    </row>
    <row r="85" spans="1:19" ht="15" customHeight="1" x14ac:dyDescent="0.25">
      <c r="A85" s="137"/>
      <c r="B85" s="68">
        <v>20</v>
      </c>
      <c r="C85" s="249" t="str">
        <f>IF('INPUT DATA'!N30="","",'INPUT DATA'!N30)</f>
        <v/>
      </c>
      <c r="D85" s="205"/>
      <c r="E85" s="205"/>
      <c r="F85" s="167" t="str">
        <f>IF('TERM 1 M and A'!AC88="","",'TERM 1 M and A'!AC88)</f>
        <v/>
      </c>
      <c r="G85" s="167" t="str">
        <f>IF('TERM 1 PE and H'!AC88="","",'TERM 1 PE and H'!AC88)</f>
        <v/>
      </c>
      <c r="H85" s="167" t="str">
        <f t="shared" si="8"/>
        <v/>
      </c>
      <c r="I85" s="167" t="str">
        <f>IF('TERM 2 M and A'!AC88="","",'TERM 2 M and A'!AC88)</f>
        <v/>
      </c>
      <c r="J85" s="167" t="str">
        <f>IF('TERM 2 PE and H'!AC88="","",'TERM 2 PE and H'!AC88)</f>
        <v/>
      </c>
      <c r="K85" s="167" t="str">
        <f t="shared" si="9"/>
        <v/>
      </c>
      <c r="L85" s="167" t="str">
        <f>IF('TERM 3 M and A'!AC88="","",'TERM 3 M and A'!AC88)</f>
        <v/>
      </c>
      <c r="M85" s="167" t="str">
        <f>IF('TERM 3 PE and H'!AC88="","",'TERM 3 PE and H'!AC88)</f>
        <v/>
      </c>
      <c r="N85" s="173" t="str">
        <f t="shared" si="10"/>
        <v/>
      </c>
      <c r="O85" s="170" t="str">
        <f t="shared" si="11"/>
        <v/>
      </c>
      <c r="P85" s="104" t="str">
        <f>IF(O85="","",IFERROR(VLOOKUP(O85,HELPER!$F$8:$G$48,2,FALSE),""))</f>
        <v/>
      </c>
      <c r="Q85" s="105"/>
      <c r="R85" s="137"/>
      <c r="S85" s="137"/>
    </row>
    <row r="86" spans="1:19" ht="15" customHeight="1" x14ac:dyDescent="0.25">
      <c r="A86" s="137"/>
      <c r="B86" s="68">
        <v>21</v>
      </c>
      <c r="C86" s="249" t="str">
        <f>IF('INPUT DATA'!N31="","",'INPUT DATA'!N31)</f>
        <v/>
      </c>
      <c r="D86" s="205"/>
      <c r="E86" s="205"/>
      <c r="F86" s="167" t="str">
        <f>IF('TERM 1 M and A'!AC89="","",'TERM 1 M and A'!AC89)</f>
        <v/>
      </c>
      <c r="G86" s="167" t="str">
        <f>IF('TERM 1 PE and H'!AC89="","",'TERM 1 PE and H'!AC89)</f>
        <v/>
      </c>
      <c r="H86" s="167" t="str">
        <f t="shared" si="8"/>
        <v/>
      </c>
      <c r="I86" s="167" t="str">
        <f>IF('TERM 2 M and A'!AC89="","",'TERM 2 M and A'!AC89)</f>
        <v/>
      </c>
      <c r="J86" s="167" t="str">
        <f>IF('TERM 2 PE and H'!AC89="","",'TERM 2 PE and H'!AC89)</f>
        <v/>
      </c>
      <c r="K86" s="167" t="str">
        <f t="shared" si="9"/>
        <v/>
      </c>
      <c r="L86" s="167" t="str">
        <f>IF('TERM 3 M and A'!AC89="","",'TERM 3 M and A'!AC89)</f>
        <v/>
      </c>
      <c r="M86" s="167" t="str">
        <f>IF('TERM 3 PE and H'!AC89="","",'TERM 3 PE and H'!AC89)</f>
        <v/>
      </c>
      <c r="N86" s="173" t="str">
        <f t="shared" si="10"/>
        <v/>
      </c>
      <c r="O86" s="170" t="str">
        <f t="shared" si="11"/>
        <v/>
      </c>
      <c r="P86" s="104" t="str">
        <f>IF(O86="","",IFERROR(VLOOKUP(O86,HELPER!$F$8:$G$48,2,FALSE),""))</f>
        <v/>
      </c>
      <c r="Q86" s="105"/>
      <c r="R86" s="137"/>
      <c r="S86" s="137"/>
    </row>
    <row r="87" spans="1:19" ht="15" customHeight="1" x14ac:dyDescent="0.25">
      <c r="A87" s="137"/>
      <c r="B87" s="68">
        <v>22</v>
      </c>
      <c r="C87" s="249" t="str">
        <f>IF('INPUT DATA'!N32="","",'INPUT DATA'!N32)</f>
        <v/>
      </c>
      <c r="D87" s="205"/>
      <c r="E87" s="205"/>
      <c r="F87" s="167" t="str">
        <f>IF('TERM 1 M and A'!AC90="","",'TERM 1 M and A'!AC90)</f>
        <v/>
      </c>
      <c r="G87" s="167" t="str">
        <f>IF('TERM 1 PE and H'!AC90="","",'TERM 1 PE and H'!AC90)</f>
        <v/>
      </c>
      <c r="H87" s="167" t="str">
        <f t="shared" si="8"/>
        <v/>
      </c>
      <c r="I87" s="167" t="str">
        <f>IF('TERM 2 M and A'!AC90="","",'TERM 2 M and A'!AC90)</f>
        <v/>
      </c>
      <c r="J87" s="167" t="str">
        <f>IF('TERM 2 PE and H'!AC90="","",'TERM 2 PE and H'!AC90)</f>
        <v/>
      </c>
      <c r="K87" s="167" t="str">
        <f t="shared" si="9"/>
        <v/>
      </c>
      <c r="L87" s="167" t="str">
        <f>IF('TERM 3 M and A'!AC90="","",'TERM 3 M and A'!AC90)</f>
        <v/>
      </c>
      <c r="M87" s="167" t="str">
        <f>IF('TERM 3 PE and H'!AC90="","",'TERM 3 PE and H'!AC90)</f>
        <v/>
      </c>
      <c r="N87" s="173" t="str">
        <f t="shared" si="10"/>
        <v/>
      </c>
      <c r="O87" s="170" t="str">
        <f t="shared" si="11"/>
        <v/>
      </c>
      <c r="P87" s="104" t="str">
        <f>IF(O87="","",IFERROR(VLOOKUP(O87,HELPER!$F$8:$G$48,2,FALSE),""))</f>
        <v/>
      </c>
      <c r="Q87" s="105"/>
      <c r="R87" s="137"/>
      <c r="S87" s="137"/>
    </row>
    <row r="88" spans="1:19" ht="15" customHeight="1" x14ac:dyDescent="0.25">
      <c r="A88" s="137"/>
      <c r="B88" s="68">
        <v>23</v>
      </c>
      <c r="C88" s="249" t="str">
        <f>IF('INPUT DATA'!N33="","",'INPUT DATA'!N33)</f>
        <v/>
      </c>
      <c r="D88" s="205"/>
      <c r="E88" s="205"/>
      <c r="F88" s="167" t="str">
        <f>IF('TERM 1 M and A'!AC91="","",'TERM 1 M and A'!AC91)</f>
        <v/>
      </c>
      <c r="G88" s="167" t="str">
        <f>IF('TERM 1 PE and H'!AC91="","",'TERM 1 PE and H'!AC91)</f>
        <v/>
      </c>
      <c r="H88" s="167" t="str">
        <f t="shared" si="8"/>
        <v/>
      </c>
      <c r="I88" s="167" t="str">
        <f>IF('TERM 2 M and A'!AC91="","",'TERM 2 M and A'!AC91)</f>
        <v/>
      </c>
      <c r="J88" s="167" t="str">
        <f>IF('TERM 2 PE and H'!AC91="","",'TERM 2 PE and H'!AC91)</f>
        <v/>
      </c>
      <c r="K88" s="167" t="str">
        <f t="shared" si="9"/>
        <v/>
      </c>
      <c r="L88" s="167" t="str">
        <f>IF('TERM 3 M and A'!AC91="","",'TERM 3 M and A'!AC91)</f>
        <v/>
      </c>
      <c r="M88" s="167" t="str">
        <f>IF('TERM 3 PE and H'!AC91="","",'TERM 3 PE and H'!AC91)</f>
        <v/>
      </c>
      <c r="N88" s="173" t="str">
        <f t="shared" si="10"/>
        <v/>
      </c>
      <c r="O88" s="170" t="str">
        <f t="shared" si="11"/>
        <v/>
      </c>
      <c r="P88" s="104" t="str">
        <f>IF(O88="","",IFERROR(VLOOKUP(O88,HELPER!$F$8:$G$48,2,FALSE),""))</f>
        <v/>
      </c>
      <c r="Q88" s="105"/>
      <c r="R88" s="137"/>
      <c r="S88" s="137"/>
    </row>
    <row r="89" spans="1:19" ht="15" customHeight="1" x14ac:dyDescent="0.25">
      <c r="A89" s="137"/>
      <c r="B89" s="68">
        <v>24</v>
      </c>
      <c r="C89" s="249" t="str">
        <f>IF('INPUT DATA'!N34="","",'INPUT DATA'!N34)</f>
        <v/>
      </c>
      <c r="D89" s="205"/>
      <c r="E89" s="205"/>
      <c r="F89" s="167" t="str">
        <f>IF('TERM 1 M and A'!AC92="","",'TERM 1 M and A'!AC92)</f>
        <v/>
      </c>
      <c r="G89" s="167" t="str">
        <f>IF('TERM 1 PE and H'!AC92="","",'TERM 1 PE and H'!AC92)</f>
        <v/>
      </c>
      <c r="H89" s="167" t="str">
        <f t="shared" si="8"/>
        <v/>
      </c>
      <c r="I89" s="167" t="str">
        <f>IF('TERM 2 M and A'!AC92="","",'TERM 2 M and A'!AC92)</f>
        <v/>
      </c>
      <c r="J89" s="167" t="str">
        <f>IF('TERM 2 PE and H'!AC92="","",'TERM 2 PE and H'!AC92)</f>
        <v/>
      </c>
      <c r="K89" s="167" t="str">
        <f t="shared" si="9"/>
        <v/>
      </c>
      <c r="L89" s="167" t="str">
        <f>IF('TERM 3 M and A'!AC92="","",'TERM 3 M and A'!AC92)</f>
        <v/>
      </c>
      <c r="M89" s="167" t="str">
        <f>IF('TERM 3 PE and H'!AC92="","",'TERM 3 PE and H'!AC92)</f>
        <v/>
      </c>
      <c r="N89" s="173" t="str">
        <f t="shared" si="10"/>
        <v/>
      </c>
      <c r="O89" s="170" t="str">
        <f t="shared" si="11"/>
        <v/>
      </c>
      <c r="P89" s="104" t="str">
        <f>IF(O89="","",IFERROR(VLOOKUP(O89,HELPER!$F$8:$G$48,2,FALSE),""))</f>
        <v/>
      </c>
      <c r="Q89" s="105"/>
      <c r="R89" s="137"/>
      <c r="S89" s="137"/>
    </row>
    <row r="90" spans="1:19" ht="15" customHeight="1" x14ac:dyDescent="0.25">
      <c r="A90" s="137"/>
      <c r="B90" s="68">
        <v>25</v>
      </c>
      <c r="C90" s="249" t="str">
        <f>IF('INPUT DATA'!N35="","",'INPUT DATA'!N35)</f>
        <v/>
      </c>
      <c r="D90" s="205"/>
      <c r="E90" s="205"/>
      <c r="F90" s="167" t="str">
        <f>IF('TERM 1 M and A'!AC93="","",'TERM 1 M and A'!AC93)</f>
        <v/>
      </c>
      <c r="G90" s="167" t="str">
        <f>IF('TERM 1 PE and H'!AC93="","",'TERM 1 PE and H'!AC93)</f>
        <v/>
      </c>
      <c r="H90" s="167" t="str">
        <f t="shared" si="8"/>
        <v/>
      </c>
      <c r="I90" s="167" t="str">
        <f>IF('TERM 2 M and A'!AC93="","",'TERM 2 M and A'!AC93)</f>
        <v/>
      </c>
      <c r="J90" s="167" t="str">
        <f>IF('TERM 2 PE and H'!AC93="","",'TERM 2 PE and H'!AC93)</f>
        <v/>
      </c>
      <c r="K90" s="167" t="str">
        <f t="shared" si="9"/>
        <v/>
      </c>
      <c r="L90" s="167" t="str">
        <f>IF('TERM 3 M and A'!AC93="","",'TERM 3 M and A'!AC93)</f>
        <v/>
      </c>
      <c r="M90" s="167" t="str">
        <f>IF('TERM 3 PE and H'!AC93="","",'TERM 3 PE and H'!AC93)</f>
        <v/>
      </c>
      <c r="N90" s="173" t="str">
        <f t="shared" si="10"/>
        <v/>
      </c>
      <c r="O90" s="170" t="str">
        <f t="shared" si="11"/>
        <v/>
      </c>
      <c r="P90" s="104" t="str">
        <f>IF(O90="","",IFERROR(VLOOKUP(O90,HELPER!$F$8:$G$48,2,FALSE),""))</f>
        <v/>
      </c>
      <c r="Q90" s="105"/>
      <c r="R90" s="137"/>
      <c r="S90" s="137"/>
    </row>
    <row r="91" spans="1:19" ht="15" customHeight="1" x14ac:dyDescent="0.25">
      <c r="A91" s="137"/>
      <c r="B91" s="68">
        <v>26</v>
      </c>
      <c r="C91" s="249" t="str">
        <f>IF('INPUT DATA'!N36="","",'INPUT DATA'!N36)</f>
        <v/>
      </c>
      <c r="D91" s="205"/>
      <c r="E91" s="205"/>
      <c r="F91" s="167" t="str">
        <f>IF('TERM 1 M and A'!AC94="","",'TERM 1 M and A'!AC94)</f>
        <v/>
      </c>
      <c r="G91" s="167" t="str">
        <f>IF('TERM 1 PE and H'!AC94="","",'TERM 1 PE and H'!AC94)</f>
        <v/>
      </c>
      <c r="H91" s="167" t="str">
        <f t="shared" si="8"/>
        <v/>
      </c>
      <c r="I91" s="167" t="str">
        <f>IF('TERM 2 M and A'!AC94="","",'TERM 2 M and A'!AC94)</f>
        <v/>
      </c>
      <c r="J91" s="167" t="str">
        <f>IF('TERM 2 PE and H'!AC94="","",'TERM 2 PE and H'!AC94)</f>
        <v/>
      </c>
      <c r="K91" s="167" t="str">
        <f t="shared" si="9"/>
        <v/>
      </c>
      <c r="L91" s="167" t="str">
        <f>IF('TERM 3 M and A'!AC94="","",'TERM 3 M and A'!AC94)</f>
        <v/>
      </c>
      <c r="M91" s="167" t="str">
        <f>IF('TERM 3 PE and H'!AC94="","",'TERM 3 PE and H'!AC94)</f>
        <v/>
      </c>
      <c r="N91" s="173" t="str">
        <f t="shared" si="10"/>
        <v/>
      </c>
      <c r="O91" s="170" t="str">
        <f t="shared" si="11"/>
        <v/>
      </c>
      <c r="P91" s="104" t="str">
        <f>IF(O91="","",IFERROR(VLOOKUP(O91,HELPER!$F$8:$G$48,2,FALSE),""))</f>
        <v/>
      </c>
      <c r="Q91" s="105"/>
      <c r="R91" s="137"/>
      <c r="S91" s="137"/>
    </row>
    <row r="92" spans="1:19" ht="15" customHeight="1" x14ac:dyDescent="0.25">
      <c r="A92" s="137"/>
      <c r="B92" s="68">
        <v>27</v>
      </c>
      <c r="C92" s="249" t="str">
        <f>IF('INPUT DATA'!N37="","",'INPUT DATA'!N37)</f>
        <v/>
      </c>
      <c r="D92" s="205"/>
      <c r="E92" s="205"/>
      <c r="F92" s="167" t="str">
        <f>IF('TERM 1 M and A'!AC95="","",'TERM 1 M and A'!AC95)</f>
        <v/>
      </c>
      <c r="G92" s="167" t="str">
        <f>IF('TERM 1 PE and H'!AC95="","",'TERM 1 PE and H'!AC95)</f>
        <v/>
      </c>
      <c r="H92" s="167" t="str">
        <f t="shared" si="8"/>
        <v/>
      </c>
      <c r="I92" s="167" t="str">
        <f>IF('TERM 2 M and A'!AC95="","",'TERM 2 M and A'!AC95)</f>
        <v/>
      </c>
      <c r="J92" s="167" t="str">
        <f>IF('TERM 2 PE and H'!AC95="","",'TERM 2 PE and H'!AC95)</f>
        <v/>
      </c>
      <c r="K92" s="167" t="str">
        <f t="shared" si="9"/>
        <v/>
      </c>
      <c r="L92" s="167" t="str">
        <f>IF('TERM 3 M and A'!AC95="","",'TERM 3 M and A'!AC95)</f>
        <v/>
      </c>
      <c r="M92" s="167" t="str">
        <f>IF('TERM 3 PE and H'!AC95="","",'TERM 3 PE and H'!AC95)</f>
        <v/>
      </c>
      <c r="N92" s="173" t="str">
        <f t="shared" si="10"/>
        <v/>
      </c>
      <c r="O92" s="170" t="str">
        <f t="shared" si="11"/>
        <v/>
      </c>
      <c r="P92" s="104" t="str">
        <f>IF(O92="","",IFERROR(VLOOKUP(O92,HELPER!$F$8:$G$48,2,FALSE),""))</f>
        <v/>
      </c>
      <c r="Q92" s="105"/>
      <c r="R92" s="137"/>
      <c r="S92" s="137"/>
    </row>
    <row r="93" spans="1:19" ht="15" customHeight="1" x14ac:dyDescent="0.25">
      <c r="A93" s="137"/>
      <c r="B93" s="68">
        <v>28</v>
      </c>
      <c r="C93" s="249" t="str">
        <f>IF('INPUT DATA'!N38="","",'INPUT DATA'!N38)</f>
        <v/>
      </c>
      <c r="D93" s="205"/>
      <c r="E93" s="205"/>
      <c r="F93" s="167" t="str">
        <f>IF('TERM 1 M and A'!AC96="","",'TERM 1 M and A'!AC96)</f>
        <v/>
      </c>
      <c r="G93" s="167" t="str">
        <f>IF('TERM 1 PE and H'!AC96="","",'TERM 1 PE and H'!AC96)</f>
        <v/>
      </c>
      <c r="H93" s="167" t="str">
        <f t="shared" si="8"/>
        <v/>
      </c>
      <c r="I93" s="167" t="str">
        <f>IF('TERM 2 M and A'!AC96="","",'TERM 2 M and A'!AC96)</f>
        <v/>
      </c>
      <c r="J93" s="167" t="str">
        <f>IF('TERM 2 PE and H'!AC96="","",'TERM 2 PE and H'!AC96)</f>
        <v/>
      </c>
      <c r="K93" s="167" t="str">
        <f t="shared" si="9"/>
        <v/>
      </c>
      <c r="L93" s="167" t="str">
        <f>IF('TERM 3 M and A'!AC96="","",'TERM 3 M and A'!AC96)</f>
        <v/>
      </c>
      <c r="M93" s="167" t="str">
        <f>IF('TERM 3 PE and H'!AC96="","",'TERM 3 PE and H'!AC96)</f>
        <v/>
      </c>
      <c r="N93" s="173" t="str">
        <f t="shared" si="10"/>
        <v/>
      </c>
      <c r="O93" s="170" t="str">
        <f t="shared" si="11"/>
        <v/>
      </c>
      <c r="P93" s="104" t="str">
        <f>IF(O93="","",IFERROR(VLOOKUP(O93,HELPER!$F$8:$G$48,2,FALSE),""))</f>
        <v/>
      </c>
      <c r="Q93" s="105"/>
      <c r="R93" s="137"/>
      <c r="S93" s="137"/>
    </row>
    <row r="94" spans="1:19" ht="15" customHeight="1" x14ac:dyDescent="0.25">
      <c r="A94" s="137"/>
      <c r="B94" s="68">
        <v>29</v>
      </c>
      <c r="C94" s="249" t="str">
        <f>IF('INPUT DATA'!N39="","",'INPUT DATA'!N39)</f>
        <v/>
      </c>
      <c r="D94" s="205"/>
      <c r="E94" s="205"/>
      <c r="F94" s="167" t="str">
        <f>IF('TERM 1 M and A'!AC97="","",'TERM 1 M and A'!AC97)</f>
        <v/>
      </c>
      <c r="G94" s="167" t="str">
        <f>IF('TERM 1 PE and H'!AC97="","",'TERM 1 PE and H'!AC97)</f>
        <v/>
      </c>
      <c r="H94" s="167" t="str">
        <f t="shared" si="8"/>
        <v/>
      </c>
      <c r="I94" s="167" t="str">
        <f>IF('TERM 2 M and A'!AC97="","",'TERM 2 M and A'!AC97)</f>
        <v/>
      </c>
      <c r="J94" s="167" t="str">
        <f>IF('TERM 2 PE and H'!AC97="","",'TERM 2 PE and H'!AC97)</f>
        <v/>
      </c>
      <c r="K94" s="167" t="str">
        <f t="shared" si="9"/>
        <v/>
      </c>
      <c r="L94" s="167" t="str">
        <f>IF('TERM 3 M and A'!AC97="","",'TERM 3 M and A'!AC97)</f>
        <v/>
      </c>
      <c r="M94" s="167" t="str">
        <f>IF('TERM 3 PE and H'!AC97="","",'TERM 3 PE and H'!AC97)</f>
        <v/>
      </c>
      <c r="N94" s="173" t="str">
        <f t="shared" si="10"/>
        <v/>
      </c>
      <c r="O94" s="170" t="str">
        <f t="shared" si="11"/>
        <v/>
      </c>
      <c r="P94" s="104" t="str">
        <f>IF(O94="","",IFERROR(VLOOKUP(O94,HELPER!$F$8:$G$48,2,FALSE),""))</f>
        <v/>
      </c>
      <c r="Q94" s="105"/>
      <c r="R94" s="137"/>
      <c r="S94" s="137"/>
    </row>
    <row r="95" spans="1:19" ht="15" customHeight="1" x14ac:dyDescent="0.25">
      <c r="A95" s="137"/>
      <c r="B95" s="68">
        <v>30</v>
      </c>
      <c r="C95" s="249" t="str">
        <f>IF('INPUT DATA'!N40="","",'INPUT DATA'!N40)</f>
        <v/>
      </c>
      <c r="D95" s="205"/>
      <c r="E95" s="205"/>
      <c r="F95" s="167" t="str">
        <f>IF('TERM 1 M and A'!AC98="","",'TERM 1 M and A'!AC98)</f>
        <v/>
      </c>
      <c r="G95" s="167" t="str">
        <f>IF('TERM 1 PE and H'!AC98="","",'TERM 1 PE and H'!AC98)</f>
        <v/>
      </c>
      <c r="H95" s="167" t="str">
        <f t="shared" si="8"/>
        <v/>
      </c>
      <c r="I95" s="167" t="str">
        <f>IF('TERM 2 M and A'!AC98="","",'TERM 2 M and A'!AC98)</f>
        <v/>
      </c>
      <c r="J95" s="167" t="str">
        <f>IF('TERM 2 PE and H'!AC98="","",'TERM 2 PE and H'!AC98)</f>
        <v/>
      </c>
      <c r="K95" s="167" t="str">
        <f t="shared" si="9"/>
        <v/>
      </c>
      <c r="L95" s="167" t="str">
        <f>IF('TERM 3 M and A'!AC98="","",'TERM 3 M and A'!AC98)</f>
        <v/>
      </c>
      <c r="M95" s="167" t="str">
        <f>IF('TERM 3 PE and H'!AC98="","",'TERM 3 PE and H'!AC98)</f>
        <v/>
      </c>
      <c r="N95" s="173" t="str">
        <f t="shared" si="10"/>
        <v/>
      </c>
      <c r="O95" s="170" t="str">
        <f t="shared" si="11"/>
        <v/>
      </c>
      <c r="P95" s="104" t="str">
        <f>IF(O95="","",IFERROR(VLOOKUP(O95,HELPER!$F$8:$G$48,2,FALSE),""))</f>
        <v/>
      </c>
      <c r="Q95" s="105"/>
      <c r="R95" s="137"/>
      <c r="S95" s="137"/>
    </row>
    <row r="96" spans="1:19" ht="15" customHeight="1" x14ac:dyDescent="0.25">
      <c r="A96" s="137"/>
      <c r="B96" s="68">
        <v>31</v>
      </c>
      <c r="C96" s="249" t="str">
        <f>IF('INPUT DATA'!N41="","",'INPUT DATA'!N41)</f>
        <v/>
      </c>
      <c r="D96" s="205"/>
      <c r="E96" s="205"/>
      <c r="F96" s="167" t="str">
        <f>IF('TERM 1 M and A'!AC99="","",'TERM 1 M and A'!AC99)</f>
        <v/>
      </c>
      <c r="G96" s="167" t="str">
        <f>IF('TERM 1 PE and H'!AC99="","",'TERM 1 PE and H'!AC99)</f>
        <v/>
      </c>
      <c r="H96" s="167" t="str">
        <f t="shared" si="8"/>
        <v/>
      </c>
      <c r="I96" s="167" t="str">
        <f>IF('TERM 2 M and A'!AC99="","",'TERM 2 M and A'!AC99)</f>
        <v/>
      </c>
      <c r="J96" s="167" t="str">
        <f>IF('TERM 2 PE and H'!AC99="","",'TERM 2 PE and H'!AC99)</f>
        <v/>
      </c>
      <c r="K96" s="167" t="str">
        <f t="shared" si="9"/>
        <v/>
      </c>
      <c r="L96" s="167" t="str">
        <f>IF('TERM 3 M and A'!AC99="","",'TERM 3 M and A'!AC99)</f>
        <v/>
      </c>
      <c r="M96" s="167" t="str">
        <f>IF('TERM 3 PE and H'!AC99="","",'TERM 3 PE and H'!AC99)</f>
        <v/>
      </c>
      <c r="N96" s="173" t="str">
        <f t="shared" si="10"/>
        <v/>
      </c>
      <c r="O96" s="170" t="str">
        <f t="shared" si="11"/>
        <v/>
      </c>
      <c r="P96" s="104" t="str">
        <f>IF(O96="","",IFERROR(VLOOKUP(O96,HELPER!$F$8:$G$48,2,FALSE),""))</f>
        <v/>
      </c>
      <c r="Q96" s="105"/>
      <c r="R96" s="137"/>
      <c r="S96" s="137"/>
    </row>
    <row r="97" spans="1:19" ht="15" customHeight="1" x14ac:dyDescent="0.25">
      <c r="A97" s="137"/>
      <c r="B97" s="68">
        <v>32</v>
      </c>
      <c r="C97" s="249" t="str">
        <f>IF('INPUT DATA'!N42="","",'INPUT DATA'!N42)</f>
        <v/>
      </c>
      <c r="D97" s="205"/>
      <c r="E97" s="205"/>
      <c r="F97" s="167" t="str">
        <f>IF('TERM 1 M and A'!AC100="","",'TERM 1 M and A'!AC100)</f>
        <v/>
      </c>
      <c r="G97" s="167" t="str">
        <f>IF('TERM 1 PE and H'!AC100="","",'TERM 1 PE and H'!AC100)</f>
        <v/>
      </c>
      <c r="H97" s="167" t="str">
        <f t="shared" si="8"/>
        <v/>
      </c>
      <c r="I97" s="167" t="str">
        <f>IF('TERM 2 M and A'!AC100="","",'TERM 2 M and A'!AC100)</f>
        <v/>
      </c>
      <c r="J97" s="167" t="str">
        <f>IF('TERM 2 PE and H'!AC100="","",'TERM 2 PE and H'!AC100)</f>
        <v/>
      </c>
      <c r="K97" s="167" t="str">
        <f t="shared" si="9"/>
        <v/>
      </c>
      <c r="L97" s="167" t="str">
        <f>IF('TERM 3 M and A'!AC100="","",'TERM 3 M and A'!AC100)</f>
        <v/>
      </c>
      <c r="M97" s="167" t="str">
        <f>IF('TERM 3 PE and H'!AC100="","",'TERM 3 PE and H'!AC100)</f>
        <v/>
      </c>
      <c r="N97" s="173" t="str">
        <f t="shared" si="10"/>
        <v/>
      </c>
      <c r="O97" s="170" t="str">
        <f t="shared" si="11"/>
        <v/>
      </c>
      <c r="P97" s="104" t="str">
        <f>IF(O97="","",IFERROR(VLOOKUP(O97,HELPER!$F$8:$G$48,2,FALSE),""))</f>
        <v/>
      </c>
      <c r="Q97" s="105"/>
      <c r="R97" s="137"/>
      <c r="S97" s="137"/>
    </row>
    <row r="98" spans="1:19" ht="15" customHeight="1" x14ac:dyDescent="0.25">
      <c r="A98" s="137"/>
      <c r="B98" s="68">
        <v>33</v>
      </c>
      <c r="C98" s="249" t="str">
        <f>IF('INPUT DATA'!N43="","",'INPUT DATA'!N43)</f>
        <v/>
      </c>
      <c r="D98" s="205"/>
      <c r="E98" s="205"/>
      <c r="F98" s="167" t="str">
        <f>IF('TERM 1 M and A'!AC101="","",'TERM 1 M and A'!AC101)</f>
        <v/>
      </c>
      <c r="G98" s="167" t="str">
        <f>IF('TERM 1 PE and H'!AC101="","",'TERM 1 PE and H'!AC101)</f>
        <v/>
      </c>
      <c r="H98" s="167" t="str">
        <f t="shared" si="8"/>
        <v/>
      </c>
      <c r="I98" s="167" t="str">
        <f>IF('TERM 2 M and A'!AC101="","",'TERM 2 M and A'!AC101)</f>
        <v/>
      </c>
      <c r="J98" s="167" t="str">
        <f>IF('TERM 2 PE and H'!AC101="","",'TERM 2 PE and H'!AC101)</f>
        <v/>
      </c>
      <c r="K98" s="167" t="str">
        <f t="shared" si="9"/>
        <v/>
      </c>
      <c r="L98" s="167" t="str">
        <f>IF('TERM 3 M and A'!AC101="","",'TERM 3 M and A'!AC101)</f>
        <v/>
      </c>
      <c r="M98" s="167" t="str">
        <f>IF('TERM 3 PE and H'!AC101="","",'TERM 3 PE and H'!AC101)</f>
        <v/>
      </c>
      <c r="N98" s="173" t="str">
        <f t="shared" si="10"/>
        <v/>
      </c>
      <c r="O98" s="170" t="str">
        <f t="shared" ref="O98:O115" si="12">IF(COUNT(H98,K98,N98)&lt;3,"",ROUND(AVERAGE(H98,K98,N98),0))</f>
        <v/>
      </c>
      <c r="P98" s="104" t="str">
        <f>IF(O98="","",IFERROR(VLOOKUP(O98,HELPER!$F$8:$G$48,2,FALSE),""))</f>
        <v/>
      </c>
      <c r="Q98" s="105"/>
      <c r="R98" s="137"/>
      <c r="S98" s="137"/>
    </row>
    <row r="99" spans="1:19" ht="15" customHeight="1" x14ac:dyDescent="0.25">
      <c r="A99" s="137"/>
      <c r="B99" s="68">
        <v>34</v>
      </c>
      <c r="C99" s="249" t="str">
        <f>IF('INPUT DATA'!N44="","",'INPUT DATA'!N44)</f>
        <v/>
      </c>
      <c r="D99" s="205"/>
      <c r="E99" s="205"/>
      <c r="F99" s="167" t="str">
        <f>IF('TERM 1 M and A'!AC102="","",'TERM 1 M and A'!AC102)</f>
        <v/>
      </c>
      <c r="G99" s="167" t="str">
        <f>IF('TERM 1 PE and H'!AC102="","",'TERM 1 PE and H'!AC102)</f>
        <v/>
      </c>
      <c r="H99" s="167" t="str">
        <f t="shared" si="8"/>
        <v/>
      </c>
      <c r="I99" s="167" t="str">
        <f>IF('TERM 2 M and A'!AC102="","",'TERM 2 M and A'!AC102)</f>
        <v/>
      </c>
      <c r="J99" s="167" t="str">
        <f>IF('TERM 2 PE and H'!AC102="","",'TERM 2 PE and H'!AC102)</f>
        <v/>
      </c>
      <c r="K99" s="167" t="str">
        <f t="shared" si="9"/>
        <v/>
      </c>
      <c r="L99" s="167" t="str">
        <f>IF('TERM 3 M and A'!AC102="","",'TERM 3 M and A'!AC102)</f>
        <v/>
      </c>
      <c r="M99" s="167" t="str">
        <f>IF('TERM 3 PE and H'!AC102="","",'TERM 3 PE and H'!AC102)</f>
        <v/>
      </c>
      <c r="N99" s="173" t="str">
        <f t="shared" si="10"/>
        <v/>
      </c>
      <c r="O99" s="170" t="str">
        <f t="shared" si="12"/>
        <v/>
      </c>
      <c r="P99" s="104" t="str">
        <f>IF(O99="","",IFERROR(VLOOKUP(O99,HELPER!$F$8:$G$48,2,FALSE),""))</f>
        <v/>
      </c>
      <c r="Q99" s="105"/>
      <c r="R99" s="137"/>
      <c r="S99" s="137"/>
    </row>
    <row r="100" spans="1:19" ht="15" customHeight="1" x14ac:dyDescent="0.25">
      <c r="A100" s="137"/>
      <c r="B100" s="68">
        <v>35</v>
      </c>
      <c r="C100" s="249" t="str">
        <f>IF('INPUT DATA'!N45="","",'INPUT DATA'!N45)</f>
        <v/>
      </c>
      <c r="D100" s="205"/>
      <c r="E100" s="205"/>
      <c r="F100" s="167" t="str">
        <f>IF('TERM 1 M and A'!AC103="","",'TERM 1 M and A'!AC103)</f>
        <v/>
      </c>
      <c r="G100" s="167" t="str">
        <f>IF('TERM 1 PE and H'!AC103="","",'TERM 1 PE and H'!AC103)</f>
        <v/>
      </c>
      <c r="H100" s="167" t="str">
        <f t="shared" si="8"/>
        <v/>
      </c>
      <c r="I100" s="167" t="str">
        <f>IF('TERM 2 M and A'!AC103="","",'TERM 2 M and A'!AC103)</f>
        <v/>
      </c>
      <c r="J100" s="167" t="str">
        <f>IF('TERM 2 PE and H'!AC103="","",'TERM 2 PE and H'!AC103)</f>
        <v/>
      </c>
      <c r="K100" s="167" t="str">
        <f t="shared" si="9"/>
        <v/>
      </c>
      <c r="L100" s="167" t="str">
        <f>IF('TERM 3 M and A'!AC103="","",'TERM 3 M and A'!AC103)</f>
        <v/>
      </c>
      <c r="M100" s="167" t="str">
        <f>IF('TERM 3 PE and H'!AC103="","",'TERM 3 PE and H'!AC103)</f>
        <v/>
      </c>
      <c r="N100" s="173" t="str">
        <f t="shared" si="10"/>
        <v/>
      </c>
      <c r="O100" s="170" t="str">
        <f t="shared" si="12"/>
        <v/>
      </c>
      <c r="P100" s="104" t="str">
        <f>IF(O100="","",IFERROR(VLOOKUP(O100,HELPER!$F$8:$G$48,2,FALSE),""))</f>
        <v/>
      </c>
      <c r="Q100" s="105"/>
      <c r="R100" s="137"/>
      <c r="S100" s="137"/>
    </row>
    <row r="101" spans="1:19" ht="15" customHeight="1" x14ac:dyDescent="0.25">
      <c r="A101" s="137"/>
      <c r="B101" s="68">
        <v>36</v>
      </c>
      <c r="C101" s="249" t="str">
        <f>IF('INPUT DATA'!N46="","",'INPUT DATA'!N46)</f>
        <v/>
      </c>
      <c r="D101" s="205"/>
      <c r="E101" s="205"/>
      <c r="F101" s="167" t="str">
        <f>IF('TERM 1 M and A'!AC104="","",'TERM 1 M and A'!AC104)</f>
        <v/>
      </c>
      <c r="G101" s="167" t="str">
        <f>IF('TERM 1 PE and H'!AC104="","",'TERM 1 PE and H'!AC104)</f>
        <v/>
      </c>
      <c r="H101" s="167" t="str">
        <f t="shared" si="8"/>
        <v/>
      </c>
      <c r="I101" s="167" t="str">
        <f>IF('TERM 2 M and A'!AC104="","",'TERM 2 M and A'!AC104)</f>
        <v/>
      </c>
      <c r="J101" s="167" t="str">
        <f>IF('TERM 2 PE and H'!AC104="","",'TERM 2 PE and H'!AC104)</f>
        <v/>
      </c>
      <c r="K101" s="167" t="str">
        <f t="shared" si="9"/>
        <v/>
      </c>
      <c r="L101" s="167" t="str">
        <f>IF('TERM 3 M and A'!AC104="","",'TERM 3 M and A'!AC104)</f>
        <v/>
      </c>
      <c r="M101" s="167" t="str">
        <f>IF('TERM 3 PE and H'!AC104="","",'TERM 3 PE and H'!AC104)</f>
        <v/>
      </c>
      <c r="N101" s="173" t="str">
        <f t="shared" si="10"/>
        <v/>
      </c>
      <c r="O101" s="170" t="str">
        <f t="shared" si="12"/>
        <v/>
      </c>
      <c r="P101" s="104" t="str">
        <f>IF(O101="","",IFERROR(VLOOKUP(O101,HELPER!$F$8:$G$48,2,FALSE),""))</f>
        <v/>
      </c>
      <c r="Q101" s="105"/>
      <c r="R101" s="137"/>
      <c r="S101" s="137"/>
    </row>
    <row r="102" spans="1:19" ht="15" customHeight="1" x14ac:dyDescent="0.25">
      <c r="A102" s="137"/>
      <c r="B102" s="68">
        <v>37</v>
      </c>
      <c r="C102" s="249" t="str">
        <f>IF('INPUT DATA'!N47="","",'INPUT DATA'!N47)</f>
        <v/>
      </c>
      <c r="D102" s="205"/>
      <c r="E102" s="205"/>
      <c r="F102" s="167" t="str">
        <f>IF('TERM 1 M and A'!AC105="","",'TERM 1 M and A'!AC105)</f>
        <v/>
      </c>
      <c r="G102" s="167" t="str">
        <f>IF('TERM 1 PE and H'!AC105="","",'TERM 1 PE and H'!AC105)</f>
        <v/>
      </c>
      <c r="H102" s="167" t="str">
        <f t="shared" si="8"/>
        <v/>
      </c>
      <c r="I102" s="167" t="str">
        <f>IF('TERM 2 M and A'!AC105="","",'TERM 2 M and A'!AC105)</f>
        <v/>
      </c>
      <c r="J102" s="167" t="str">
        <f>IF('TERM 2 PE and H'!AC105="","",'TERM 2 PE and H'!AC105)</f>
        <v/>
      </c>
      <c r="K102" s="167" t="str">
        <f t="shared" si="9"/>
        <v/>
      </c>
      <c r="L102" s="167" t="str">
        <f>IF('TERM 3 M and A'!AC105="","",'TERM 3 M and A'!AC105)</f>
        <v/>
      </c>
      <c r="M102" s="167" t="str">
        <f>IF('TERM 3 PE and H'!AC105="","",'TERM 3 PE and H'!AC105)</f>
        <v/>
      </c>
      <c r="N102" s="173" t="str">
        <f t="shared" si="10"/>
        <v/>
      </c>
      <c r="O102" s="170" t="str">
        <f t="shared" si="12"/>
        <v/>
      </c>
      <c r="P102" s="104" t="str">
        <f>IF(O102="","",IFERROR(VLOOKUP(O102,HELPER!$F$8:$G$48,2,FALSE),""))</f>
        <v/>
      </c>
      <c r="Q102" s="105"/>
      <c r="R102" s="137"/>
      <c r="S102" s="137"/>
    </row>
    <row r="103" spans="1:19" ht="15" customHeight="1" x14ac:dyDescent="0.25">
      <c r="A103" s="137"/>
      <c r="B103" s="68">
        <v>38</v>
      </c>
      <c r="C103" s="249" t="str">
        <f>IF('INPUT DATA'!N48="","",'INPUT DATA'!N48)</f>
        <v/>
      </c>
      <c r="D103" s="205"/>
      <c r="E103" s="205"/>
      <c r="F103" s="167" t="str">
        <f>IF('TERM 1 M and A'!AC106="","",'TERM 1 M and A'!AC106)</f>
        <v/>
      </c>
      <c r="G103" s="167" t="str">
        <f>IF('TERM 1 PE and H'!AC106="","",'TERM 1 PE and H'!AC106)</f>
        <v/>
      </c>
      <c r="H103" s="167" t="str">
        <f t="shared" si="8"/>
        <v/>
      </c>
      <c r="I103" s="167" t="str">
        <f>IF('TERM 2 M and A'!AC106="","",'TERM 2 M and A'!AC106)</f>
        <v/>
      </c>
      <c r="J103" s="167" t="str">
        <f>IF('TERM 2 PE and H'!AC106="","",'TERM 2 PE and H'!AC106)</f>
        <v/>
      </c>
      <c r="K103" s="167" t="str">
        <f t="shared" si="9"/>
        <v/>
      </c>
      <c r="L103" s="167" t="str">
        <f>IF('TERM 3 M and A'!AC106="","",'TERM 3 M and A'!AC106)</f>
        <v/>
      </c>
      <c r="M103" s="167" t="str">
        <f>IF('TERM 3 PE and H'!AC106="","",'TERM 3 PE and H'!AC106)</f>
        <v/>
      </c>
      <c r="N103" s="173" t="str">
        <f t="shared" si="10"/>
        <v/>
      </c>
      <c r="O103" s="170" t="str">
        <f t="shared" si="12"/>
        <v/>
      </c>
      <c r="P103" s="104" t="str">
        <f>IF(O103="","",IFERROR(VLOOKUP(O103,HELPER!$F$8:$G$48,2,FALSE),""))</f>
        <v/>
      </c>
      <c r="Q103" s="105"/>
      <c r="R103" s="137"/>
      <c r="S103" s="137"/>
    </row>
    <row r="104" spans="1:19" ht="15" customHeight="1" x14ac:dyDescent="0.25">
      <c r="A104" s="137"/>
      <c r="B104" s="68">
        <v>39</v>
      </c>
      <c r="C104" s="249" t="str">
        <f>IF('INPUT DATA'!N49="","",'INPUT DATA'!N49)</f>
        <v/>
      </c>
      <c r="D104" s="205"/>
      <c r="E104" s="205"/>
      <c r="F104" s="167" t="str">
        <f>IF('TERM 1 M and A'!AC107="","",'TERM 1 M and A'!AC107)</f>
        <v/>
      </c>
      <c r="G104" s="167" t="str">
        <f>IF('TERM 1 PE and H'!AC107="","",'TERM 1 PE and H'!AC107)</f>
        <v/>
      </c>
      <c r="H104" s="167" t="str">
        <f t="shared" si="8"/>
        <v/>
      </c>
      <c r="I104" s="167" t="str">
        <f>IF('TERM 2 M and A'!AC107="","",'TERM 2 M and A'!AC107)</f>
        <v/>
      </c>
      <c r="J104" s="167" t="str">
        <f>IF('TERM 2 PE and H'!AC107="","",'TERM 2 PE and H'!AC107)</f>
        <v/>
      </c>
      <c r="K104" s="167" t="str">
        <f t="shared" si="9"/>
        <v/>
      </c>
      <c r="L104" s="167" t="str">
        <f>IF('TERM 3 M and A'!AC107="","",'TERM 3 M and A'!AC107)</f>
        <v/>
      </c>
      <c r="M104" s="167" t="str">
        <f>IF('TERM 3 PE and H'!AC107="","",'TERM 3 PE and H'!AC107)</f>
        <v/>
      </c>
      <c r="N104" s="173" t="str">
        <f t="shared" si="10"/>
        <v/>
      </c>
      <c r="O104" s="170" t="str">
        <f t="shared" si="12"/>
        <v/>
      </c>
      <c r="P104" s="104" t="str">
        <f>IF(O104="","",IFERROR(VLOOKUP(O104,HELPER!$F$8:$G$48,2,FALSE),""))</f>
        <v/>
      </c>
      <c r="Q104" s="105"/>
      <c r="R104" s="137"/>
      <c r="S104" s="137"/>
    </row>
    <row r="105" spans="1:19" ht="15" customHeight="1" x14ac:dyDescent="0.25">
      <c r="A105" s="137"/>
      <c r="B105" s="68">
        <v>40</v>
      </c>
      <c r="C105" s="249" t="str">
        <f>IF('INPUT DATA'!N50="","",'INPUT DATA'!N50)</f>
        <v/>
      </c>
      <c r="D105" s="205"/>
      <c r="E105" s="205"/>
      <c r="F105" s="167" t="str">
        <f>IF('TERM 1 M and A'!AC108="","",'TERM 1 M and A'!AC108)</f>
        <v/>
      </c>
      <c r="G105" s="167" t="str">
        <f>IF('TERM 1 PE and H'!AC108="","",'TERM 1 PE and H'!AC108)</f>
        <v/>
      </c>
      <c r="H105" s="167" t="str">
        <f t="shared" si="8"/>
        <v/>
      </c>
      <c r="I105" s="167" t="str">
        <f>IF('TERM 2 M and A'!AC108="","",'TERM 2 M and A'!AC108)</f>
        <v/>
      </c>
      <c r="J105" s="167" t="str">
        <f>IF('TERM 2 PE and H'!AC108="","",'TERM 2 PE and H'!AC108)</f>
        <v/>
      </c>
      <c r="K105" s="167" t="str">
        <f t="shared" si="9"/>
        <v/>
      </c>
      <c r="L105" s="167" t="str">
        <f>IF('TERM 3 M and A'!AC108="","",'TERM 3 M and A'!AC108)</f>
        <v/>
      </c>
      <c r="M105" s="167" t="str">
        <f>IF('TERM 3 PE and H'!AC108="","",'TERM 3 PE and H'!AC108)</f>
        <v/>
      </c>
      <c r="N105" s="173" t="str">
        <f t="shared" si="10"/>
        <v/>
      </c>
      <c r="O105" s="170" t="str">
        <f t="shared" si="12"/>
        <v/>
      </c>
      <c r="P105" s="104" t="str">
        <f>IF(O105="","",IFERROR(VLOOKUP(O105,HELPER!$F$8:$G$48,2,FALSE),""))</f>
        <v/>
      </c>
      <c r="Q105" s="105"/>
      <c r="R105" s="137"/>
      <c r="S105" s="137"/>
    </row>
    <row r="106" spans="1:19" ht="15" customHeight="1" x14ac:dyDescent="0.25">
      <c r="A106" s="137"/>
      <c r="B106" s="68">
        <v>41</v>
      </c>
      <c r="C106" s="249" t="str">
        <f>IF('INPUT DATA'!N51="","",'INPUT DATA'!N51)</f>
        <v/>
      </c>
      <c r="D106" s="205"/>
      <c r="E106" s="205"/>
      <c r="F106" s="167" t="str">
        <f>IF('TERM 1 M and A'!AC109="","",'TERM 1 M and A'!AC109)</f>
        <v/>
      </c>
      <c r="G106" s="167" t="str">
        <f>IF('TERM 1 PE and H'!AC109="","",'TERM 1 PE and H'!AC109)</f>
        <v/>
      </c>
      <c r="H106" s="167" t="str">
        <f t="shared" si="8"/>
        <v/>
      </c>
      <c r="I106" s="167" t="str">
        <f>IF('TERM 2 M and A'!AC109="","",'TERM 2 M and A'!AC109)</f>
        <v/>
      </c>
      <c r="J106" s="167" t="str">
        <f>IF('TERM 2 PE and H'!AC109="","",'TERM 2 PE and H'!AC109)</f>
        <v/>
      </c>
      <c r="K106" s="167" t="str">
        <f t="shared" si="9"/>
        <v/>
      </c>
      <c r="L106" s="167" t="str">
        <f>IF('TERM 3 M and A'!AC109="","",'TERM 3 M and A'!AC109)</f>
        <v/>
      </c>
      <c r="M106" s="167" t="str">
        <f>IF('TERM 3 PE and H'!AC109="","",'TERM 3 PE and H'!AC109)</f>
        <v/>
      </c>
      <c r="N106" s="173" t="str">
        <f t="shared" si="10"/>
        <v/>
      </c>
      <c r="O106" s="170" t="str">
        <f t="shared" si="12"/>
        <v/>
      </c>
      <c r="P106" s="104" t="str">
        <f>IF(O106="","",IFERROR(VLOOKUP(O106,HELPER!$F$8:$G$48,2,FALSE),""))</f>
        <v/>
      </c>
      <c r="Q106" s="105"/>
      <c r="R106" s="137"/>
      <c r="S106" s="137"/>
    </row>
    <row r="107" spans="1:19" ht="15" customHeight="1" x14ac:dyDescent="0.25">
      <c r="A107" s="137"/>
      <c r="B107" s="68">
        <v>42</v>
      </c>
      <c r="C107" s="249" t="str">
        <f>IF('INPUT DATA'!N52="","",'INPUT DATA'!N52)</f>
        <v/>
      </c>
      <c r="D107" s="205"/>
      <c r="E107" s="205"/>
      <c r="F107" s="167" t="str">
        <f>IF('TERM 1 M and A'!AC110="","",'TERM 1 M and A'!AC110)</f>
        <v/>
      </c>
      <c r="G107" s="167" t="str">
        <f>IF('TERM 1 PE and H'!AC110="","",'TERM 1 PE and H'!AC110)</f>
        <v/>
      </c>
      <c r="H107" s="167" t="str">
        <f t="shared" si="8"/>
        <v/>
      </c>
      <c r="I107" s="167" t="str">
        <f>IF('TERM 2 M and A'!AC110="","",'TERM 2 M and A'!AC110)</f>
        <v/>
      </c>
      <c r="J107" s="167" t="str">
        <f>IF('TERM 2 PE and H'!AC110="","",'TERM 2 PE and H'!AC110)</f>
        <v/>
      </c>
      <c r="K107" s="167" t="str">
        <f t="shared" si="9"/>
        <v/>
      </c>
      <c r="L107" s="167" t="str">
        <f>IF('TERM 3 M and A'!AC110="","",'TERM 3 M and A'!AC110)</f>
        <v/>
      </c>
      <c r="M107" s="167" t="str">
        <f>IF('TERM 3 PE and H'!AC110="","",'TERM 3 PE and H'!AC110)</f>
        <v/>
      </c>
      <c r="N107" s="173" t="str">
        <f t="shared" si="10"/>
        <v/>
      </c>
      <c r="O107" s="170" t="str">
        <f t="shared" si="12"/>
        <v/>
      </c>
      <c r="P107" s="104" t="str">
        <f>IF(O107="","",IFERROR(VLOOKUP(O107,HELPER!$F$8:$G$48,2,FALSE),""))</f>
        <v/>
      </c>
      <c r="Q107" s="105"/>
      <c r="R107" s="137"/>
      <c r="S107" s="137"/>
    </row>
    <row r="108" spans="1:19" ht="15" customHeight="1" x14ac:dyDescent="0.25">
      <c r="A108" s="137"/>
      <c r="B108" s="68">
        <v>43</v>
      </c>
      <c r="C108" s="249" t="str">
        <f>IF('INPUT DATA'!N53="","",'INPUT DATA'!N53)</f>
        <v/>
      </c>
      <c r="D108" s="205"/>
      <c r="E108" s="205"/>
      <c r="F108" s="167" t="str">
        <f>IF('TERM 1 M and A'!AC111="","",'TERM 1 M and A'!AC111)</f>
        <v/>
      </c>
      <c r="G108" s="167" t="str">
        <f>IF('TERM 1 PE and H'!AC111="","",'TERM 1 PE and H'!AC111)</f>
        <v/>
      </c>
      <c r="H108" s="167" t="str">
        <f t="shared" si="8"/>
        <v/>
      </c>
      <c r="I108" s="167" t="str">
        <f>IF('TERM 2 M and A'!AC111="","",'TERM 2 M and A'!AC111)</f>
        <v/>
      </c>
      <c r="J108" s="167" t="str">
        <f>IF('TERM 2 PE and H'!AC111="","",'TERM 2 PE and H'!AC111)</f>
        <v/>
      </c>
      <c r="K108" s="167" t="str">
        <f t="shared" si="9"/>
        <v/>
      </c>
      <c r="L108" s="167" t="str">
        <f>IF('TERM 3 M and A'!AC111="","",'TERM 3 M and A'!AC111)</f>
        <v/>
      </c>
      <c r="M108" s="167" t="str">
        <f>IF('TERM 3 PE and H'!AC111="","",'TERM 3 PE and H'!AC111)</f>
        <v/>
      </c>
      <c r="N108" s="173" t="str">
        <f t="shared" si="10"/>
        <v/>
      </c>
      <c r="O108" s="170" t="str">
        <f t="shared" si="12"/>
        <v/>
      </c>
      <c r="P108" s="104" t="str">
        <f>IF(O108="","",IFERROR(VLOOKUP(O108,HELPER!$F$8:$G$48,2,FALSE),""))</f>
        <v/>
      </c>
      <c r="Q108" s="105"/>
      <c r="R108" s="137"/>
      <c r="S108" s="137"/>
    </row>
    <row r="109" spans="1:19" ht="15" customHeight="1" x14ac:dyDescent="0.25">
      <c r="A109" s="137"/>
      <c r="B109" s="68">
        <v>44</v>
      </c>
      <c r="C109" s="249" t="str">
        <f>IF('INPUT DATA'!N54="","",'INPUT DATA'!N54)</f>
        <v/>
      </c>
      <c r="D109" s="205"/>
      <c r="E109" s="205"/>
      <c r="F109" s="167" t="str">
        <f>IF('TERM 1 M and A'!AC112="","",'TERM 1 M and A'!AC112)</f>
        <v/>
      </c>
      <c r="G109" s="167" t="str">
        <f>IF('TERM 1 PE and H'!AC112="","",'TERM 1 PE and H'!AC112)</f>
        <v/>
      </c>
      <c r="H109" s="167" t="str">
        <f t="shared" si="8"/>
        <v/>
      </c>
      <c r="I109" s="167" t="str">
        <f>IF('TERM 2 M and A'!AC112="","",'TERM 2 M and A'!AC112)</f>
        <v/>
      </c>
      <c r="J109" s="167" t="str">
        <f>IF('TERM 2 PE and H'!AC112="","",'TERM 2 PE and H'!AC112)</f>
        <v/>
      </c>
      <c r="K109" s="167" t="str">
        <f t="shared" si="9"/>
        <v/>
      </c>
      <c r="L109" s="167" t="str">
        <f>IF('TERM 3 M and A'!AC112="","",'TERM 3 M and A'!AC112)</f>
        <v/>
      </c>
      <c r="M109" s="167" t="str">
        <f>IF('TERM 3 PE and H'!AC112="","",'TERM 3 PE and H'!AC112)</f>
        <v/>
      </c>
      <c r="N109" s="173" t="str">
        <f t="shared" si="10"/>
        <v/>
      </c>
      <c r="O109" s="170" t="str">
        <f t="shared" si="12"/>
        <v/>
      </c>
      <c r="P109" s="104" t="str">
        <f>IF(O109="","",IFERROR(VLOOKUP(O109,HELPER!$F$8:$G$48,2,FALSE),""))</f>
        <v/>
      </c>
      <c r="Q109" s="105"/>
      <c r="R109" s="137"/>
      <c r="S109" s="137"/>
    </row>
    <row r="110" spans="1:19" ht="15" customHeight="1" x14ac:dyDescent="0.25">
      <c r="A110" s="137"/>
      <c r="B110" s="68">
        <v>45</v>
      </c>
      <c r="C110" s="249" t="str">
        <f>IF('INPUT DATA'!N55="","",'INPUT DATA'!N55)</f>
        <v/>
      </c>
      <c r="D110" s="205"/>
      <c r="E110" s="205"/>
      <c r="F110" s="167" t="str">
        <f>IF('TERM 1 M and A'!AC113="","",'TERM 1 M and A'!AC113)</f>
        <v/>
      </c>
      <c r="G110" s="167" t="str">
        <f>IF('TERM 1 PE and H'!AC113="","",'TERM 1 PE and H'!AC113)</f>
        <v/>
      </c>
      <c r="H110" s="167" t="str">
        <f t="shared" si="8"/>
        <v/>
      </c>
      <c r="I110" s="167" t="str">
        <f>IF('TERM 2 M and A'!AC113="","",'TERM 2 M and A'!AC113)</f>
        <v/>
      </c>
      <c r="J110" s="167" t="str">
        <f>IF('TERM 2 PE and H'!AC113="","",'TERM 2 PE and H'!AC113)</f>
        <v/>
      </c>
      <c r="K110" s="167" t="str">
        <f t="shared" si="9"/>
        <v/>
      </c>
      <c r="L110" s="167" t="str">
        <f>IF('TERM 3 M and A'!AC113="","",'TERM 3 M and A'!AC113)</f>
        <v/>
      </c>
      <c r="M110" s="167" t="str">
        <f>IF('TERM 3 PE and H'!AC113="","",'TERM 3 PE and H'!AC113)</f>
        <v/>
      </c>
      <c r="N110" s="173" t="str">
        <f t="shared" si="10"/>
        <v/>
      </c>
      <c r="O110" s="170" t="str">
        <f t="shared" si="12"/>
        <v/>
      </c>
      <c r="P110" s="104" t="str">
        <f>IF(O110="","",IFERROR(VLOOKUP(O110,HELPER!$F$8:$G$48,2,FALSE),""))</f>
        <v/>
      </c>
      <c r="Q110" s="105"/>
      <c r="R110" s="137"/>
      <c r="S110" s="137"/>
    </row>
    <row r="111" spans="1:19" ht="15" customHeight="1" x14ac:dyDescent="0.25">
      <c r="A111" s="137"/>
      <c r="B111" s="68">
        <v>46</v>
      </c>
      <c r="C111" s="249" t="str">
        <f>IF('INPUT DATA'!N56="","",'INPUT DATA'!N56)</f>
        <v/>
      </c>
      <c r="D111" s="205"/>
      <c r="E111" s="205"/>
      <c r="F111" s="167" t="str">
        <f>IF('TERM 1 M and A'!AC114="","",'TERM 1 M and A'!AC114)</f>
        <v/>
      </c>
      <c r="G111" s="167" t="str">
        <f>IF('TERM 1 PE and H'!AC114="","",'TERM 1 PE and H'!AC114)</f>
        <v/>
      </c>
      <c r="H111" s="167" t="str">
        <f t="shared" si="8"/>
        <v/>
      </c>
      <c r="I111" s="167" t="str">
        <f>IF('TERM 2 M and A'!AC114="","",'TERM 2 M and A'!AC114)</f>
        <v/>
      </c>
      <c r="J111" s="167" t="str">
        <f>IF('TERM 2 PE and H'!AC114="","",'TERM 2 PE and H'!AC114)</f>
        <v/>
      </c>
      <c r="K111" s="167" t="str">
        <f t="shared" si="9"/>
        <v/>
      </c>
      <c r="L111" s="167" t="str">
        <f>IF('TERM 3 M and A'!AC114="","",'TERM 3 M and A'!AC114)</f>
        <v/>
      </c>
      <c r="M111" s="167" t="str">
        <f>IF('TERM 3 PE and H'!AC114="","",'TERM 3 PE and H'!AC114)</f>
        <v/>
      </c>
      <c r="N111" s="173" t="str">
        <f t="shared" si="10"/>
        <v/>
      </c>
      <c r="O111" s="170" t="str">
        <f t="shared" si="12"/>
        <v/>
      </c>
      <c r="P111" s="104" t="str">
        <f>IF(O111="","",IFERROR(VLOOKUP(O111,HELPER!$F$8:$G$48,2,FALSE),""))</f>
        <v/>
      </c>
      <c r="Q111" s="105"/>
      <c r="R111" s="137"/>
      <c r="S111" s="137"/>
    </row>
    <row r="112" spans="1:19" ht="15" customHeight="1" x14ac:dyDescent="0.25">
      <c r="A112" s="137"/>
      <c r="B112" s="68">
        <v>47</v>
      </c>
      <c r="C112" s="249" t="str">
        <f>IF('INPUT DATA'!N57="","",'INPUT DATA'!N57)</f>
        <v/>
      </c>
      <c r="D112" s="205"/>
      <c r="E112" s="205"/>
      <c r="F112" s="167" t="str">
        <f>IF('TERM 1 M and A'!AC115="","",'TERM 1 M and A'!AC115)</f>
        <v/>
      </c>
      <c r="G112" s="167" t="str">
        <f>IF('TERM 1 PE and H'!AC115="","",'TERM 1 PE and H'!AC115)</f>
        <v/>
      </c>
      <c r="H112" s="167" t="str">
        <f t="shared" si="8"/>
        <v/>
      </c>
      <c r="I112" s="167" t="str">
        <f>IF('TERM 2 M and A'!AC115="","",'TERM 2 M and A'!AC115)</f>
        <v/>
      </c>
      <c r="J112" s="167" t="str">
        <f>IF('TERM 2 PE and H'!AC115="","",'TERM 2 PE and H'!AC115)</f>
        <v/>
      </c>
      <c r="K112" s="167" t="str">
        <f t="shared" si="9"/>
        <v/>
      </c>
      <c r="L112" s="167" t="str">
        <f>IF('TERM 3 M and A'!AC115="","",'TERM 3 M and A'!AC115)</f>
        <v/>
      </c>
      <c r="M112" s="167" t="str">
        <f>IF('TERM 3 PE and H'!AC115="","",'TERM 3 PE and H'!AC115)</f>
        <v/>
      </c>
      <c r="N112" s="173" t="str">
        <f t="shared" si="10"/>
        <v/>
      </c>
      <c r="O112" s="170" t="str">
        <f t="shared" si="12"/>
        <v/>
      </c>
      <c r="P112" s="104" t="str">
        <f>IF(O112="","",IFERROR(VLOOKUP(O112,HELPER!$F$8:$G$48,2,FALSE),""))</f>
        <v/>
      </c>
      <c r="Q112" s="105"/>
      <c r="R112" s="137"/>
      <c r="S112" s="137"/>
    </row>
    <row r="113" spans="1:19" ht="15" customHeight="1" x14ac:dyDescent="0.25">
      <c r="A113" s="137"/>
      <c r="B113" s="68">
        <v>48</v>
      </c>
      <c r="C113" s="249" t="str">
        <f>IF('INPUT DATA'!N58="","",'INPUT DATA'!N58)</f>
        <v/>
      </c>
      <c r="D113" s="205"/>
      <c r="E113" s="205"/>
      <c r="F113" s="167" t="str">
        <f>IF('TERM 1 M and A'!AC116="","",'TERM 1 M and A'!AC116)</f>
        <v/>
      </c>
      <c r="G113" s="167" t="str">
        <f>IF('TERM 1 PE and H'!AC116="","",'TERM 1 PE and H'!AC116)</f>
        <v/>
      </c>
      <c r="H113" s="167" t="str">
        <f t="shared" si="8"/>
        <v/>
      </c>
      <c r="I113" s="167" t="str">
        <f>IF('TERM 2 M and A'!AC116="","",'TERM 2 M and A'!AC116)</f>
        <v/>
      </c>
      <c r="J113" s="167" t="str">
        <f>IF('TERM 2 PE and H'!AC116="","",'TERM 2 PE and H'!AC116)</f>
        <v/>
      </c>
      <c r="K113" s="167" t="str">
        <f t="shared" si="9"/>
        <v/>
      </c>
      <c r="L113" s="167" t="str">
        <f>IF('TERM 3 M and A'!AC116="","",'TERM 3 M and A'!AC116)</f>
        <v/>
      </c>
      <c r="M113" s="167" t="str">
        <f>IF('TERM 3 PE and H'!AC116="","",'TERM 3 PE and H'!AC116)</f>
        <v/>
      </c>
      <c r="N113" s="173" t="str">
        <f t="shared" si="10"/>
        <v/>
      </c>
      <c r="O113" s="170" t="str">
        <f t="shared" si="12"/>
        <v/>
      </c>
      <c r="P113" s="104" t="str">
        <f>IF(O113="","",IFERROR(VLOOKUP(O113,HELPER!$F$8:$G$48,2,FALSE),""))</f>
        <v/>
      </c>
      <c r="Q113" s="105"/>
      <c r="R113" s="137"/>
      <c r="S113" s="137"/>
    </row>
    <row r="114" spans="1:19" ht="15" customHeight="1" x14ac:dyDescent="0.25">
      <c r="A114" s="137"/>
      <c r="B114" s="68">
        <v>49</v>
      </c>
      <c r="C114" s="249" t="str">
        <f>IF('INPUT DATA'!N59="","",'INPUT DATA'!N59)</f>
        <v/>
      </c>
      <c r="D114" s="205"/>
      <c r="E114" s="205"/>
      <c r="F114" s="167" t="str">
        <f>IF('TERM 1 M and A'!AC117="","",'TERM 1 M and A'!AC117)</f>
        <v/>
      </c>
      <c r="G114" s="167" t="str">
        <f>IF('TERM 1 PE and H'!AC117="","",'TERM 1 PE and H'!AC117)</f>
        <v/>
      </c>
      <c r="H114" s="167" t="str">
        <f t="shared" si="8"/>
        <v/>
      </c>
      <c r="I114" s="167" t="str">
        <f>IF('TERM 2 M and A'!AC117="","",'TERM 2 M and A'!AC117)</f>
        <v/>
      </c>
      <c r="J114" s="167" t="str">
        <f>IF('TERM 2 PE and H'!AC117="","",'TERM 2 PE and H'!AC117)</f>
        <v/>
      </c>
      <c r="K114" s="167" t="str">
        <f t="shared" si="9"/>
        <v/>
      </c>
      <c r="L114" s="167" t="str">
        <f>IF('TERM 3 M and A'!AC117="","",'TERM 3 M and A'!AC117)</f>
        <v/>
      </c>
      <c r="M114" s="167" t="str">
        <f>IF('TERM 3 PE and H'!AC117="","",'TERM 3 PE and H'!AC117)</f>
        <v/>
      </c>
      <c r="N114" s="173" t="str">
        <f t="shared" si="10"/>
        <v/>
      </c>
      <c r="O114" s="170" t="str">
        <f t="shared" si="12"/>
        <v/>
      </c>
      <c r="P114" s="104" t="str">
        <f>IF(O114="","",IFERROR(VLOOKUP(O114,HELPER!$F$8:$G$48,2,FALSE),""))</f>
        <v/>
      </c>
      <c r="Q114" s="105"/>
      <c r="R114" s="137"/>
      <c r="S114" s="137"/>
    </row>
    <row r="115" spans="1:19" ht="15" customHeight="1" thickBot="1" x14ac:dyDescent="0.3">
      <c r="A115" s="137"/>
      <c r="B115" s="69">
        <v>50</v>
      </c>
      <c r="C115" s="261" t="str">
        <f>IF('INPUT DATA'!N60="","",'INPUT DATA'!N60)</f>
        <v/>
      </c>
      <c r="D115" s="262"/>
      <c r="E115" s="262"/>
      <c r="F115" s="168" t="str">
        <f>IF('TERM 1 M and A'!AC118="","",'TERM 1 M and A'!AC118)</f>
        <v/>
      </c>
      <c r="G115" s="168" t="str">
        <f>IF('TERM 1 PE and H'!AC118="","",'TERM 1 PE and H'!AC118)</f>
        <v/>
      </c>
      <c r="H115" s="168" t="str">
        <f t="shared" si="8"/>
        <v/>
      </c>
      <c r="I115" s="168" t="str">
        <f>IF('TERM 2 M and A'!AC118="","",'TERM 2 M and A'!AC118)</f>
        <v/>
      </c>
      <c r="J115" s="168" t="str">
        <f>IF('TERM 2 PE and H'!AC118="","",'TERM 2 PE and H'!AC118)</f>
        <v/>
      </c>
      <c r="K115" s="168" t="str">
        <f t="shared" si="9"/>
        <v/>
      </c>
      <c r="L115" s="168" t="str">
        <f>IF('TERM 3 M and A'!AC118="","",'TERM 3 M and A'!AC118)</f>
        <v/>
      </c>
      <c r="M115" s="168" t="str">
        <f>IF('TERM 3 PE and H'!AC118="","",'TERM 3 PE and H'!AC118)</f>
        <v/>
      </c>
      <c r="N115" s="174" t="str">
        <f t="shared" si="10"/>
        <v/>
      </c>
      <c r="O115" s="171" t="str">
        <f t="shared" si="12"/>
        <v/>
      </c>
      <c r="P115" s="106" t="str">
        <f>IF(O115="","",IFERROR(VLOOKUP(O115,HELPER!$F$8:$G$48,2,FALSE),""))</f>
        <v/>
      </c>
      <c r="Q115" s="107"/>
      <c r="R115" s="137"/>
      <c r="S115" s="137"/>
    </row>
    <row r="116" spans="1:19" ht="13.2" customHeight="1" x14ac:dyDescent="0.25">
      <c r="A116" s="137"/>
      <c r="B116" s="137"/>
      <c r="C116" s="260"/>
      <c r="D116" s="188"/>
      <c r="E116" s="188"/>
      <c r="F116" s="137"/>
      <c r="G116" s="137"/>
      <c r="H116" s="137"/>
      <c r="I116" s="137"/>
      <c r="J116" s="137"/>
      <c r="K116" s="137"/>
      <c r="L116" s="137"/>
      <c r="M116" s="137"/>
      <c r="N116" s="137"/>
      <c r="O116" s="137"/>
      <c r="P116" s="137"/>
      <c r="Q116" s="137"/>
      <c r="R116" s="137"/>
      <c r="S116" s="137"/>
    </row>
    <row r="117" spans="1:19" ht="13.2" customHeight="1" x14ac:dyDescent="0.25">
      <c r="A117" s="137"/>
      <c r="B117" s="137"/>
      <c r="C117" s="137"/>
      <c r="D117" s="137"/>
      <c r="E117" s="137"/>
      <c r="F117" s="137"/>
      <c r="G117" s="137"/>
      <c r="H117" s="137"/>
      <c r="I117" s="137"/>
      <c r="J117" s="137"/>
      <c r="K117" s="137"/>
      <c r="L117" s="137"/>
      <c r="M117" s="137"/>
      <c r="N117" s="137"/>
      <c r="O117" s="137"/>
      <c r="P117" s="137"/>
      <c r="Q117" s="137"/>
      <c r="R117" s="137"/>
      <c r="S117" s="137"/>
    </row>
    <row r="118" spans="1:19" ht="13.2" customHeight="1" x14ac:dyDescent="0.25">
      <c r="F118" s="18"/>
      <c r="G118" s="18"/>
      <c r="H118" s="18"/>
      <c r="I118" s="18"/>
      <c r="J118" s="18"/>
      <c r="K118" s="18"/>
      <c r="L118" s="18"/>
      <c r="M118" s="18"/>
      <c r="N118" s="18"/>
      <c r="O118" s="18"/>
      <c r="P118" s="18"/>
      <c r="Q118" s="18"/>
    </row>
  </sheetData>
  <sheetProtection algorithmName="SHA-512" hashValue="as7Pn41Ca41YRm1epvcfP/R5vUovd1Wbxasiy4rc2EPHjW4wLQNYIvic7ysmNh2fdlwgPoz1lmDZ8XnKjO9W2Q==" saltValue="TFI6ayyoUqtshL83FLP1XQ==" spinCount="100000" sheet="1" objects="1" scenarios="1" formatCells="0" formatColumns="0" formatRows="0"/>
  <mergeCells count="128">
    <mergeCell ref="B2:Q3"/>
    <mergeCell ref="C27:E27"/>
    <mergeCell ref="C76:E76"/>
    <mergeCell ref="C110:E110"/>
    <mergeCell ref="C17:E17"/>
    <mergeCell ref="L9:Q9"/>
    <mergeCell ref="C82:E82"/>
    <mergeCell ref="C108:E108"/>
    <mergeCell ref="C107:E107"/>
    <mergeCell ref="C56:E56"/>
    <mergeCell ref="C90:E90"/>
    <mergeCell ref="C105:E105"/>
    <mergeCell ref="C43:E43"/>
    <mergeCell ref="D6:L6"/>
    <mergeCell ref="C20:E20"/>
    <mergeCell ref="C25:E25"/>
    <mergeCell ref="O5:Q5"/>
    <mergeCell ref="C22:E22"/>
    <mergeCell ref="O11:O13"/>
    <mergeCell ref="Q11:Q13"/>
    <mergeCell ref="I12:K12"/>
    <mergeCell ref="C32:E32"/>
    <mergeCell ref="D5:F5"/>
    <mergeCell ref="C15:E15"/>
    <mergeCell ref="T14:W14"/>
    <mergeCell ref="C66:E66"/>
    <mergeCell ref="C19:E19"/>
    <mergeCell ref="C102:E102"/>
    <mergeCell ref="C53:E53"/>
    <mergeCell ref="B10:C10"/>
    <mergeCell ref="G5:H5"/>
    <mergeCell ref="C86:E86"/>
    <mergeCell ref="C68:E68"/>
    <mergeCell ref="C83:E83"/>
    <mergeCell ref="C58:E58"/>
    <mergeCell ref="B14:Q14"/>
    <mergeCell ref="C45:E45"/>
    <mergeCell ref="C97:E97"/>
    <mergeCell ref="C29:E29"/>
    <mergeCell ref="C100:E100"/>
    <mergeCell ref="O6:Q6"/>
    <mergeCell ref="B8:Q8"/>
    <mergeCell ref="P11:P13"/>
    <mergeCell ref="C64:E64"/>
    <mergeCell ref="C54:E54"/>
    <mergeCell ref="C41:E41"/>
    <mergeCell ref="C93:E93"/>
    <mergeCell ref="B65:Q65"/>
    <mergeCell ref="C73:E73"/>
    <mergeCell ref="C88:E88"/>
    <mergeCell ref="C26:E26"/>
    <mergeCell ref="L12:N12"/>
    <mergeCell ref="C35:E35"/>
    <mergeCell ref="C63:E63"/>
    <mergeCell ref="C16:E16"/>
    <mergeCell ref="C50:E50"/>
    <mergeCell ref="C55:E55"/>
    <mergeCell ref="C36:E36"/>
    <mergeCell ref="C67:E67"/>
    <mergeCell ref="C72:E72"/>
    <mergeCell ref="C28:E28"/>
    <mergeCell ref="C37:E37"/>
    <mergeCell ref="C69:E69"/>
    <mergeCell ref="C78:E78"/>
    <mergeCell ref="C30:E30"/>
    <mergeCell ref="C62:E62"/>
    <mergeCell ref="C103:E103"/>
    <mergeCell ref="C85:E85"/>
    <mergeCell ref="C112:E112"/>
    <mergeCell ref="C94:E94"/>
    <mergeCell ref="C99:E99"/>
    <mergeCell ref="C75:E75"/>
    <mergeCell ref="C84:E84"/>
    <mergeCell ref="C91:E91"/>
    <mergeCell ref="C116:E116"/>
    <mergeCell ref="C79:E79"/>
    <mergeCell ref="C115:E115"/>
    <mergeCell ref="C96:E96"/>
    <mergeCell ref="C92:E92"/>
    <mergeCell ref="C98:E98"/>
    <mergeCell ref="B9:C9"/>
    <mergeCell ref="F11:N11"/>
    <mergeCell ref="L10:Q10"/>
    <mergeCell ref="C23:E23"/>
    <mergeCell ref="F12:H12"/>
    <mergeCell ref="D10:I10"/>
    <mergeCell ref="J10:K10"/>
    <mergeCell ref="J9:K9"/>
    <mergeCell ref="C114:E114"/>
    <mergeCell ref="C59:E59"/>
    <mergeCell ref="C46:E46"/>
    <mergeCell ref="C52:E52"/>
    <mergeCell ref="C61:E61"/>
    <mergeCell ref="C39:E39"/>
    <mergeCell ref="C70:E70"/>
    <mergeCell ref="C48:E48"/>
    <mergeCell ref="C106:E106"/>
    <mergeCell ref="C81:E81"/>
    <mergeCell ref="C87:E87"/>
    <mergeCell ref="C89:E89"/>
    <mergeCell ref="C104:E104"/>
    <mergeCell ref="C111:E111"/>
    <mergeCell ref="C109:E109"/>
    <mergeCell ref="C113:E113"/>
    <mergeCell ref="I5:L5"/>
    <mergeCell ref="C57:E57"/>
    <mergeCell ref="C18:E18"/>
    <mergeCell ref="C49:E49"/>
    <mergeCell ref="C101:E101"/>
    <mergeCell ref="B11:E13"/>
    <mergeCell ref="C77:E77"/>
    <mergeCell ref="C34:E34"/>
    <mergeCell ref="C42:E42"/>
    <mergeCell ref="C74:E74"/>
    <mergeCell ref="C44:E44"/>
    <mergeCell ref="C80:E80"/>
    <mergeCell ref="C31:E31"/>
    <mergeCell ref="C40:E40"/>
    <mergeCell ref="C21:E21"/>
    <mergeCell ref="C51:E51"/>
    <mergeCell ref="C95:E95"/>
    <mergeCell ref="C60:E60"/>
    <mergeCell ref="C71:E71"/>
    <mergeCell ref="C38:E38"/>
    <mergeCell ref="C47:E47"/>
    <mergeCell ref="C24:E24"/>
    <mergeCell ref="C33:E33"/>
    <mergeCell ref="D9:I9"/>
  </mergeCells>
  <pageMargins left="0.7" right="0.7" top="0.75" bottom="0.75" header="0.3" footer="0.3"/>
  <pageSetup paperSize="9" scale="61" fitToHeight="0" orientation="portrait"/>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0000"/>
    <outlinePr summaryBelow="0" summaryRight="0"/>
  </sheetPr>
  <dimension ref="A2:I50"/>
  <sheetViews>
    <sheetView showGridLines="0" workbookViewId="0">
      <pane ySplit="7" topLeftCell="A26" activePane="bottomLeft" state="frozen"/>
      <selection pane="bottomLeft" activeCell="E60" sqref="E60"/>
    </sheetView>
  </sheetViews>
  <sheetFormatPr defaultColWidth="12.6640625" defaultRowHeight="15.75" customHeight="1" x14ac:dyDescent="0.25"/>
  <cols>
    <col min="1" max="1" width="3.88671875" style="138" customWidth="1"/>
    <col min="2" max="3" width="15.109375" style="138" customWidth="1"/>
    <col min="4" max="4" width="21.109375" style="138" customWidth="1"/>
    <col min="6" max="7" width="17.44140625" style="138" customWidth="1"/>
    <col min="8" max="8" width="25.44140625" style="138" customWidth="1"/>
    <col min="9" max="9" width="3.88671875" style="138" customWidth="1"/>
  </cols>
  <sheetData>
    <row r="2" spans="1:9" ht="37.200000000000003" customHeight="1" x14ac:dyDescent="0.65">
      <c r="B2" s="19" t="s">
        <v>51</v>
      </c>
      <c r="C2" s="20"/>
    </row>
    <row r="3" spans="1:9" ht="36" customHeight="1" x14ac:dyDescent="0.5">
      <c r="B3" s="21" t="s">
        <v>52</v>
      </c>
      <c r="C3" s="20"/>
    </row>
    <row r="5" spans="1:9" ht="15.75" customHeight="1" thickBot="1" x14ac:dyDescent="0.3"/>
    <row r="6" spans="1:9" ht="15.75" customHeight="1" thickBot="1" x14ac:dyDescent="0.35">
      <c r="A6" s="22"/>
      <c r="B6" s="283" t="s">
        <v>53</v>
      </c>
      <c r="C6" s="188"/>
      <c r="D6" s="188"/>
      <c r="E6" s="23"/>
      <c r="F6" s="285" t="s">
        <v>45</v>
      </c>
      <c r="G6" s="197"/>
      <c r="H6" s="198"/>
      <c r="I6" s="22"/>
    </row>
    <row r="7" spans="1:9" ht="15.75" customHeight="1" thickBot="1" x14ac:dyDescent="0.35">
      <c r="B7" s="55" t="s">
        <v>54</v>
      </c>
      <c r="C7" s="56" t="s">
        <v>55</v>
      </c>
      <c r="D7" s="57" t="s">
        <v>56</v>
      </c>
      <c r="E7" s="23"/>
      <c r="F7" s="60" t="s">
        <v>57</v>
      </c>
      <c r="G7" s="61" t="s">
        <v>28</v>
      </c>
      <c r="H7" s="62" t="s">
        <v>58</v>
      </c>
    </row>
    <row r="8" spans="1:9" ht="15.75" customHeight="1" x14ac:dyDescent="0.3">
      <c r="B8" s="52">
        <v>99.5</v>
      </c>
      <c r="C8" s="53">
        <v>100</v>
      </c>
      <c r="D8" s="54">
        <v>100</v>
      </c>
      <c r="F8" s="58">
        <v>100</v>
      </c>
      <c r="G8" s="59" t="s">
        <v>59</v>
      </c>
      <c r="H8" s="284" t="s">
        <v>60</v>
      </c>
    </row>
    <row r="9" spans="1:9" ht="15.75" customHeight="1" x14ac:dyDescent="0.3">
      <c r="B9" s="46">
        <v>98.32</v>
      </c>
      <c r="C9" s="42">
        <v>99.49</v>
      </c>
      <c r="D9" s="45">
        <v>99</v>
      </c>
      <c r="F9" s="24">
        <v>99</v>
      </c>
      <c r="G9" s="25" t="s">
        <v>59</v>
      </c>
      <c r="H9" s="279"/>
    </row>
    <row r="10" spans="1:9" ht="15.75" customHeight="1" x14ac:dyDescent="0.3">
      <c r="B10" s="46">
        <v>97.14</v>
      </c>
      <c r="C10" s="42">
        <v>98.31</v>
      </c>
      <c r="D10" s="45">
        <v>98</v>
      </c>
      <c r="F10" s="24">
        <v>98</v>
      </c>
      <c r="G10" s="25" t="s">
        <v>59</v>
      </c>
      <c r="H10" s="279"/>
    </row>
    <row r="11" spans="1:9" ht="15.75" customHeight="1" x14ac:dyDescent="0.3">
      <c r="B11" s="46">
        <v>95.96</v>
      </c>
      <c r="C11" s="42">
        <v>97.13</v>
      </c>
      <c r="D11" s="45">
        <v>97</v>
      </c>
      <c r="F11" s="24">
        <v>97</v>
      </c>
      <c r="G11" s="25" t="s">
        <v>59</v>
      </c>
      <c r="H11" s="279"/>
    </row>
    <row r="12" spans="1:9" ht="15.75" customHeight="1" x14ac:dyDescent="0.3">
      <c r="B12" s="46">
        <v>94.78</v>
      </c>
      <c r="C12" s="42">
        <v>95.95</v>
      </c>
      <c r="D12" s="45">
        <v>96</v>
      </c>
      <c r="F12" s="24">
        <v>96</v>
      </c>
      <c r="G12" s="25" t="s">
        <v>59</v>
      </c>
      <c r="H12" s="279"/>
    </row>
    <row r="13" spans="1:9" ht="15.75" customHeight="1" x14ac:dyDescent="0.3">
      <c r="B13" s="44">
        <v>93.6</v>
      </c>
      <c r="C13" s="42">
        <v>94.77</v>
      </c>
      <c r="D13" s="45">
        <v>95</v>
      </c>
      <c r="F13" s="24">
        <v>95</v>
      </c>
      <c r="G13" s="25" t="s">
        <v>59</v>
      </c>
      <c r="H13" s="279"/>
    </row>
    <row r="14" spans="1:9" ht="15.75" customHeight="1" x14ac:dyDescent="0.3">
      <c r="B14" s="46">
        <v>92.42</v>
      </c>
      <c r="C14" s="42">
        <v>93.59</v>
      </c>
      <c r="D14" s="45">
        <v>94</v>
      </c>
      <c r="F14" s="24">
        <v>94</v>
      </c>
      <c r="G14" s="25" t="s">
        <v>59</v>
      </c>
      <c r="H14" s="279"/>
    </row>
    <row r="15" spans="1:9" ht="15.75" customHeight="1" x14ac:dyDescent="0.3">
      <c r="B15" s="46">
        <v>91.24</v>
      </c>
      <c r="C15" s="42">
        <v>92.41</v>
      </c>
      <c r="D15" s="45">
        <v>93</v>
      </c>
      <c r="F15" s="24">
        <v>93</v>
      </c>
      <c r="G15" s="25" t="s">
        <v>59</v>
      </c>
      <c r="H15" s="279"/>
    </row>
    <row r="16" spans="1:9" ht="15.75" customHeight="1" x14ac:dyDescent="0.3">
      <c r="B16" s="46">
        <v>90.06</v>
      </c>
      <c r="C16" s="42">
        <v>91.23</v>
      </c>
      <c r="D16" s="45">
        <v>92</v>
      </c>
      <c r="F16" s="24">
        <v>92</v>
      </c>
      <c r="G16" s="25" t="s">
        <v>59</v>
      </c>
      <c r="H16" s="279"/>
    </row>
    <row r="17" spans="2:8" ht="15.75" customHeight="1" x14ac:dyDescent="0.3">
      <c r="B17" s="46">
        <v>88.88</v>
      </c>
      <c r="C17" s="42">
        <v>90.05</v>
      </c>
      <c r="D17" s="45">
        <v>91</v>
      </c>
      <c r="F17" s="24">
        <v>91</v>
      </c>
      <c r="G17" s="25" t="s">
        <v>59</v>
      </c>
      <c r="H17" s="279"/>
    </row>
    <row r="18" spans="2:8" ht="15.75" customHeight="1" x14ac:dyDescent="0.3">
      <c r="B18" s="44">
        <v>87.7</v>
      </c>
      <c r="C18" s="42">
        <v>88.87</v>
      </c>
      <c r="D18" s="45">
        <v>90</v>
      </c>
      <c r="F18" s="24">
        <v>90</v>
      </c>
      <c r="G18" s="25" t="s">
        <v>59</v>
      </c>
      <c r="H18" s="282"/>
    </row>
    <row r="19" spans="2:8" ht="15.75" customHeight="1" x14ac:dyDescent="0.3">
      <c r="B19" s="46">
        <v>86.52</v>
      </c>
      <c r="C19" s="42">
        <v>87.69</v>
      </c>
      <c r="D19" s="45">
        <v>89</v>
      </c>
      <c r="F19" s="24">
        <v>89</v>
      </c>
      <c r="G19" s="25" t="s">
        <v>61</v>
      </c>
      <c r="H19" s="281" t="s">
        <v>62</v>
      </c>
    </row>
    <row r="20" spans="2:8" ht="15.75" customHeight="1" x14ac:dyDescent="0.3">
      <c r="B20" s="46">
        <v>85.34</v>
      </c>
      <c r="C20" s="42">
        <v>86.51</v>
      </c>
      <c r="D20" s="45">
        <v>88</v>
      </c>
      <c r="F20" s="24">
        <v>88</v>
      </c>
      <c r="G20" s="25" t="s">
        <v>61</v>
      </c>
      <c r="H20" s="279"/>
    </row>
    <row r="21" spans="2:8" ht="15.75" customHeight="1" x14ac:dyDescent="0.3">
      <c r="B21" s="46">
        <v>84.16</v>
      </c>
      <c r="C21" s="42">
        <v>85.33</v>
      </c>
      <c r="D21" s="45">
        <v>87</v>
      </c>
      <c r="F21" s="24">
        <v>87</v>
      </c>
      <c r="G21" s="25" t="s">
        <v>61</v>
      </c>
      <c r="H21" s="279"/>
    </row>
    <row r="22" spans="2:8" ht="15.75" customHeight="1" x14ac:dyDescent="0.3">
      <c r="B22" s="46">
        <v>82.98</v>
      </c>
      <c r="C22" s="42">
        <v>84.15</v>
      </c>
      <c r="D22" s="45">
        <v>86</v>
      </c>
      <c r="F22" s="24">
        <v>86</v>
      </c>
      <c r="G22" s="25" t="s">
        <v>61</v>
      </c>
      <c r="H22" s="279"/>
    </row>
    <row r="23" spans="2:8" ht="15.75" customHeight="1" x14ac:dyDescent="0.3">
      <c r="B23" s="46">
        <v>81.8</v>
      </c>
      <c r="C23" s="42">
        <v>82.97</v>
      </c>
      <c r="D23" s="45">
        <v>85</v>
      </c>
      <c r="F23" s="24">
        <v>85</v>
      </c>
      <c r="G23" s="25" t="s">
        <v>61</v>
      </c>
      <c r="H23" s="279"/>
    </row>
    <row r="24" spans="2:8" ht="15.75" customHeight="1" x14ac:dyDescent="0.3">
      <c r="B24" s="46">
        <v>80.62</v>
      </c>
      <c r="C24" s="42">
        <v>81.790000000000006</v>
      </c>
      <c r="D24" s="45">
        <v>84</v>
      </c>
      <c r="F24" s="24">
        <v>84</v>
      </c>
      <c r="G24" s="25" t="s">
        <v>61</v>
      </c>
      <c r="H24" s="279"/>
    </row>
    <row r="25" spans="2:8" ht="15.75" customHeight="1" x14ac:dyDescent="0.3">
      <c r="B25" s="46">
        <v>79.44</v>
      </c>
      <c r="C25" s="42">
        <v>80.61</v>
      </c>
      <c r="D25" s="45">
        <v>83</v>
      </c>
      <c r="F25" s="24">
        <v>83</v>
      </c>
      <c r="G25" s="25" t="s">
        <v>61</v>
      </c>
      <c r="H25" s="279"/>
    </row>
    <row r="26" spans="2:8" ht="15.75" customHeight="1" x14ac:dyDescent="0.3">
      <c r="B26" s="46">
        <v>78.260000000000005</v>
      </c>
      <c r="C26" s="42">
        <v>79.430000000000007</v>
      </c>
      <c r="D26" s="45">
        <v>82</v>
      </c>
      <c r="F26" s="24">
        <v>82</v>
      </c>
      <c r="G26" s="25" t="s">
        <v>61</v>
      </c>
      <c r="H26" s="279"/>
    </row>
    <row r="27" spans="2:8" ht="15.75" customHeight="1" x14ac:dyDescent="0.3">
      <c r="B27" s="46">
        <v>77.08</v>
      </c>
      <c r="C27" s="42">
        <v>78.25</v>
      </c>
      <c r="D27" s="45">
        <v>81</v>
      </c>
      <c r="F27" s="24">
        <v>81</v>
      </c>
      <c r="G27" s="25" t="s">
        <v>61</v>
      </c>
      <c r="H27" s="279"/>
    </row>
    <row r="28" spans="2:8" ht="15.75" customHeight="1" x14ac:dyDescent="0.3">
      <c r="B28" s="46">
        <v>75.900000000000006</v>
      </c>
      <c r="C28" s="42">
        <v>77.069999999999993</v>
      </c>
      <c r="D28" s="45">
        <v>80</v>
      </c>
      <c r="F28" s="24">
        <v>80</v>
      </c>
      <c r="G28" s="25" t="s">
        <v>61</v>
      </c>
      <c r="H28" s="282"/>
    </row>
    <row r="29" spans="2:8" ht="15.75" customHeight="1" x14ac:dyDescent="0.3">
      <c r="B29" s="46">
        <v>74.72</v>
      </c>
      <c r="C29" s="42">
        <v>75.89</v>
      </c>
      <c r="D29" s="45">
        <v>79</v>
      </c>
      <c r="F29" s="24">
        <v>79</v>
      </c>
      <c r="G29" s="25" t="s">
        <v>63</v>
      </c>
      <c r="H29" s="281" t="s">
        <v>64</v>
      </c>
    </row>
    <row r="30" spans="2:8" ht="15.75" customHeight="1" x14ac:dyDescent="0.3">
      <c r="B30" s="46">
        <v>73.540000000000006</v>
      </c>
      <c r="C30" s="42">
        <v>74.709999999999994</v>
      </c>
      <c r="D30" s="45">
        <v>78</v>
      </c>
      <c r="F30" s="24">
        <v>78</v>
      </c>
      <c r="G30" s="25" t="s">
        <v>63</v>
      </c>
      <c r="H30" s="279"/>
    </row>
    <row r="31" spans="2:8" ht="15.75" customHeight="1" x14ac:dyDescent="0.3">
      <c r="B31" s="46">
        <v>72.36</v>
      </c>
      <c r="C31" s="42">
        <v>73.53</v>
      </c>
      <c r="D31" s="45">
        <v>77</v>
      </c>
      <c r="F31" s="24">
        <v>77</v>
      </c>
      <c r="G31" s="25" t="s">
        <v>63</v>
      </c>
      <c r="H31" s="279"/>
    </row>
    <row r="32" spans="2:8" ht="15.75" customHeight="1" x14ac:dyDescent="0.3">
      <c r="B32" s="46">
        <v>71.180000000000007</v>
      </c>
      <c r="C32" s="42">
        <v>72.349999999999994</v>
      </c>
      <c r="D32" s="45">
        <v>76</v>
      </c>
      <c r="F32" s="24">
        <v>76</v>
      </c>
      <c r="G32" s="25" t="s">
        <v>63</v>
      </c>
      <c r="H32" s="279"/>
    </row>
    <row r="33" spans="2:8" ht="15.75" customHeight="1" x14ac:dyDescent="0.3">
      <c r="B33" s="47">
        <v>70</v>
      </c>
      <c r="C33" s="43">
        <v>71.17</v>
      </c>
      <c r="D33" s="48">
        <v>75</v>
      </c>
      <c r="F33" s="24">
        <v>75</v>
      </c>
      <c r="G33" s="25" t="s">
        <v>63</v>
      </c>
      <c r="H33" s="282"/>
    </row>
    <row r="34" spans="2:8" ht="15.6" customHeight="1" x14ac:dyDescent="0.3">
      <c r="B34" s="46">
        <v>65.34</v>
      </c>
      <c r="C34" s="42">
        <v>69.989999999999995</v>
      </c>
      <c r="D34" s="45">
        <v>74</v>
      </c>
      <c r="F34" s="24">
        <v>74</v>
      </c>
      <c r="G34" s="25" t="s">
        <v>65</v>
      </c>
      <c r="H34" s="281" t="s">
        <v>66</v>
      </c>
    </row>
    <row r="35" spans="2:8" ht="15.6" customHeight="1" x14ac:dyDescent="0.3">
      <c r="B35" s="46">
        <v>60.67</v>
      </c>
      <c r="C35" s="42">
        <v>65.33</v>
      </c>
      <c r="D35" s="45">
        <v>73</v>
      </c>
      <c r="F35" s="24">
        <v>73</v>
      </c>
      <c r="G35" s="25" t="s">
        <v>65</v>
      </c>
      <c r="H35" s="279"/>
    </row>
    <row r="36" spans="2:8" ht="15.6" customHeight="1" x14ac:dyDescent="0.3">
      <c r="B36" s="46">
        <v>56.01</v>
      </c>
      <c r="C36" s="42">
        <v>60.66</v>
      </c>
      <c r="D36" s="45">
        <v>72</v>
      </c>
      <c r="F36" s="24">
        <v>72</v>
      </c>
      <c r="G36" s="25" t="s">
        <v>65</v>
      </c>
      <c r="H36" s="279"/>
    </row>
    <row r="37" spans="2:8" ht="15.6" customHeight="1" x14ac:dyDescent="0.3">
      <c r="B37" s="46">
        <v>51.34</v>
      </c>
      <c r="C37" s="41">
        <v>56</v>
      </c>
      <c r="D37" s="45">
        <v>71</v>
      </c>
      <c r="F37" s="24">
        <v>71</v>
      </c>
      <c r="G37" s="25" t="s">
        <v>65</v>
      </c>
      <c r="H37" s="279"/>
    </row>
    <row r="38" spans="2:8" ht="15.6" customHeight="1" x14ac:dyDescent="0.3">
      <c r="B38" s="46">
        <v>46.67</v>
      </c>
      <c r="C38" s="42">
        <v>51.33</v>
      </c>
      <c r="D38" s="45">
        <v>70</v>
      </c>
      <c r="F38" s="24">
        <v>70</v>
      </c>
      <c r="G38" s="25" t="s">
        <v>65</v>
      </c>
      <c r="H38" s="279"/>
    </row>
    <row r="39" spans="2:8" ht="15.6" customHeight="1" x14ac:dyDescent="0.3">
      <c r="B39" s="46">
        <v>42.01</v>
      </c>
      <c r="C39" s="42">
        <v>46.66</v>
      </c>
      <c r="D39" s="45">
        <v>69</v>
      </c>
      <c r="F39" s="24">
        <v>69</v>
      </c>
      <c r="G39" s="25" t="s">
        <v>65</v>
      </c>
      <c r="H39" s="279"/>
    </row>
    <row r="40" spans="2:8" ht="15.6" customHeight="1" x14ac:dyDescent="0.3">
      <c r="B40" s="46">
        <v>37.340000000000003</v>
      </c>
      <c r="C40" s="41">
        <v>42</v>
      </c>
      <c r="D40" s="45">
        <v>68</v>
      </c>
      <c r="F40" s="24">
        <v>68</v>
      </c>
      <c r="G40" s="25" t="s">
        <v>65</v>
      </c>
      <c r="H40" s="279"/>
    </row>
    <row r="41" spans="2:8" ht="15.6" customHeight="1" x14ac:dyDescent="0.3">
      <c r="B41" s="46">
        <v>32.68</v>
      </c>
      <c r="C41" s="42">
        <v>37.33</v>
      </c>
      <c r="D41" s="45">
        <v>67</v>
      </c>
      <c r="F41" s="24">
        <v>67</v>
      </c>
      <c r="G41" s="25" t="s">
        <v>65</v>
      </c>
      <c r="H41" s="279"/>
    </row>
    <row r="42" spans="2:8" ht="15.6" customHeight="1" x14ac:dyDescent="0.3">
      <c r="B42" s="46">
        <v>28.01</v>
      </c>
      <c r="C42" s="42">
        <v>32.67</v>
      </c>
      <c r="D42" s="45">
        <v>66</v>
      </c>
      <c r="F42" s="24">
        <v>66</v>
      </c>
      <c r="G42" s="25" t="s">
        <v>65</v>
      </c>
      <c r="H42" s="279"/>
    </row>
    <row r="43" spans="2:8" ht="15.6" customHeight="1" x14ac:dyDescent="0.3">
      <c r="B43" s="46">
        <v>23.35</v>
      </c>
      <c r="C43" s="41">
        <v>28</v>
      </c>
      <c r="D43" s="45">
        <v>65</v>
      </c>
      <c r="F43" s="24">
        <v>65</v>
      </c>
      <c r="G43" s="25" t="s">
        <v>65</v>
      </c>
      <c r="H43" s="282"/>
    </row>
    <row r="44" spans="2:8" ht="15.6" customHeight="1" x14ac:dyDescent="0.3">
      <c r="B44" s="46">
        <v>18.68</v>
      </c>
      <c r="C44" s="42">
        <v>23.34</v>
      </c>
      <c r="D44" s="45">
        <v>64</v>
      </c>
      <c r="F44" s="24">
        <v>64</v>
      </c>
      <c r="G44" s="25" t="s">
        <v>67</v>
      </c>
      <c r="H44" s="278" t="s">
        <v>68</v>
      </c>
    </row>
    <row r="45" spans="2:8" ht="15.6" customHeight="1" x14ac:dyDescent="0.3">
      <c r="B45" s="46">
        <v>14.01</v>
      </c>
      <c r="C45" s="42">
        <v>18.670000000000002</v>
      </c>
      <c r="D45" s="45">
        <v>63</v>
      </c>
      <c r="F45" s="24">
        <v>63</v>
      </c>
      <c r="G45" s="25" t="s">
        <v>67</v>
      </c>
      <c r="H45" s="279"/>
    </row>
    <row r="46" spans="2:8" ht="15.6" customHeight="1" x14ac:dyDescent="0.3">
      <c r="B46" s="46">
        <v>9.35</v>
      </c>
      <c r="C46" s="41">
        <v>14</v>
      </c>
      <c r="D46" s="45">
        <v>62</v>
      </c>
      <c r="F46" s="24">
        <v>62</v>
      </c>
      <c r="G46" s="25" t="s">
        <v>67</v>
      </c>
      <c r="H46" s="279"/>
    </row>
    <row r="47" spans="2:8" ht="15.6" customHeight="1" x14ac:dyDescent="0.3">
      <c r="B47" s="46">
        <v>4.68</v>
      </c>
      <c r="C47" s="42">
        <v>9.34</v>
      </c>
      <c r="D47" s="45">
        <v>61</v>
      </c>
      <c r="F47" s="24">
        <v>61</v>
      </c>
      <c r="G47" s="25" t="s">
        <v>67</v>
      </c>
      <c r="H47" s="279"/>
    </row>
    <row r="48" spans="2:8" ht="16.2" customHeight="1" thickBot="1" x14ac:dyDescent="0.35">
      <c r="B48" s="49">
        <v>0</v>
      </c>
      <c r="C48" s="50">
        <v>4.67</v>
      </c>
      <c r="D48" s="51">
        <v>60</v>
      </c>
      <c r="F48" s="26">
        <v>60</v>
      </c>
      <c r="G48" s="27" t="s">
        <v>67</v>
      </c>
      <c r="H48" s="280"/>
    </row>
    <row r="49" spans="2:8" ht="15" customHeight="1" x14ac:dyDescent="0.25">
      <c r="B49" s="18"/>
      <c r="C49" s="18"/>
      <c r="D49" s="18"/>
      <c r="G49" s="18"/>
      <c r="H49" s="28"/>
    </row>
    <row r="50" spans="2:8" ht="15" customHeight="1" x14ac:dyDescent="0.25">
      <c r="B50" s="18"/>
      <c r="C50" s="18"/>
      <c r="D50" s="18"/>
      <c r="G50" s="18"/>
      <c r="H50" s="28"/>
    </row>
  </sheetData>
  <sheetProtection algorithmName="SHA-512" hashValue="GheGbZmNBCqOiboAWdpCwu9PZvHBiaXDmDSXg5zEexNLm9XP7ROaTodjdeRMpZXoI/3hBk+sAeZl9B9OSOB8og==" saltValue="8CNm4Bg1ftMZV6zGX7GSoQ==" spinCount="100000" sheet="1" objects="1" scenarios="1"/>
  <mergeCells count="7">
    <mergeCell ref="H44:H48"/>
    <mergeCell ref="H29:H33"/>
    <mergeCell ref="B6:D6"/>
    <mergeCell ref="H19:H28"/>
    <mergeCell ref="H8:H18"/>
    <mergeCell ref="H34:H43"/>
    <mergeCell ref="F6:H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6</vt:i4>
      </vt:variant>
    </vt:vector>
  </HeadingPairs>
  <TitlesOfParts>
    <vt:vector size="15" baseType="lpstr">
      <vt:lpstr>INPUT DATA</vt:lpstr>
      <vt:lpstr>TERM 1 M and A</vt:lpstr>
      <vt:lpstr>TERM 1 PE and H</vt:lpstr>
      <vt:lpstr>TERM 2 M and A</vt:lpstr>
      <vt:lpstr>TERM 2 PE and H</vt:lpstr>
      <vt:lpstr>TERM 3 M and A</vt:lpstr>
      <vt:lpstr>TERM 3 PE and H</vt:lpstr>
      <vt:lpstr>FINAL GRADES</vt:lpstr>
      <vt:lpstr>HELPER</vt:lpstr>
      <vt:lpstr>'TERM 1 M and A'!Print_Area</vt:lpstr>
      <vt:lpstr>'TERM 1 PE and H'!Print_Area</vt:lpstr>
      <vt:lpstr>'TERM 2 M and A'!Print_Area</vt:lpstr>
      <vt:lpstr>'TERM 2 PE and H'!Print_Area</vt:lpstr>
      <vt:lpstr>'TERM 3 M and A'!Print_Area</vt:lpstr>
      <vt:lpstr>'TERM 3 PE and H'!Print_Area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Ronkyle Soriano</cp:lastModifiedBy>
  <dcterms:created xsi:type="dcterms:W3CDTF">2026-08-29T07:40:19Z</dcterms:created>
  <dcterms:modified xsi:type="dcterms:W3CDTF">2026-09-01T03:10:23Z</dcterms:modified>
</cp:coreProperties>
</file>